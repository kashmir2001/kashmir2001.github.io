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on Creative Com." sheetId="1" r:id="rId4"/>
    <sheet state="visible" name="Countries" sheetId="2" r:id="rId5"/>
    <sheet state="hidden" name="internetshutdowns.in cases" sheetId="3" r:id="rId6"/>
    <sheet state="visible" name="Other cases" sheetId="4" r:id="rId7"/>
    <sheet state="visible" name="2024" sheetId="5" r:id="rId8"/>
    <sheet state="visible" name="2024 vs. 2023" sheetId="6" r:id="rId9"/>
    <sheet state="visible" name="2023" sheetId="7" r:id="rId10"/>
    <sheet state="visible" name="2023H1 vs. 2022H1" sheetId="8" r:id="rId11"/>
    <sheet state="visible" name="2022" sheetId="9" r:id="rId12"/>
    <sheet state="visible" name="2021" sheetId="10" r:id="rId13"/>
    <sheet state="hidden" name="updateDate" sheetId="11" r:id="rId14"/>
  </sheets>
  <definedNames/>
  <calcPr/>
</workbook>
</file>

<file path=xl/sharedStrings.xml><?xml version="1.0" encoding="utf-8"?>
<sst xmlns="http://schemas.openxmlformats.org/spreadsheetml/2006/main" count="8453" uniqueCount="1457">
  <si>
    <t>We are glad to have press coverage of our studies and encourage you to share our work. We give permission for anyone to use this study’s data, analysis, and visuals as long as you:</t>
  </si>
  <si>
    <t>• Credit Surfshark (ideally with a link to the landing page);</t>
  </si>
  <si>
    <t>• Say if you made any changes to the original piece;</t>
  </si>
  <si>
    <t>• Don't use these materials for commercial purposes.</t>
  </si>
  <si>
    <t>• If you change the materials, you also need to share them under the same rules.</t>
  </si>
  <si>
    <t>This project is licensed under Creative Commons 3.0 and the above-mentioned conditions are taken from it. If you have any questions or concerns about sharing our work, please contact media@surfshark.com before using them.</t>
  </si>
  <si>
    <t>Country</t>
  </si>
  <si>
    <t>ISO-alpha2 Code</t>
  </si>
  <si>
    <t>Social media bans / heavy disruptions within the period of 2015 - present?</t>
  </si>
  <si>
    <t>Related w/ protests</t>
  </si>
  <si>
    <t>Related w/ elections</t>
  </si>
  <si>
    <t>Related w/ political turmoil</t>
  </si>
  <si>
    <t>Related w/ country’s internet law</t>
  </si>
  <si>
    <t>Start date</t>
  </si>
  <si>
    <t>End date</t>
  </si>
  <si>
    <r>
      <rPr>
        <rFont val="Arial"/>
        <b/>
        <color theme="1"/>
        <sz val="12.0"/>
      </rPr>
      <t xml:space="preserve">Duration, h </t>
    </r>
    <r>
      <rPr>
        <rFont val="Arial"/>
        <b val="0"/>
        <color theme="1"/>
        <sz val="8.0"/>
      </rPr>
      <t>(ongoing cases are responsive to update date)</t>
    </r>
  </si>
  <si>
    <t>If yes, what was the context?</t>
  </si>
  <si>
    <t>Scope/population?</t>
  </si>
  <si>
    <t>Service based restriction</t>
  </si>
  <si>
    <t>Facebook</t>
  </si>
  <si>
    <t>X (formerly Twitter)</t>
  </si>
  <si>
    <t>Youtube</t>
  </si>
  <si>
    <t>Instagram</t>
  </si>
  <si>
    <t>Telegram</t>
  </si>
  <si>
    <t>Whatsapp</t>
  </si>
  <si>
    <t>Other soc. media</t>
  </si>
  <si>
    <t>Other VoIP apps</t>
  </si>
  <si>
    <t>Source</t>
  </si>
  <si>
    <t>Internet services restricted in the past</t>
  </si>
  <si>
    <t>No evidence</t>
  </si>
  <si>
    <t>Social media currently restricted</t>
  </si>
  <si>
    <t>Voice over IP (VoIP) apps currently restricted</t>
  </si>
  <si>
    <t>Social media and VoIP currently restricted</t>
  </si>
  <si>
    <t>AFRICA</t>
  </si>
  <si>
    <t>Algeria</t>
  </si>
  <si>
    <t>DZ</t>
  </si>
  <si>
    <t>Yes</t>
  </si>
  <si>
    <t>Internet disrupted in Algeria amid protests against military influence.</t>
  </si>
  <si>
    <t>Nationwide</t>
  </si>
  <si>
    <t>NetBlocks</t>
  </si>
  <si>
    <t>Algeria blocks YouTube and Google services after publication of political video.</t>
  </si>
  <si>
    <t>Netblocks</t>
  </si>
  <si>
    <t>Algeria blocked Facebook and other social networks in an attempt tio stop students from cheating.</t>
  </si>
  <si>
    <t>Several parts of Algeria have been cut off from the internet on Friday 1 March 2019, limiting communication and media coverage of the second wave of protests against president</t>
  </si>
  <si>
    <t xml:space="preserve">The NetBlocks internet observatory has identified several regional internet disruptions across Algeria, as of Friday 22 February 2019, as the public have gone out to the streets to participate in protests.
</t>
  </si>
  <si>
    <t>Angola</t>
  </si>
  <si>
    <t>AO</t>
  </si>
  <si>
    <t>N/A</t>
  </si>
  <si>
    <t>Benin</t>
  </si>
  <si>
    <t>BJ</t>
  </si>
  <si>
    <t>Internet blocked in Benin on election day.</t>
  </si>
  <si>
    <t xml:space="preserve">As Benin goes to elect its parliamentary representatives, the government has blocked social media including access to WhatsApp, Twitter, Instagram, Telegram, Facebook, LinkedIn, Tinder, and other platforms. </t>
  </si>
  <si>
    <t>AccessNow</t>
  </si>
  <si>
    <t>Botswana</t>
  </si>
  <si>
    <t>BW</t>
  </si>
  <si>
    <t>Burkina Faso</t>
  </si>
  <si>
    <t>BF</t>
  </si>
  <si>
    <t>Internet disrupted in Burkina Faso amid military uprising</t>
  </si>
  <si>
    <t>Ongoing</t>
  </si>
  <si>
    <t>On 19 January 2022, authorities admitted that they restricted access to Facebook services citing security concern. Restrictions started on 11 January.</t>
  </si>
  <si>
    <t>Internet disruptions observed in Burkina Faso amid coup plot arrests.</t>
  </si>
  <si>
    <t>Mobile internet disrupted in Burkina Faso after shooting of protesters</t>
  </si>
  <si>
    <t>Burundi</t>
  </si>
  <si>
    <t>BI</t>
  </si>
  <si>
    <t>Burundi blocks social media access during presidential elections</t>
  </si>
  <si>
    <t>CPJ</t>
  </si>
  <si>
    <t>Cameroon</t>
  </si>
  <si>
    <t>CM</t>
  </si>
  <si>
    <t>Facebook and WhatsApp restricted in Cameroon on eve of election results.</t>
  </si>
  <si>
    <t>The Cameroon government has again issued orders to block access to the entire internet in Anglophone regions of the country, this time in the lead up to Oct. 1, 2017, a day for planned demonstrations in those regions.</t>
  </si>
  <si>
    <t>Cameroon, Northwest and Southwest Regions</t>
  </si>
  <si>
    <t>Cameroon had blocked the internet in English-speaking parts of the country. The statement also confirmed that the authorities had sent text messages direct to mobile phone subscribers, notifying them of penalties, including long jail terms, for "spreading false news" via social media.</t>
  </si>
  <si>
    <t>Aljazeera</t>
  </si>
  <si>
    <t>BBC</t>
  </si>
  <si>
    <t>Cabo Verde</t>
  </si>
  <si>
    <t>CV</t>
  </si>
  <si>
    <t>The Central African Republic</t>
  </si>
  <si>
    <t>CF</t>
  </si>
  <si>
    <t>Chad</t>
  </si>
  <si>
    <t>TD</t>
  </si>
  <si>
    <t>Metrics show a further decline in internet connectivity in #Chad following this morning's telecoms disruption; the incident comes as searches are imposed at checkpoints amid heavy gunfire in the capital following a deadly attack at the National Security Agency HQ</t>
  </si>
  <si>
    <r>
      <rPr>
        <rFont val="Arial"/>
        <color rgb="FF0F1419"/>
      </rPr>
      <t xml:space="preserve">Real-time network data show a nation-scale loss of internet connectivity in </t>
    </r>
    <r>
      <rPr>
        <rFont val="Arial"/>
        <color rgb="FF0F1419"/>
      </rPr>
      <t>Chad</t>
    </r>
    <r>
      <rPr>
        <rFont val="Arial"/>
        <color rgb="FF0F1419"/>
      </rPr>
      <t>; the incident comes amid rising political tensions just weeks ahead of a constitutional referendum</t>
    </r>
  </si>
  <si>
    <t>Internet connectivity has been severely disrupted in Chad since the morning of Sunday 28 February 2021 amid reports of a deadly armed raid at the house of opposition candidate Yaya Dillo.</t>
  </si>
  <si>
    <t>WhatsApp messaging service blocked in Chad.</t>
  </si>
  <si>
    <t>Chad cut access to social media platforms, including WhatsApp, Twitter, Facebook, Instagram, and YouTube, for a staggering 472 days between 2018 and 2019. The government attempted to justify the social media blackout, stating that it was necessary for “security reasons.” However, authorities blocked access just as President Idriss Deby, who has been president of Chad since the 1990s, was pushing to stay in power until 2033.</t>
  </si>
  <si>
    <t>CNN</t>
  </si>
  <si>
    <t>Internet access has been restored in Chad after the government ordered a shutdown in response to national protest action backed by trade unions and civil society organisations using social media.</t>
  </si>
  <si>
    <t>ITweb</t>
  </si>
  <si>
    <t>Chad Elections: Major internet blackout ahead of declaration</t>
  </si>
  <si>
    <t>AfricanNews</t>
  </si>
  <si>
    <t>Comoros</t>
  </si>
  <si>
    <t>KM</t>
  </si>
  <si>
    <t>Comoros disrupts internet access amid post-election protests.</t>
  </si>
  <si>
    <t>Access Now</t>
  </si>
  <si>
    <t>Congo</t>
  </si>
  <si>
    <t>CG</t>
  </si>
  <si>
    <t>Republic of the Congo shut down the internet amid the presidential election.</t>
  </si>
  <si>
    <t>Codastory</t>
  </si>
  <si>
    <t>Reuters</t>
  </si>
  <si>
    <t>Government may have ordered internet shutdown in Congo-Brazzaville</t>
  </si>
  <si>
    <t>RSF</t>
  </si>
  <si>
    <t>AcessNow</t>
  </si>
  <si>
    <t>Ivory Coast</t>
  </si>
  <si>
    <t>CI</t>
  </si>
  <si>
    <t>Congo DR</t>
  </si>
  <si>
    <t>CD</t>
  </si>
  <si>
    <t>The NetBlocks internet shutdown observatory has collected technical evidence of multiple internet disruptions in the Democratic Republic of Congo as of Monday 31 December 2018 amid contested general elections.</t>
  </si>
  <si>
    <t>at around 9 A.M. on February 25, 2018, internet and SMS services were blocked–this time for about 10 hours–as more protests occurred across the country,</t>
  </si>
  <si>
    <t>DRC blocks internet ahead of banned protests</t>
  </si>
  <si>
    <t>News24</t>
  </si>
  <si>
    <t>DRC blocks internet as anti-Kabila protests planned</t>
  </si>
  <si>
    <t>Democratic Republic of Congo orders telco Orange to slow internet capacity</t>
  </si>
  <si>
    <t>The government of the Democratic Republic of the Congo blocked social media sites.</t>
  </si>
  <si>
    <t>CGTN</t>
  </si>
  <si>
    <t>Djibouti</t>
  </si>
  <si>
    <t>DJ</t>
  </si>
  <si>
    <t>Egypt</t>
  </si>
  <si>
    <t>EG</t>
  </si>
  <si>
    <t>Facebook Messenger, social media and news sites were disrupted in Egypt amid protests in 2019, September.</t>
  </si>
  <si>
    <t>Equatorial Guinea</t>
  </si>
  <si>
    <t>GQ</t>
  </si>
  <si>
    <t>The government restricted and disrupted access to the internet and censored online content. During the 2017 legislative and municipal elections, the government blocked all access to the internet for approximately 10 days.</t>
  </si>
  <si>
    <t>State GOV Report</t>
  </si>
  <si>
    <t>eNCA</t>
  </si>
  <si>
    <t>During the November elections, authorities completely shut down the internet.</t>
  </si>
  <si>
    <t>IODA</t>
  </si>
  <si>
    <t>Eritrea</t>
  </si>
  <si>
    <t>ER</t>
  </si>
  <si>
    <t>Eritrea's government closed access to social media in the days leading up to the country’s Independence Day on May 24, 2019, forcing citizens to use proxy servers and VPNs to bypass those restrictions.</t>
  </si>
  <si>
    <t>African State</t>
  </si>
  <si>
    <t>CPJ org</t>
  </si>
  <si>
    <t>Borgen Project</t>
  </si>
  <si>
    <t>According to Freedom House, Eritrea has one of the worst infrastructures in Africa, it is possible that some ISPs deliberately block services, but the government’s poor human rights record indicates that the inaccessibility of YouTube could be related to censorship.</t>
  </si>
  <si>
    <t>MotherJones</t>
  </si>
  <si>
    <t>Eswatini</t>
  </si>
  <si>
    <t>SZ</t>
  </si>
  <si>
    <t>Authorities in Eswatini have again disrupted access to the internet and social media platforms in response to ongoing pro-democracy protests. The government shut down social media platforms including Facebook, WhatsApp, and Twitter for approximately two hours.</t>
  </si>
  <si>
    <t>Authorities shut internet down on June 29, in response to large-scale pro-democracy protests.</t>
  </si>
  <si>
    <t>Ethiopia</t>
  </si>
  <si>
    <t>ET</t>
  </si>
  <si>
    <t>YouTube has also been restricted following protests and deadly violence over an apparent state attempt to divide the Ethiopian Orthodox Church.</t>
  </si>
  <si>
    <t>Facebook, Telegram and TikTok restricted amid protests over the split of the Ethiopian Orthodox Tewhado Church.</t>
  </si>
  <si>
    <t>Ethiopia is entering its third week without internet service after days of deadly unrest, as the government in Africa's diplomatic and aviation hub says it's trying to prevent speech that could further inflame ethnic tensions.</t>
  </si>
  <si>
    <r>
      <rPr>
        <rFont val="Arial"/>
        <color rgb="FF000000"/>
        <u/>
      </rPr>
      <t>Twitte</t>
    </r>
    <r>
      <rPr>
        <rFont val="Arial"/>
        <color rgb="FF000000"/>
        <u/>
      </rPr>
      <t>r</t>
    </r>
  </si>
  <si>
    <t>Tigray has been mostly without internet, telecommunications and banking since war broke out between federal government troops and forces led by the Tigray People’s Liberation Front (TPLF) in November 2020. A ceasefire deal between the warring sides was signed in South Africa in November of 2022. It commits Ethiopia’s government to restoring Tigray’s basic services, but the communications blackout has not yet been lifted.</t>
  </si>
  <si>
    <t>Tigray region</t>
  </si>
  <si>
    <t>DW.com</t>
  </si>
  <si>
    <t xml:space="preserve">The shutdown has been imposed in areas under federal military control and comes amid reports of government military operations against the armed wing of the once-banned Oromo Liberation Front (OLF). </t>
  </si>
  <si>
    <t>Oromia</t>
  </si>
  <si>
    <t>HRW</t>
  </si>
  <si>
    <t>Several social media platforms, including WhatsApp, Telegram, and Facebook, were blocked intermittently in June.</t>
  </si>
  <si>
    <t>Freedom House</t>
  </si>
  <si>
    <t>Internet shutdown in Ethiopia amid reports of attempted coup.</t>
  </si>
  <si>
    <t>In Ethiopia, mobile internet cut in the capital amid clashes and protests</t>
  </si>
  <si>
    <t>Addis Ababa</t>
  </si>
  <si>
    <t xml:space="preserve">Amid growing tensions between the national and regional governments in the Somali region of Ethiopia, the national government has resorted to shutting off broadband and mobile internet. </t>
  </si>
  <si>
    <t>Harar, Dire Dawa and Somali</t>
  </si>
  <si>
    <t xml:space="preserve">Government repeatedly was cutting off the internet in order to control the spread of information and materials relating to anti-government protests and human rights abuse. </t>
  </si>
  <si>
    <t>African news</t>
  </si>
  <si>
    <t>Several people are feared dead in clashes in north-western Ethiopia between police and anti-government protesters, amid a wave of unrest. Authorities have banned demonstrations and blocked social media.</t>
  </si>
  <si>
    <t>Gabon</t>
  </si>
  <si>
    <t>GA</t>
  </si>
  <si>
    <t>Following presidential, legislative and municipal elections, which were criticized by the opposition, the internet has been restricted nationwide.</t>
  </si>
  <si>
    <t>France24</t>
  </si>
  <si>
    <t xml:space="preserve">The NetBlocks internet shutdown observatory has detected evidence of a major internet disruption in Gabon. The shutdown comes as military forces have reportedly gained power, with President Ali Bongo reportedly abroad seeking medical treatment. </t>
  </si>
  <si>
    <t>Libreville and Port-Gentil</t>
  </si>
  <si>
    <t>The internet and social media platforms were blocked after the re-election of Bongo. On September 5th, a 12-hour-a-day internet curfew was imposed.</t>
  </si>
  <si>
    <t>QZ</t>
  </si>
  <si>
    <t>Gambia</t>
  </si>
  <si>
    <t>GM</t>
  </si>
  <si>
    <t>Gambia’s government has shut down the internet on the eve of elections</t>
  </si>
  <si>
    <t>Ghana</t>
  </si>
  <si>
    <t>GH</t>
  </si>
  <si>
    <t>Guinea</t>
  </si>
  <si>
    <t>GN</t>
  </si>
  <si>
    <r>
      <rPr>
        <rFont val="Arial"/>
        <color rgb="FF0F1419"/>
      </rPr>
      <t xml:space="preserve">Metrics show a disruption to multiple social media and messaging platforms in the Republic of </t>
    </r>
    <r>
      <rPr>
        <rFont val="Arial"/>
        <color rgb="FF0F1419"/>
      </rPr>
      <t>#Guinea</t>
    </r>
    <r>
      <rPr>
        <rFont val="Arial"/>
        <color rgb="FF0F1419"/>
      </rPr>
      <t xml:space="preserve"> including Facebook, WhatsApp, Telegram; access remains possible through the use of VPN services. The incident comes amid political tension in the country.</t>
    </r>
  </si>
  <si>
    <t>Many of the most popular social media platforms, including Facebook, Instagram and WhatsApp, were restricted across the country. The incident came as citizens prepared to take the streets for anti-government demonstrations.</t>
  </si>
  <si>
    <t>TechRadar</t>
  </si>
  <si>
    <t>Internet disrupted in Guinea ahead of presidential election.</t>
  </si>
  <si>
    <t>Guinea cuts internet access and blocks social media on referendum day.</t>
  </si>
  <si>
    <t>Internet cut across Guinea ahead of elections.</t>
  </si>
  <si>
    <t>Guinea-Bissau</t>
  </si>
  <si>
    <t>GW</t>
  </si>
  <si>
    <t>Kenya</t>
  </si>
  <si>
    <t>KE</t>
  </si>
  <si>
    <t>Metrics show that Telegram has been restricted in #Kenya, corroborating user reports of disruption; the measure comes as students sit KCSE exams and is consistent with past restrictions of Telegram observed in the country as a measure to limit cheating during exams</t>
  </si>
  <si>
    <t>Live network data show a major disruption to internet connectivity in #Kenya; the incident comes amidst a deadly crackdown by police on #RejectFinanceBill2024 protesters a day after authorities claimed there would be no internet shutdown</t>
  </si>
  <si>
    <t>https://x.com/netblocks/status/1805598808035774970</t>
  </si>
  <si>
    <t>Lesotho</t>
  </si>
  <si>
    <t>LS</t>
  </si>
  <si>
    <t>Liberia</t>
  </si>
  <si>
    <t>LR</t>
  </si>
  <si>
    <t>Twitter, Facebook, Instagram, Snapchat and messaging app WhatsApp have been blocked by internet providers in Liberia as of Friday 7 June according to real-time network measurement data from the NetBlocks internet observatory.</t>
  </si>
  <si>
    <t>Libya</t>
  </si>
  <si>
    <t>LY</t>
  </si>
  <si>
    <t>"Act of sabotage" takes down much of Internet in Libya</t>
  </si>
  <si>
    <t>Misurata, Zliten and Al-Khamis</t>
  </si>
  <si>
    <t>Eanlibya</t>
  </si>
  <si>
    <t>Madagascar</t>
  </si>
  <si>
    <t>MG</t>
  </si>
  <si>
    <t>Malawi</t>
  </si>
  <si>
    <t>MW</t>
  </si>
  <si>
    <t>As results from general election trickled in, numerous internet providers in the southeastern African state experienced service interruptions that lasted for up to six hours.</t>
  </si>
  <si>
    <t>QZ.com</t>
  </si>
  <si>
    <t>Mali</t>
  </si>
  <si>
    <t>ML</t>
  </si>
  <si>
    <t>Social media restricted in Mali amid protests against president.</t>
  </si>
  <si>
    <t>Mali elections marred by internet disruptions</t>
  </si>
  <si>
    <t>According to this data, WhatsApp and Twitter, among other apps and sites, were not available for several hours on election night. It was suspected that the sites were closed on the orders of the government.</t>
  </si>
  <si>
    <t>Internet users in Bamako, Mali reported not being able to use Facebook and Twitter after protests against the detention of a popular radio host on Wednesday (Aug. 17) turned violent, resulting in three deaths.</t>
  </si>
  <si>
    <t>Mauritania</t>
  </si>
  <si>
    <t>MR</t>
  </si>
  <si>
    <t>Traffic data show a pattern of widescale internet disruptions in Mauritania during morning and afternoon national school exams; the incidents are consistent with blackouts reported in past years to prevent cheating and paper leaks</t>
  </si>
  <si>
    <t>Network traffic data show a major disruption to connectivity in #Mauritania from midnight, with mobile internet restricted amid protests rejecting the results of this weekend's presidential elections</t>
  </si>
  <si>
    <t>https://twitter.com/netblocks/status/1808190009008136209</t>
  </si>
  <si>
    <t>BenjaminDada</t>
  </si>
  <si>
    <t>Metrics show a significant decline in internet traffic in Mauritania amid protests after the death of an individual in police custody.</t>
  </si>
  <si>
    <t>A nationwide disruption to mobile internet traffic following a prison riot at the Nouakchott Civil Prison in the capital’s Tevragh Zeina district, which led to the killing of two guards and the escape of four prisoners.</t>
  </si>
  <si>
    <t>The Mauritanian government interrupted internet services and blocked access to all social media platforms in the country for 10 hours, on 3 consecutive days, to prevent cheating during exams in 2019.</t>
  </si>
  <si>
    <t>IFEX</t>
  </si>
  <si>
    <t>Mauritius</t>
  </si>
  <si>
    <t>MU</t>
  </si>
  <si>
    <t>Metrics show multiple social media platforms have been restricted in Mauritius; the incident comes as authorities order ISPs to suspend access until after elections later this month, on grounds of national security after the leaking of "certain" audio clips</t>
  </si>
  <si>
    <t>Morocco</t>
  </si>
  <si>
    <t>MA</t>
  </si>
  <si>
    <t>Morocco banned Skype, Viber, WhatsApp and Facebook Messenger (VoIP).</t>
  </si>
  <si>
    <t>MiddleEastEye</t>
  </si>
  <si>
    <t>Mozambique</t>
  </si>
  <si>
    <t>MZ</t>
  </si>
  <si>
    <t>Metrics show internet has been cut in Mozambique for a 5th day as authorities crack down on the March on Maputo movement; a series of curfew-style internet shutdowns and social media restrictions have limited the visibility of opposition protests over election results</t>
  </si>
  <si>
    <t>Traffic data indicate Mozambique is now in the fourth day of curfew-style mobile internet blackouts. The shutdown follows protests over disputed election results, and is the latest in a series of mass-censorship measures imposed by the government</t>
  </si>
  <si>
    <t>Traffic data indicate Mozambique is now in the third day of curfew-style mobile internet blackouts. The shutdown follows protests over disputed election results, and is the latest in a series of mass-censorship measures imposed by the government</t>
  </si>
  <si>
    <t>Traffic data indicate Mozambique is now in the second day of curfew-style mobile internet blackouts. The shutdown follows protests over disputed election results, and is the latest in a series of mass-censorship measures imposed by the government</t>
  </si>
  <si>
    <t>Traffic data indicate Mozambique is now in the first day of curfew-style mobile internet blackouts. The shutdown follows protests over disputed election results, and is the latest in a series of mass-censorship measures imposed by the government</t>
  </si>
  <si>
    <t>Live metrics show restrictions to social media and messaging platforms Facebook, Instagram and WhatsApp in #Mozambique; the incident follows mobile data disruptions last week and comes as protesters prepare to hit the streets over disputed election results</t>
  </si>
  <si>
    <t>Live metrics show restrictions to social media and messaging platforms Facebook, Instagram and WhatsApp in Mozambique; the incident follows mobile data disruptions last week and comes as protesters prepare to hit the streets over disputed election results</t>
  </si>
  <si>
    <t xml:space="preserve">Live metrics show a disruption to mobile internet traffic in Mozambique amid protests after the results of presidential elections held earlier this month are announced; the incident is likely to limit coverage of events on the ground </t>
  </si>
  <si>
    <t>Namibia</t>
  </si>
  <si>
    <t>NA</t>
  </si>
  <si>
    <t>Niger</t>
  </si>
  <si>
    <t>NE</t>
  </si>
  <si>
    <t>Three days later after presidential elections, as protesters gathered on the streets of Niamey and other regions following the official announcement of election results, major internet service providers (ISPs) in the country disrupted mobile internet.</t>
  </si>
  <si>
    <t>Accessnow</t>
  </si>
  <si>
    <t xml:space="preserve">Officials blocks sms messaging &amp; social networks to prevent potential riots. </t>
  </si>
  <si>
    <t>Bloomberg</t>
  </si>
  <si>
    <t>Nigeria</t>
  </si>
  <si>
    <t>NG</t>
  </si>
  <si>
    <t xml:space="preserve">Network data show a disruption to leading internet provider MTN in Nigeria; the incident may limit the visibility of #EndBadGovernanceInNigeria protests; the operator states it is working to resolve the issue </t>
  </si>
  <si>
    <t>Nigeria banned Twitter after the social media site removed a post by President Muhammadu Buhari threatening secessionists.</t>
  </si>
  <si>
    <t>NYT</t>
  </si>
  <si>
    <t>The guardian</t>
  </si>
  <si>
    <t>Rwanda</t>
  </si>
  <si>
    <t>RW</t>
  </si>
  <si>
    <t>South Sudan</t>
  </si>
  <si>
    <t>SS</t>
  </si>
  <si>
    <t>Internet disrupted in South Sudan amid anti-government protests</t>
  </si>
  <si>
    <t>São Tomé and Príncipe</t>
  </si>
  <si>
    <t>ST</t>
  </si>
  <si>
    <t>Senegal</t>
  </si>
  <si>
    <t>SN</t>
  </si>
  <si>
    <t>Live traffic data show mobile internet has been limited in #Senegal as authorities order the restriction of cellular data amid protests scheduled this afternoon over delayed elections; the incident underscores the growing use of mass-censorship in the country</t>
  </si>
  <si>
    <t>Traffic data show mobile internet access has been limited in #Senegal as president Macky Sall’s government orders the restriction cellular data in capital Dakar to prevent "threats and disturbances to public order" amid protests over the postponement of elections</t>
  </si>
  <si>
    <t>Dakar</t>
  </si>
  <si>
    <t>Following the arrest of a political leader and the subsequent restriction of mobile data, the government restricted access to TikTok.</t>
  </si>
  <si>
    <t>Internet Society</t>
  </si>
  <si>
    <t>Internet curfews (scheduled outages) in Senegal, following the detainment of an already sentened political opposition leader.</t>
  </si>
  <si>
    <t>Following the sentencing of an opposition leader and the restriction of major social media, an internet curfew was introduced a couple of days later.</t>
  </si>
  <si>
    <t>Crisis24</t>
  </si>
  <si>
    <t>Following the sentencing of an opposition leader, certain websites and services were blocked. Telegram was blockef for over two months.</t>
  </si>
  <si>
    <t>OONI</t>
  </si>
  <si>
    <t>Following the sentencing of an opposition leader, certain websites and services were blocked.</t>
  </si>
  <si>
    <t xml:space="preserve">The online service restrictions come amid intensifying clashes between protesters and anti-riot police in Dakar after the second day of demonstrations following the arrest of opposition leader Ousmane Sonko.
</t>
  </si>
  <si>
    <t>The Seychelles</t>
  </si>
  <si>
    <t>SC</t>
  </si>
  <si>
    <t>Sierra Leone</t>
  </si>
  <si>
    <t>SL</t>
  </si>
  <si>
    <t>An overnight internet blackout, the second registered amid anti-government protests.</t>
  </si>
  <si>
    <t>Multiple reports indicate that Sierra Leonean authorities temporarily shut down the internet after close of polls in the presidential runoff.</t>
  </si>
  <si>
    <t>AfricaNews</t>
  </si>
  <si>
    <t>The internet was disrupted on multiple providers nationwide in Sierra Leone. National connectivity was observed at just 5% of ordinary levels for two hours. The incident came amid protests in the capital city Freetown and other areas.</t>
  </si>
  <si>
    <t>Somalia</t>
  </si>
  <si>
    <t>SO</t>
  </si>
  <si>
    <t>ongoing</t>
  </si>
  <si>
    <t>A terrorist organization was accused of using TikTok and Telegram to spread misinformation and immoral beliefs. Access to the platforms was subsequently restricted.</t>
  </si>
  <si>
    <t>The Messenger</t>
  </si>
  <si>
    <t>Multiple providers in Somaliland experienced major internet disruptions on Thursday, August 11, 2022. The incident happened just before planned protests over the postponement of elections.</t>
  </si>
  <si>
    <t>Hargeysa</t>
  </si>
  <si>
    <t>Somalia internet blackout after parliament votes to remove prime minister.</t>
  </si>
  <si>
    <t>Somaliland is blocking social media to keep its election free of “fake news”</t>
  </si>
  <si>
    <t>South Africa</t>
  </si>
  <si>
    <t>ZA</t>
  </si>
  <si>
    <t>Sudan</t>
  </si>
  <si>
    <t>SD</t>
  </si>
  <si>
    <t>Live network data show a new collapse of internet connectivity in #Sudan, with leading mobile operator Zain now also falling largely offline; the incident comes amid heightened tensions between the military government and the RSF paramilitary group</t>
  </si>
  <si>
    <t>A series of internet disruptions amid an ongoing armed conflict between rival factions of military forces. The first drop in internet connectivity was registered on April 15th, with deteriorating connectivity since. The most recent collapse was registered on June 20th.</t>
  </si>
  <si>
    <t>A significant internet disruption affected cellular and fixed-line connectivity on multiple providers for around 8 hours. The incident comes ahead of planned pro-democracy protests to mark the first anniversary of the 2021 Sudanese military coup. Internet shutdowns were then imposed to silence public dissent.</t>
  </si>
  <si>
    <t>Internet service disruption was recorded on multiple mobile and fixed-line internet providers across Sudan amid protests against the military junta.</t>
  </si>
  <si>
    <t>Mobile internet disrupted ahead of planned mass-protests against the October 25 military coup.</t>
  </si>
  <si>
    <t>Mobile data service was again cut for some 10 hours during protests against military violence following the coup.</t>
  </si>
  <si>
    <t xml:space="preserve">Internet service cut again for many users as protesters gathered for a new round of anti-coup protests.
</t>
  </si>
  <si>
    <t xml:space="preserve">Mobile internet disrupted exactly two months after the coup, ahead of planned demonstrations.
</t>
  </si>
  <si>
    <t>Social media and messaging platforms restricted amid an apparent military coup.</t>
  </si>
  <si>
    <t>Significant disruption to internet service, affecting cellular and some fixed-line connectivity on multiple providers, amid reports that senior government officials were detained in an apparent military coup.</t>
  </si>
  <si>
    <t xml:space="preserve">Twitter, Periscope, Facebook, Instagram, WhatsApp and Telegram have been blocked in Sudan on Sunday 7 April 2019 amid intense demonstrations. </t>
  </si>
  <si>
    <t xml:space="preserve">A more extensive mobile internet shutdown left Sudan offline for 36 days from 3 June to 9 July 2019.
</t>
  </si>
  <si>
    <t>Twitter, Facebook, Instagram, WhatsApp blocked until February of 2019.</t>
  </si>
  <si>
    <t>Togo</t>
  </si>
  <si>
    <t>TG</t>
  </si>
  <si>
    <t>Network data from the NetBlocks internet observatory confirm the loss of access to social media platforms via Togo’s leading operator Togo Telecom (Togocom, AS24691) as polls closed on election day, Saturday 22 February 2020.</t>
  </si>
  <si>
    <t>Authorities in Togo have restored internet connectivity almost a week after it was cut. Mobile data was cut on September 5, hours to a planned opposition protest against a 50-year-old ruling dynasty.</t>
  </si>
  <si>
    <t>African News</t>
  </si>
  <si>
    <t>Tunisia</t>
  </si>
  <si>
    <t>TN</t>
  </si>
  <si>
    <t>Uganda</t>
  </si>
  <si>
    <t>UG</t>
  </si>
  <si>
    <t>Internet blackout in the midst of presidential election.</t>
  </si>
  <si>
    <t>Twitter</t>
  </si>
  <si>
    <t>Social media and messaging services restricted as authorities impose internet gag order before presidential election.</t>
  </si>
  <si>
    <t>AA</t>
  </si>
  <si>
    <t>As Ugandans prepare for President Museveni’s inauguration, the UCC  issued a directive to telecommunications providers, including MTN Uganda and Airtel Uganda, to shut down social media platforms until 6 p.m. on May 12.</t>
  </si>
  <si>
    <t>Freedom house</t>
  </si>
  <si>
    <t>Advox</t>
  </si>
  <si>
    <t>Twitter and Facebook are blocked in Uganda as the country goes to the polls.</t>
  </si>
  <si>
    <t>Tanzania</t>
  </si>
  <si>
    <t>TZ</t>
  </si>
  <si>
    <t>Clubhouse, a social audio platform frequently used by activists and the diaspora, was restricted on multiple internet providers for a day.</t>
  </si>
  <si>
    <t>Internet disrupted in Tanzania on eve of general elections. Real-time metrics show that Twitter, WhatsApp, backend servers for Instagram and some Google services including Gmail and Translate are generally or partially unavailable via Tanzania’s leading network operators Vodacom, Airtel, Tigo, Halotel and ZanTel.</t>
  </si>
  <si>
    <t>Zambia</t>
  </si>
  <si>
    <t>ZM</t>
  </si>
  <si>
    <t>Social media and messaging apps restricted in Zambia on election day.</t>
  </si>
  <si>
    <t>Zimbabwe</t>
  </si>
  <si>
    <t>ZW</t>
  </si>
  <si>
    <t>On the day before the elections, access to several online platforms was restricted.</t>
  </si>
  <si>
    <t>ZIMFACT</t>
  </si>
  <si>
    <t>Google</t>
  </si>
  <si>
    <t xml:space="preserve">A new series of disruptions was registered amid further opposition demonstrations. </t>
  </si>
  <si>
    <t>Significant slowing of internet service for many users in Zimbabwe as a major political opposition rally is held in Harare.</t>
  </si>
  <si>
    <t>Internet slowdown limits coverage of Zimbabwe opposition rally</t>
  </si>
  <si>
    <t>Zimbabwe internet disruption limits coverage of planned protests</t>
  </si>
  <si>
    <r>
      <rPr>
        <rFont val="Arial"/>
        <color rgb="FF000000"/>
        <u/>
      </rPr>
      <t>NetBlo</t>
    </r>
    <r>
      <rPr>
        <rFont val="Arial"/>
        <color rgb="FF000000"/>
        <u/>
      </rPr>
      <t>cks</t>
    </r>
  </si>
  <si>
    <t xml:space="preserve">The government blocked social media for 7 days straight, prompting claims it is trying to cover up deadly protests that killed at least 12 people. Users unable to access Facebook Messenger, WhatsApp, Twitter and other messaging apps in the wake of violent protests. </t>
  </si>
  <si>
    <t>Business Insider</t>
  </si>
  <si>
    <t>Zimbabwean government temporarily blocked access to the communications app - WhatsApp</t>
  </si>
  <si>
    <t>Affected countries:</t>
  </si>
  <si>
    <t>ASIA</t>
  </si>
  <si>
    <t>Afghanistan</t>
  </si>
  <si>
    <t>AF</t>
  </si>
  <si>
    <t>Internet disruption in Afghanistan with high impact to Kabul affecting multiple providers, for fear of militant bombings as Shiite Muslims in the Middle East mark the holy day of Ashoura.</t>
  </si>
  <si>
    <t xml:space="preserve">Afghanistan’s Ministry of Information and Technology ordered Internet service providers to block the messaging apps WhatsApp and Telegram for a 20-day test ban. Within days, the ban was repealed. </t>
  </si>
  <si>
    <t>Internet Health Report</t>
  </si>
  <si>
    <t xml:space="preserve">Khamaa Press </t>
  </si>
  <si>
    <t>Refworld</t>
  </si>
  <si>
    <t>Armenia</t>
  </si>
  <si>
    <t>AM</t>
  </si>
  <si>
    <t>TikTok restricted on multiple internet providers in Armenia and Azerbaijan amid deadly clashes between the countries over the Nagorno-Karabakh region.</t>
  </si>
  <si>
    <t>Internet disrupted in Armenia amid political turmoil and alleged coup attempt.</t>
  </si>
  <si>
    <t xml:space="preserve">Facebook appeared to be blocked for a period in Armenia on Sunday during unrest in Armenia's capital. </t>
  </si>
  <si>
    <t>Mashable</t>
  </si>
  <si>
    <t>Azerbaijan</t>
  </si>
  <si>
    <t>AZ</t>
  </si>
  <si>
    <t>Metrics show a major ongoing disruption to internet connectivity in Nagorno-Karabakh as Azerbaijan seeks 'reintegration' of the disputed region, explaining a decline in first-hand reporting as events unfold</t>
  </si>
  <si>
    <t>Nagorno-Karabakh</t>
  </si>
  <si>
    <t>az24saat.org</t>
  </si>
  <si>
    <t>Amid clashes with Armenia over Nagorno-Karabakh, social media and communication platforms Fscebook, WhatsApp, Youtube, Instagram, TikTok, LinkedIn, Twitter, Zoom, Skype, and Messenger were inaccessible.</t>
  </si>
  <si>
    <t>Google transparency report</t>
  </si>
  <si>
    <t>Meta transparency report</t>
  </si>
  <si>
    <t>Bahrain</t>
  </si>
  <si>
    <t>BH</t>
  </si>
  <si>
    <t>Authorities blocked the communications app Telegram, which was popular among independent media, members of the political opposition, and protest groups in Bahrain.</t>
  </si>
  <si>
    <t>Freedom on the Net 2019 (Freedom House)</t>
  </si>
  <si>
    <t>Bangladesh</t>
  </si>
  <si>
    <t>BD</t>
  </si>
  <si>
    <t xml:space="preserve">The government of Bangladesh ordered an Internet shutdown amidst ongoing protests from the quota reform movement. The shutdown was intended to impact mobile networks only, but IODA shows a near complete shutdown for ~3.5 hours. </t>
  </si>
  <si>
    <t>As protests against the Sheikh Hasina administration continue in Bangladesh, reports are emerging that the country has blocked several social media platforms. Facebook and WhatsApp, two widely used social media platforms, are reportedly inaccessible in Bangladesh as of today.</t>
  </si>
  <si>
    <t>The Daily Star</t>
  </si>
  <si>
    <t>First Post</t>
  </si>
  <si>
    <r>
      <rPr>
        <rFont val="Arial"/>
        <color rgb="FF0F1419"/>
        <sz val="10.0"/>
      </rPr>
      <t>Bangladesh</t>
    </r>
    <r>
      <rPr>
        <rFont val="Arial"/>
        <color rgb="FF0F1419"/>
        <sz val="10.0"/>
      </rPr>
      <t xml:space="preserve"> is in the midst of a near-total national internet shutdown; the new measure follows earlier efforts to throttle social media and restrict mobile data services, and comes amid reports of rising deaths at student protests.</t>
    </r>
  </si>
  <si>
    <t>Live metrics show that social media platform Facebook has been restricted on multiple internet providers in #Bangladesh; the incident comes as police crack down on student protests over government-imposed quotas, with deaths and hundreds of injuries reported</t>
  </si>
  <si>
    <t>https://twitter.com/netblocks/status/1813293423157555534</t>
  </si>
  <si>
    <t>Facebook and Messenger restricted in Bangladesh amid Indian Prime Minister Narendra Modi’s visit to the capital city of Bangladesh, Dhaka.</t>
  </si>
  <si>
    <t xml:space="preserve">On September 9, 2019, the Bangladesh Telecommunication Regulatory Commission directed all telecommunication operators to shut down 3G and 4G services in the camps. A week earlier, the government had ordered a shutdown of all 3G and 4G services between 5 p.m. and 6 a.m. </t>
  </si>
  <si>
    <t>Rohingya camps</t>
  </si>
  <si>
    <t>Bangladesh held its parliamentary elections on December 30, and this was no ordinary election. It was marred with irregularities, violence, and internet shutdowns: a day before suspended 4G and 3G mobile data services.</t>
  </si>
  <si>
    <t>Bangladesh held its parliamentary elections on December 30, and this was no ordinary election. It was marred with irregularities, violence, and internet shutdowns. Three days before the elections, the Bangladeshi government blocked Facebook and other social media platforms.</t>
  </si>
  <si>
    <t>Mobile internet speeds restricted in Bangladesh amid student protests</t>
  </si>
  <si>
    <t>Facebook and other social networks in Bangladesh have been blocked after the Supreme Court upheld the death sentences of two men convicted of war crimes during the independence struggle against Pakistan in 1971. An official said the sites were blocked to maintain order following the ruling.</t>
  </si>
  <si>
    <t>NDTV</t>
  </si>
  <si>
    <t>Bhutan</t>
  </si>
  <si>
    <t>BT</t>
  </si>
  <si>
    <t>Brunei Darussalam</t>
  </si>
  <si>
    <t>BN</t>
  </si>
  <si>
    <t>Cambodia</t>
  </si>
  <si>
    <t>KH</t>
  </si>
  <si>
    <t>China</t>
  </si>
  <si>
    <t>CN</t>
  </si>
  <si>
    <r>
      <rPr>
        <rFont val="Arial"/>
        <color rgb="FF000000"/>
      </rPr>
      <t>Foreign social media platforms such as Twitter, Facebook, and YouTube are</t>
    </r>
    <r>
      <rPr>
        <rFont val="Arial"/>
        <color rgb="FF000000"/>
      </rPr>
      <t xml:space="preserve"> currently banned in China.  </t>
    </r>
  </si>
  <si>
    <t>TechCrunch</t>
  </si>
  <si>
    <t>Instagram blocked in China as protests sweep Hong Kong.</t>
  </si>
  <si>
    <t>China blocks Telegram messenger, blamed for aiding human rights lawyers.</t>
  </si>
  <si>
    <t>HKFP</t>
  </si>
  <si>
    <t>China Blocks WhatsApp, broadening online censorship.</t>
  </si>
  <si>
    <t>NY Times</t>
  </si>
  <si>
    <t>North Korea</t>
  </si>
  <si>
    <t>KP</t>
  </si>
  <si>
    <t>WhatsApp messaging service blocked in North Korea</t>
  </si>
  <si>
    <t>NKnews</t>
  </si>
  <si>
    <t>North Korea started blocking, Facebook, YouTube, Twitter and South Korean websites in April 2016.</t>
  </si>
  <si>
    <t>Guardian</t>
  </si>
  <si>
    <t>North Korea blocks access to Instagram</t>
  </si>
  <si>
    <t>Georgia</t>
  </si>
  <si>
    <t>GE</t>
  </si>
  <si>
    <t>Same videos depicting Georgian politicians resurfaced on Vimeo, after which the entire platform became inaccessible for several hours.</t>
  </si>
  <si>
    <t>Freedom House (Georgia)</t>
  </si>
  <si>
    <t>YouTube was blocked twice in 2016 by authorities following the release of sex videos depicting Georgian politicians.</t>
  </si>
  <si>
    <t>Hong Kong</t>
  </si>
  <si>
    <t>HK</t>
  </si>
  <si>
    <t>India</t>
  </si>
  <si>
    <t>IN</t>
  </si>
  <si>
    <t>Haryana suspends Internet Services in 12 Ambala villages, ahead of farmer's march</t>
  </si>
  <si>
    <t>Haryana</t>
  </si>
  <si>
    <t>internetshutdowns.in</t>
  </si>
  <si>
    <t>Internet shutdown imposed in Ambala, Haryana amid farmers protest.</t>
  </si>
  <si>
    <t>Internet Shutdown imposed in Sambhal, Uttar Pradesh for 24 hours amid clashes.</t>
  </si>
  <si>
    <t>Sambhal</t>
  </si>
  <si>
    <t>Internet services suspended in Murshidabad, West Bengal amid communal violence.</t>
  </si>
  <si>
    <t>Murshidabad</t>
  </si>
  <si>
    <t>Authorities in Manipur reimposed a curfew in the Imphal valley and suspended internet in at least seven districts on Saturday amid simmering tensions over the abduction of six members of a Meitei family and the subsequent recovery of three unidentified bodies, even as the state government urged the Centre to withdraw the recent reimposition of Afspa in parts of Manipur.</t>
  </si>
  <si>
    <t>Manipur</t>
  </si>
  <si>
    <t>Hindustan Times</t>
  </si>
  <si>
    <t>Tension prevailed in Lagicherla of Kodangal constituency as the police arrested Kodangal constituency as the police arrested 55 people, including 28 farmers, in connection with Monday’s attack on Vikarabad Collector Prateek Jain and other officials. In a late night operation, around 300 police personnel descended on the village, cutting off electricity, and conducting door-to-door searches to detain suspects. The crackdown extended to the nearby mandals of Dudyala, Kodangal, and Bonraspet,where internet services were abruptly suspended.</t>
  </si>
  <si>
    <t>Dudyala, Kodangal, and Bonraspet</t>
  </si>
  <si>
    <t>Internet Shutdowns India</t>
  </si>
  <si>
    <t>GUWAHATI: Tripura government suspended mobile internet services for the next 72 hours in the North Tripura district, after communal tensions flared up in the district on Tuesday.</t>
  </si>
  <si>
    <t xml:space="preserve">North Tripura </t>
  </si>
  <si>
    <t>New Indian Express</t>
  </si>
  <si>
    <t>Violence erupted once again in Bahraich as tensions soared during the funeral procession of Gopal MIshra. The internet services shut and 30 individuals were detained for creating lawelessness.</t>
  </si>
  <si>
    <t>Bahraich</t>
  </si>
  <si>
    <t>Times of India</t>
  </si>
  <si>
    <t>The Odisha government suspended internet for 48 hours in Bhadrak district after a rally protesting against a controversial social media post turned violent and left five policemen injured.</t>
  </si>
  <si>
    <t>Bhadrak</t>
  </si>
  <si>
    <t>India Today</t>
  </si>
  <si>
    <t>Mobile internet services suspended across the state on September 21st and 22nd from 8 am to 1.30 pm, in view of the Jharkhand General Graduate Level Combined Competitive Examination (JGGLCCE), in a bid to check any malpractice during the examination.</t>
  </si>
  <si>
    <t>Jharkhand</t>
  </si>
  <si>
    <t>ANI</t>
  </si>
  <si>
    <t>The bandh was intended to be peaceful but devoted into clashes between the Adivasi and Muslim communities. Internet was shut down and prohibitive orders were imposed to allegedly curb the spread of misinformation and fake news.</t>
  </si>
  <si>
    <t xml:space="preserve">Jainoor, Asifabad </t>
  </si>
  <si>
    <t>News9</t>
  </si>
  <si>
    <t>The Manipur government on Tuesday evening issued an amended order, stating that the suspension of internet services in the wake of intensified agitation by students applies only to the state’s five valley districts.</t>
  </si>
  <si>
    <t>Deccan Herald</t>
  </si>
  <si>
    <t>Internet Shutdown in the State of Assam for SEBA Examination on September 15th, 2024</t>
  </si>
  <si>
    <t>Assam</t>
  </si>
  <si>
    <t>Internet Shutdown in badlapur, Thane, Maharashtra amid protests.</t>
  </si>
  <si>
    <t>Maharashtra</t>
  </si>
  <si>
    <t>Internet Shutdowns</t>
  </si>
  <si>
    <t>Internet suspended in Udaipur, Rajasthan amid communal tension.</t>
  </si>
  <si>
    <t>Udaipur</t>
  </si>
  <si>
    <t>Internet shutdown in Nuh ahead of a religious procession that had resulted in violence and death in the past.</t>
  </si>
  <si>
    <t>Nuh</t>
  </si>
  <si>
    <t>Indian Express</t>
  </si>
  <si>
    <t>Curfew has been imposed and internet was suspended in Odisha’s coastal town of Balasore on Tuesday morning, a day after two communities clashed over allegations of cow slaughter during religious celebration of a minority community, the police said.</t>
  </si>
  <si>
    <t>Balasore</t>
  </si>
  <si>
    <t>https://www.hindustantimes.com/cities/others/odisha-curfew-imposed-in-balasore-as-communal-violence-escalates-101718688232830.html</t>
  </si>
  <si>
    <t>The internet was suspended for two days in Bihar's Saran amid post-poll violence.</t>
  </si>
  <si>
    <t>Saran</t>
  </si>
  <si>
    <t>https://www.indiatoday.in/elections/lok-sabha/story/saran-bihar-post-poll-violence-rjd-bjp-workers-clash-internet-suspended-rohini-acharya-2541793-2024-05-21</t>
  </si>
  <si>
    <t>One person was shot dead and two severely injured after clashes erupted in Bihar's Saran between BJP and RJD workers on Tuesday. Two people have been detained in connection with the violence and the internet has been suspended for two days.</t>
  </si>
  <si>
    <t>https://scroll.in/latest/1068141/bihar-one-killed-three-injured-in-post-poll-violence-between-bjp-and-rjd-supporters-in-saran</t>
  </si>
  <si>
    <t xml:space="preserve">Internet shutdown in Leh. Even though these protests in #Ladakh have been nothing but peaceful &amp; despite multiple assurances from the leaders, they've shut down the internet. </t>
  </si>
  <si>
    <t>Leh</t>
  </si>
  <si>
    <t>https://twitter.com/Stonerollin123/status/1776235345052676285</t>
  </si>
  <si>
    <t>The Manipur government on Friday suspended internet services in Churachandpur district for five days after violence broke out there over an action taken against a policeman.</t>
  </si>
  <si>
    <t xml:space="preserve">PTI news </t>
  </si>
  <si>
    <r>
      <rPr>
        <rFont val="Arial"/>
        <color rgb="FF212121"/>
        <sz val="10.0"/>
      </rPr>
      <t>M</t>
    </r>
    <r>
      <rPr>
        <rFont val="Arial"/>
        <color rgb="FF212121"/>
        <sz val="10.0"/>
      </rPr>
      <t xml:space="preserve">obile internet </t>
    </r>
    <r>
      <rPr>
        <rFont val="Arial"/>
        <color rgb="FF212121"/>
        <sz val="10.0"/>
      </rPr>
      <t>and bulk SMS services temporarily restricted in seven districts of the state of Haryana</t>
    </r>
  </si>
  <si>
    <t>mint</t>
  </si>
  <si>
    <t>Internet services suspended in the jurisdiction of 20 police stations of Punjab in the wake of the ongoing farmers’ protest.</t>
  </si>
  <si>
    <t>Punjab</t>
  </si>
  <si>
    <t>The Hindu</t>
  </si>
  <si>
    <t>On May 3rd, 2023, the Manipur state government issued an order suspending mobile data services across the state. Broadband specifically was restored on July 25, but such ways of reaching the internet are used by very few people.</t>
  </si>
  <si>
    <t>Internet Freedom Foundation</t>
  </si>
  <si>
    <t>The Wire</t>
  </si>
  <si>
    <t>A ban on 14 mobile messenger apps apparently used by terrorist groups in Jammu and Kashmir to communicate with people in Pakistan. The blocked apps include Crypviser, Enigma, Safeswiss, and Wickrme, among others.</t>
  </si>
  <si>
    <t>Quartz</t>
  </si>
  <si>
    <t>A significant disruption to fixed-line and mobile internet connectivity on multiple providers occurred in Bihar, eastern India, on June 17, 2022. The incident comes as the government imposes telecommunications restrictions to counter protests over a new military recruitment plan.</t>
  </si>
  <si>
    <t>Bihar</t>
  </si>
  <si>
    <t xml:space="preserve">TikTok + 59 Chinese apps' ban. </t>
  </si>
  <si>
    <t>A 48-hour suspension of all internet services in Maharashtra came into force following incidents of arson, rioting and protests in the rural parts of Chhatrapati Sambhajinagar district.</t>
  </si>
  <si>
    <t>Various regions in India</t>
  </si>
  <si>
    <t>Haryana authorities on Saturday banned mobile internet in Nuh district as Vishwa Hindu Parishad will hold the rally in spite of denial of permission to hold the march.</t>
  </si>
  <si>
    <t>https://internetshutdowns.in/</t>
  </si>
  <si>
    <t>https://thehindustangazette.com/national/haryana/vhp-to-take-out-rally-without-permission-internet-shutdown-in-nuh-17641</t>
  </si>
  <si>
    <t>Internet shutdown in Kolhapur amid unrest and protests in the city.</t>
  </si>
  <si>
    <t>TIMES NOW</t>
  </si>
  <si>
    <t>Internet services suspended in the Papumpare district of Arunachal Pradesh to maintain law and order. The incident comes amid a three-day bandh call which has been termed illegal by the government.</t>
  </si>
  <si>
    <t>Eastern Sentinel</t>
  </si>
  <si>
    <t>Mobile data services suspended in multiple districts of Manipur amid protests led by the Indigenous Tribal Leaders' Forum, which has been objecting to the BJP government's survey of reserved and protected forests and areas.</t>
  </si>
  <si>
    <t>Government of Manipur</t>
  </si>
  <si>
    <t>Internet services suspended in parts of Rajasthan’s Bharatpur district after thousands belonging to the Saini, Mali, Kushwaha and other communities blocked the Agra-Bikaner national highway demanding reservation.</t>
  </si>
  <si>
    <t>First India</t>
  </si>
  <si>
    <t>Internet shutdown in Punjab, imposed as part of a huge manhunt for a Sikh preacher fighting for a separate Sikh state.</t>
  </si>
  <si>
    <t>The Guardian</t>
  </si>
  <si>
    <t>The Haryana Government ordered suspension of mobile internet and SMS services in Nuh district over apprehensions of communal tension and breach of peace following a call for more protests over the abduction-murder of two men from Rajasthan.</t>
  </si>
  <si>
    <t>ETTelecom</t>
  </si>
  <si>
    <t>Internet services suspended in the Itanagar Capital Region to prevent "further occurrence of serious law and order problems" amid a bandh call (general strike) initiated by the Pan Arunachal Joint Steering Committee (PAJSC).</t>
  </si>
  <si>
    <t>IndiaTodayNE</t>
  </si>
  <si>
    <t>Internet shutdown in Sirohi amid protests over the murder of Kartik Bhil, a resident of Shivganj in Sirohi district of Rajasthan.</t>
  </si>
  <si>
    <t>Internet services suspended in seven districts in Meghalaya following flare-ups at the Assam-Meghalaya border.</t>
  </si>
  <si>
    <t>Internet shutdown in Chakradharpur district of Jharkhand after the murder of a Giriraj Sena member which was followed by protests of supporters.</t>
  </si>
  <si>
    <t>Internet services suspended in multiple areas of Bharatpur district in wake of protest call by sages against illegal mining, deforestation and overloading in Braj area of the district.</t>
  </si>
  <si>
    <t>Internet shutdown in multiple districts of Bihar after violent protests related to the Agnipath Scheme.</t>
  </si>
  <si>
    <t>Internet shutdown in Haryana over Agnipath protests.</t>
  </si>
  <si>
    <t>Internet shutdown in Murshidabad district of West Bengal after violent protests.</t>
  </si>
  <si>
    <t>Internet services suspended in Howrah district of West Bengal due to protests and communal tension.</t>
  </si>
  <si>
    <t>Internet shutdown in Ranchi after violent protests over a communal remark made by BJP leader.</t>
  </si>
  <si>
    <t>https://www.accessnow.org/keepiton/#problem</t>
  </si>
  <si>
    <t>Indonesia</t>
  </si>
  <si>
    <t>ID</t>
  </si>
  <si>
    <t>Internet blackout in Jayapura for around three hours. State-owned ISP said the disruption was caused by broken fiber optic cable. Rights watchdog says it should be seen within context of the August 26th trial of Victor Yeimo, spokesman for the pro-independence West Papua National Committee (KNPB), charged with treason and incitement.</t>
  </si>
  <si>
    <t>Jayapura</t>
  </si>
  <si>
    <t>Jubi</t>
  </si>
  <si>
    <t>Internet disrupted in Papua, Indonesia amid protests and calls for independence.</t>
  </si>
  <si>
    <t>Papua</t>
  </si>
  <si>
    <t>Indonesian government blocked Facebook, WhatsApp and Instagram for three days after 22 May riots to prevent hoax and fake news of the situation during the riots from spreading.</t>
  </si>
  <si>
    <t>Iran</t>
  </si>
  <si>
    <t>IR</t>
  </si>
  <si>
    <t>As president-elect Masoud Pezeshkian prepares to take office, Iran has once again experienced severe internet disruptions.</t>
  </si>
  <si>
    <t>https://www.iranintl.com/en/202407111864</t>
  </si>
  <si>
    <t>Network data show a significant disruption to internet connectivity in Zahedan, Iran, amid reports of a heavy security presence with checkpoints and searches; the incident continues the weekly pattern of shutdowns targeting anti-government protests on Fridays.</t>
  </si>
  <si>
    <t>Zahedan</t>
  </si>
  <si>
    <t>Network data show a disruption to internet connectivity in Zahedan, Iran amid protests and a heavy security presence; authorities have systematically shut down telecoms in the region on Fridays in a bid to silence discontent and anti-government sentiment</t>
  </si>
  <si>
    <t>Metrics show a significant disruption to internet connectivity in Zahedan, Iran, as Baloch citizens hold a silent protest amid reports of a heavy security presence; the incident continues a pattern of internet shutdowns targeting weekly anti-government protests</t>
  </si>
  <si>
    <t>Metrics show that internet connectivity has been disrupted in Zahedan, Sistan and Baluchestan Province, Iran on Friday, amid reports that several protesters have been injured or arrested by security forces.</t>
  </si>
  <si>
    <t>Network data show a significant disruption to internet connectivity in Zahedan, Iran, amid reports of a heavy security presence; the incident is the latest in a cycle of internet shutdowns targeting anti-government protests during Friday prayers</t>
  </si>
  <si>
    <t>Metrics show a disruption to internet connectivity in Zahedan, Sistan and Baluchistan, Iran, as protesters gather for the first time since the "Bloody Friday" massacre anniversary; the shutdown comes amid reports of a heavy security presence throughout the city</t>
  </si>
  <si>
    <t>Metrics show a significant to disruption to internet connectivity in Zahedan, Sistan and Baluchistan in Iran, on the first anniversary of the "Bloody Friday" massacre; authorities have systematically shut down telecoms to suppress weekly anti-government protests</t>
  </si>
  <si>
    <t xml:space="preserve">Network data show a disruption to internet connectivity in Zahedan, Iran; the incident follows a pattern of weekly regional internet shutdowns targeting anti-government protests during Friday prayers </t>
  </si>
  <si>
    <t>Live metrics show a significant disruption to internet connectivity in Zahedan, Iran; the incident continues the weekly pattern of regional internet shutdowns targeting anti-government protests, and comes on the eve of the anniversary of Mahsa Amini's death</t>
  </si>
  <si>
    <t>Network data show a significant disruption to internet connectivity in Zahedan, Iran; the incident continues the weekly pattern of regional internet shutdowns targeting anti-government protests at Friday prayers</t>
  </si>
  <si>
    <t>Another internet disruption in Zahedan during weekly Friday protests.</t>
  </si>
  <si>
    <t>Disruption to internet connectivity in Zahedan during weekly anti-government protests at Friday prayers. The incident is consistent with the trend of internet shutdowns happening amid demonstrations.</t>
  </si>
  <si>
    <t>Disruption to internet connectivity in Zahedan. The incident is the latest in a series of regional internet shutdowns targeting weekly anti-government protests during Friday prayers.</t>
  </si>
  <si>
    <t>Disruption to internet connectivity in Zahedan. The incident continues the cycle of regional internet shutdowns targeting weekly anti-government protests during Friday prayers.</t>
  </si>
  <si>
    <t>A significant disruption to internet connectivity in Zahedan. The incident is part of a cycle of regional internet shutdowns targeting anti-government protests during Friday prayers.</t>
  </si>
  <si>
    <t>A significant internet outage in Zahedan, part of a recurring pattern of regional internet shutdowns aimed at impeding the weekly anti-government demonstrations during Friday prayers.</t>
  </si>
  <si>
    <t>A significant disruption to internet connectivity in Zahedan, continuing the weekly pattern of regional internet shutdowns targeting anti-government protests during Friday prayers.</t>
  </si>
  <si>
    <t>A significant disruption to internet connectivity in Zahedan, continuing a pattern of regional network blackouts targeting anti-government protests during Friday prayers.</t>
  </si>
  <si>
    <t>A significant disruption to internet connectivity in Zahedan. The incident follows an ongoing pattern of regional network blackouts targeting protests during Friday prayers.</t>
  </si>
  <si>
    <t>A significant disruption to internet connectivity in Zahedan. The incident follows an ongoing pattern of regional network blackouts on Friday afternoons, targeting continued weekly political protests.</t>
  </si>
  <si>
    <t>A significant disruption to internet connectivity in Zahedan. The incident follows a pattern of regional network blackouts targeting continued Friday protests over the Zahedan massacre.</t>
  </si>
  <si>
    <t>A significant disruption to internet connectivity in Zahedan amid a growing security presence during protests over the Zahedan massacre.</t>
  </si>
  <si>
    <t>Internet connectivity disrupted in and around Sanandaj, Kurdistan Province, corroborating user reports of curfew-style cuts during strikes over the death of Mahsa Amini.</t>
  </si>
  <si>
    <t>Sanandaj</t>
  </si>
  <si>
    <t>Abnormal drop in internet connectivity around the time of the execution of Majidreza Rahnavard.</t>
  </si>
  <si>
    <t>Disruption to internet connectivity in and around Sanandaj, Kurdistan Province, after the killing of Houman Abdollahi and amid protests over the execution of Mohsen Shekari.</t>
  </si>
  <si>
    <t>Mobile internet cut off for many users amid a wave of new protests over the death of Mahsa Amini and reports of casualties, just as the Iranian World Cup team refused to sing the national anthem and backed the protest movement.</t>
  </si>
  <si>
    <t>Recurring disruptions to internet service amid protests over Mahsa Amini's death. Some disruptions nationwide, some localized (Zahedan, West Azerbaijan province, Kurdistan province, Sanandaj, South Iran, Amirkabir University).</t>
  </si>
  <si>
    <t>Mobile networks disrupted leaving many internet users completely offline. These mobile disruptions continued daily in a curfew-style rolling manner through to Friday.</t>
  </si>
  <si>
    <t>Near-total disruption to internet connectivity in Sanandaj, the capital of Kurdistan province, amid widening protests over the death of Mahsa Amini.</t>
  </si>
  <si>
    <t>A significant internet outage has been registered in Tehran, with real time network data showing connectivity at 67% of ordinary levels; the incident comes amid protests over the death of Mahsa Amini.</t>
  </si>
  <si>
    <t>Tehran</t>
  </si>
  <si>
    <t>An internet disruption has been registered in Iran with high impact to provider MobinNet; the incident comes amid ongoing protests.</t>
  </si>
  <si>
    <t>Internet disruption registered in Iran amid protests against government water management policies.</t>
  </si>
  <si>
    <t>Ahvaz and Isfahan</t>
  </si>
  <si>
    <t>Mobile internet disrupted in Iran amid Khuzestan water protests</t>
  </si>
  <si>
    <t>Khuzestan</t>
  </si>
  <si>
    <t>Mobile internet cut off in response to protests against the result of city council elections.</t>
  </si>
  <si>
    <t>Yasuj</t>
  </si>
  <si>
    <t>Disruption to internet connectivity, following four days of localized regional network disruptions reported in the Sistan and Baluchestan region amid deadly protests.</t>
  </si>
  <si>
    <t>Sistan and Baluchestan</t>
  </si>
  <si>
    <t>Disruptions of internet services in the southeast as unrest gripped the remote province after fatal border shootings. Rights groups called the disruptions a “tool to conceal” the government’s harsh crackdown on protests convulsing the area.</t>
  </si>
  <si>
    <t>AP</t>
  </si>
  <si>
    <t>Internet disrupted in Iran on anniversary of fuel protests.</t>
  </si>
  <si>
    <t>Internet disrupted in Iran as thousands gather to mourn singer Shajarian.</t>
  </si>
  <si>
    <t>Internet disrupted in Iran amid regional protests.</t>
  </si>
  <si>
    <t>Partial internet disruption registered in Iran with a possible connection with anticipated protests on 26 December 2019</t>
  </si>
  <si>
    <t>Internet disrupted in Iran amid fuel protests in multiple cities.</t>
  </si>
  <si>
    <t>Widespread Internet disruption in Iran amid geopolitical crisis.</t>
  </si>
  <si>
    <t>An extensive network survey by NetBlocks has revealed in unprecedented detail how internet controls are being used to block the Telegram messenger app and censor other services and news sites.</t>
  </si>
  <si>
    <t>ABC News</t>
  </si>
  <si>
    <t>Telegram blockage follows the arrest last month of 12 people who ran popular reformist channels on Telegram, ahead of a presidential election next month.</t>
  </si>
  <si>
    <t>PhysOrg</t>
  </si>
  <si>
    <t>CTVNews</t>
  </si>
  <si>
    <t>Iranian government blocks Facebook access. Opposition parties accuse President Mahmoud Ahmadinejad of trying to curb support for rivals before elections</t>
  </si>
  <si>
    <t>The main mobile telephone network in Iran was cut in the capital Tehran evening while popular Internet websites Facebook and YouTube also appeared to be blocked</t>
  </si>
  <si>
    <t>EconomicTimes</t>
  </si>
  <si>
    <t>Access to Skype restricted across all major ISPs amid protests over Mahsa Amini's death.</t>
  </si>
  <si>
    <t>Access to WhatsApp and Instagram restricted across all major ISPs amid protests over Mahsa Amini's death.</t>
  </si>
  <si>
    <t>AlJazeera</t>
  </si>
  <si>
    <t>Iran blocks Telegram, claiming the app endangers national security.</t>
  </si>
  <si>
    <t>NYtimes</t>
  </si>
  <si>
    <t>Iraq</t>
  </si>
  <si>
    <t>IQ</t>
  </si>
  <si>
    <t>Iraq’s Ministry of Communications blocks Telegram claiming that the app has been mishandling user data, raising national security concerns.</t>
  </si>
  <si>
    <t>Jurist</t>
  </si>
  <si>
    <t>Iraq shuts down internet again as protests intensify</t>
  </si>
  <si>
    <t>Iraq blocks social media, then shuts down internet amid civil unrest</t>
  </si>
  <si>
    <t>Iraq blocks Facebook, Twitter, WhatsApp and Instagram amid civil unrest</t>
  </si>
  <si>
    <t>Sudden internet shutdown in Iraq day before the Parliamentary Elections</t>
  </si>
  <si>
    <t>AcccessNow</t>
  </si>
  <si>
    <t>A full internet shutdown is in place affecting the largest population centres of Iraq and most provinces, including much of Baghdad, all of Basra and Kirkuk.</t>
  </si>
  <si>
    <t>Internet cut to stop protesters posting images of security force attacks</t>
  </si>
  <si>
    <t>Amnesty International UK</t>
  </si>
  <si>
    <t>Israel</t>
  </si>
  <si>
    <t>IL</t>
  </si>
  <si>
    <t>Jammu and Kashmir</t>
  </si>
  <si>
    <t>J&amp;K</t>
  </si>
  <si>
    <t>Network data show that the internet disruption in Azad Kashmir, #Pakistan, is ongoing as authorities crack down on protests amid reports of rising casualties; service was briefly restored during negotiations on Monday but shut down again after deadly clashes</t>
  </si>
  <si>
    <t>https://twitter.com/netblocks/status/1790403473734869145</t>
  </si>
  <si>
    <t>As a precautionary measure for the maintenance of order after the Lok Sabha passed “The Constitution (Jammu and Kashmir) Scheduled Tribes Order (Amendment) Bill, 2024”, the authorities suspended mobile internet services in Rajouri and Poonch districts.</t>
  </si>
  <si>
    <t>https://www.greaterkashmir.com/front-page-2/mobile-internet-services-suspended-in-rajouri-poonch-2/</t>
  </si>
  <si>
    <t>Pulwama's two areas are under 96-hour Internet shutdown "to prevent deterioration in public order", though the reason for the shutdown was not provided by the authorities.</t>
  </si>
  <si>
    <t xml:space="preserve">Mobile Internet services suspended in Poonch and neighbouring Rajouri district as massive search operation was underway to track down terrorists behind the recent ambush on two Army vehicles that left five soldiers dead in Jammu and Kashmir. </t>
  </si>
  <si>
    <t>https://www.thehindu.com/news/national/mobile-internet-suspended-in-jks-poonch-rajouri-amid-massive-anti-terrorist-operation/article67668388.ece</t>
  </si>
  <si>
    <t>Internet shutdown in District Rajouri of Jammu Province to prevent misuse by anti-national elements.</t>
  </si>
  <si>
    <t>https://internetshutdowns.in/static-page/jammu-kashmir/</t>
  </si>
  <si>
    <t>Government of Jammu and Kashmir</t>
  </si>
  <si>
    <t>Internet shutdown in District Kishtwar of Jammu Province to prevent misuse by anti-national elements.</t>
  </si>
  <si>
    <t>Internet shutdown in Semthan and Bijbhera areas of Anantnag district to prevent misuse by anti-national elements.</t>
  </si>
  <si>
    <t>Internet shutdown in Bushpora are of Srinagar district to prevent misuse by anti-national elements.</t>
  </si>
  <si>
    <t>Internet shutdown in the Tangpawa area of Anantnag district to prevent misuse by anti-national elements.</t>
  </si>
  <si>
    <t>Internet shutdown (mobile data) in Jammu and Rajouri districts of Jammu to prevent misuse by anti-national elements.</t>
  </si>
  <si>
    <t>Internet shutdown (mobile data) in Rajouri Town of Rajouri district in Jammu to prevent misuse by anti-national elements/miscreants.</t>
  </si>
  <si>
    <t>Internet shutdown in Srinagar district of Kashmir to prevent misuse by anti-national elements during the march of Muharram processions.</t>
  </si>
  <si>
    <t>Internet shutdown in Kulgam district of Jammu and Kashmir to prevent misuse by anti-national elements following encounter between security forces and terrorists.</t>
  </si>
  <si>
    <t>Internet shutdown imposed in Anantnag district of Kashmir to prevent misuse of Internet by terrorists.</t>
  </si>
  <si>
    <t>Internet shutdown in multiple districts of Kashmir to prevent misuse of internet by anti-national elements.</t>
  </si>
  <si>
    <t>Internet shutdown in Anantnag district of Kashmir to prevent misuse by anti-national elements following encounter between security forces and terrorists.</t>
  </si>
  <si>
    <t>Internet shutdown in Srinagar district of Kashmir in apprehension of disturbance of law and order by anti-national elements.</t>
  </si>
  <si>
    <t>Internet shutdown imposed in various districts of Kashmir to stop spreading of rumours related to separatist leader Yasin Malik death penalty.</t>
  </si>
  <si>
    <t>Internet shutdown in Shopian district of Kashmir to prevent misuse by anti-national elements following encounter between security forces and terrorists.</t>
  </si>
  <si>
    <t>Internet shutdown in Anantnag district to prevent misuse by anti-national elements following encounter between security forces and terrorists.</t>
  </si>
  <si>
    <t>Internet shutdown in Shopian district in Kashmir to prevent misuse by anti-national elements following encounter between security forces and terrorists.</t>
  </si>
  <si>
    <t>Internet shutdown in Pulwama district to prevent misuse by anti-national elements following encounter between security forces and terrorists.</t>
  </si>
  <si>
    <t>Internet shutdown in Shopian in Kashmir to prevent misuse by anti-national elements following encounter between security forces and terrorists.</t>
  </si>
  <si>
    <t>Internet shut down in Srinagar for parts of the day to prevent misuse by anti-national elements.</t>
  </si>
  <si>
    <t>Added in February, 2023</t>
  </si>
  <si>
    <t>Internet shut down in Pulwama for part of the day to prevent misuse by anti-national elements.</t>
  </si>
  <si>
    <t>Internet shutdown in Itanagar prompted by a bandh call by the All Nyishi Youth Association, seeking the chief minister's resignation.</t>
  </si>
  <si>
    <t>Arunachal24</t>
  </si>
  <si>
    <t>Internet shut down in Kulgam to prevent misuse by anti-national elements.</t>
  </si>
  <si>
    <t>Japan</t>
  </si>
  <si>
    <t>JP</t>
  </si>
  <si>
    <t>Jordan</t>
  </si>
  <si>
    <t>JO</t>
  </si>
  <si>
    <t>TikTok restricted on multiple internet providers amid protests over high fuel prices that have spread to several cities across the kingdom.</t>
  </si>
  <si>
    <t>Jamaica Observer</t>
  </si>
  <si>
    <t>Facebook CDN servers disrupted on multiple networks as King Abdullah II approves measures to formally detain former Crown Prince Hamzah and impacts internet users' ability to stream content online.</t>
  </si>
  <si>
    <t>JOSA</t>
  </si>
  <si>
    <t>In the aftermath of the alleged coup attempt linked to Prince Hamzah, a two-day internet shutdown impacted parts of western Amman.</t>
  </si>
  <si>
    <t>Amman and Al-Salt</t>
  </si>
  <si>
    <t>7iber</t>
  </si>
  <si>
    <t>Facebook Live streams restricted in Jordan during Teachers’ Syndicate protests. Real-time network data from the last 3 days show a curfew-style schedule of disruption affecting multiple internet providers.</t>
  </si>
  <si>
    <t>During the protests between December 2018 and January 2019 in the Fourth Circle in Amman, social media users reported that they were unable to access live streaming from Facebook Live.</t>
  </si>
  <si>
    <t>Kazakhstan</t>
  </si>
  <si>
    <t>KZ</t>
  </si>
  <si>
    <t xml:space="preserve">The people of Astana, Kazakhstan experienced an internet disruption as a rally formed in the capital city on 26 Nov to demonstrate against inauguration. Officials have claimed the Internet outage was due to equipment failure. </t>
  </si>
  <si>
    <t>Astana</t>
  </si>
  <si>
    <t>Internet disrupted in Kazakhstan amid energy price protests</t>
  </si>
  <si>
    <t>Internet shutdown coinciding with anti-government protests in several Kazakh cities calling for the release of political prisoners, following a resolution passed by the European Parliament on human rights in the country.</t>
  </si>
  <si>
    <t>Almaty and Astana</t>
  </si>
  <si>
    <t xml:space="preserve">Internet and streaming services blocked in Kazakhstan on election day. Social media was restricted two days following presidential elections. </t>
  </si>
  <si>
    <t xml:space="preserve">Multiple internet providers in Kazakhstan have blocked access to major social networks and online platforms Facebook, Instagram and YouTube as well as news and campaign websites on 9 May 2019, according to NetBlocks internet observatory network measurements. </t>
  </si>
  <si>
    <t xml:space="preserve">Kazakhstan is throttling the internet every evening when the president’s rival is online </t>
  </si>
  <si>
    <t>Eurasianet</t>
  </si>
  <si>
    <t>Social Media Sites Blocked in Kazakhstan on 25th Anniversary of Independence.</t>
  </si>
  <si>
    <t>Global Voices</t>
  </si>
  <si>
    <t>Kuwait</t>
  </si>
  <si>
    <t>KW</t>
  </si>
  <si>
    <t>Kyrgyzstan</t>
  </si>
  <si>
    <t>KG</t>
  </si>
  <si>
    <t>Internet disrupted in Kyrgyzstan as protests break out over alleged vote rigging.</t>
  </si>
  <si>
    <t>Laos</t>
  </si>
  <si>
    <t>LA</t>
  </si>
  <si>
    <t>Lebanon</t>
  </si>
  <si>
    <t>LB</t>
  </si>
  <si>
    <t>Malaysia</t>
  </si>
  <si>
    <t>MY</t>
  </si>
  <si>
    <t>The Maldives</t>
  </si>
  <si>
    <t>MV</t>
  </si>
  <si>
    <t>Mongolia</t>
  </si>
  <si>
    <t>MN</t>
  </si>
  <si>
    <t>Myanmar</t>
  </si>
  <si>
    <t>MM</t>
  </si>
  <si>
    <t>Mobile internet access cut off in townships that have seen widespread anti-junta protests since the military seized power. More townships affected later.</t>
  </si>
  <si>
    <t>Chin, Kachin, Magway, Mandalay, Sagaing</t>
  </si>
  <si>
    <t>RFA</t>
  </si>
  <si>
    <t>Myanmar Now</t>
  </si>
  <si>
    <t>One hour-long internet shutdown coinciding with the NUG’s press conference.</t>
  </si>
  <si>
    <t>Network data confirm the restriction of Twitter on Myanmar’s leading network operators, following the blocking of other social media platforms.</t>
  </si>
  <si>
    <t>The military ordered telecos to block Facebook, Instagram, WhatsApp and Messenger amid military coup.</t>
  </si>
  <si>
    <t>Internet disrupted in Myanmar amid military uprising. Two major disruptions on Februarry 1st and 6th followed by periodical shutdown starting on February 15th (approximately 10 hours each day) until April 27th.</t>
  </si>
  <si>
    <t xml:space="preserve">Myanmar authorities ordered the shutdown in the armed-conflict areas of Rakhine and Chin states. More than a million people living in these war-torn zones lost their right to access information they need to stay safe, such as news about the COVID-19 pandemic. </t>
  </si>
  <si>
    <t>Rakhine, Chin</t>
  </si>
  <si>
    <t>The Diplomat</t>
  </si>
  <si>
    <t>KrASIA</t>
  </si>
  <si>
    <t>Nepal</t>
  </si>
  <si>
    <t>NP</t>
  </si>
  <si>
    <t>Oman</t>
  </si>
  <si>
    <t>OM</t>
  </si>
  <si>
    <t>Clubhouse blocked on the grounds of not being licensed to operate. But some activists described the move as further erosion of freedom of expression.</t>
  </si>
  <si>
    <t>VoIP as a service was banned in Oman on 09/12/2007. Telegram launched on 08/14/2013. Some VoIP services were unblocked in 2020 in light of the pandemic, but Telegram not listed as unblocked.</t>
  </si>
  <si>
    <t>Oman Community Blog</t>
  </si>
  <si>
    <t>VoIP as a service was banned in Oman on 09/12/2007. WhatsApp launched on 02/24/2009. Some VoIP services were unblocked in 2020 in light of the pandemic, but WhatsApp listed as still blocked.</t>
  </si>
  <si>
    <t>Freedough</t>
  </si>
  <si>
    <t>Pakistan</t>
  </si>
  <si>
    <t>PK</t>
  </si>
  <si>
    <t>Metrics show social media platform Bluesky, a popular X alternative, has been restricted in Pakistan, corroborating user reports of issues accessing the service; Pakistan has imposed a growing number of social media platform bans and is also targeting VPN services</t>
  </si>
  <si>
    <t>Metrics show disruptions to internet connectivity in Pakistan with high impact to Khyber Pakhtunkhwa, Raw­al­pindi and Islamabad; the incident comes as opposition party PTI organizes rallies calling for the release of political prisoner and former PM Imran Khan</t>
  </si>
  <si>
    <t>Khyber Pakhtunkhwa, Raw­al­pindi and Islamabad</t>
  </si>
  <si>
    <t>Metrics show restrictions to Facebook are in effect on multiple providers in #Pakistan adding to the ongoing X ban imposed since 17 February; the new measure comes on the Islamic holy day of Ashura when authorities typically restrict mobile internet services.</t>
  </si>
  <si>
    <t>Live metrics show a new national-scale disruption to X/Twitter in #Pakistan amid escalating unrest and protests over allegations of election fraud, following a high-level resignation and public admission of vote manipulation by a senior election official</t>
  </si>
  <si>
    <t>https://twitter.com/netblocks/status/1758893268375339020</t>
  </si>
  <si>
    <r>
      <rPr>
        <rFont val="Arial"/>
        <color rgb="FF0F1419"/>
      </rPr>
      <t xml:space="preserve">Live metrics show a nation-scale disruption to X/Twitter across </t>
    </r>
    <r>
      <rPr>
        <rFont val="Arial"/>
        <color rgb="FF0F1419"/>
      </rPr>
      <t>#Pakistan</t>
    </r>
    <r>
      <rPr>
        <rFont val="Arial"/>
        <color rgb="FF0F1419"/>
      </rPr>
      <t>; the incident comes amid political turmoil after a controversial election held under an internet and mobile network blackout</t>
    </r>
  </si>
  <si>
    <r>
      <rPr>
        <rFont val="Arial"/>
        <color rgb="FF0F1419"/>
      </rPr>
      <t xml:space="preserve">Real-time network data show that internet blackouts are in effect in multiple regions of </t>
    </r>
    <r>
      <rPr>
        <rFont val="Arial"/>
        <color rgb="FF0F1419"/>
      </rPr>
      <t>Pakistan</t>
    </r>
    <r>
      <rPr>
        <rFont val="Arial"/>
        <color rgb="FF0F1419"/>
      </rPr>
      <t xml:space="preserve"> in addition to mobile network disruptions; the incident comes on election day and follows months of digital censorship targeting the political opposition.</t>
    </r>
  </si>
  <si>
    <t>Live metrics show a nation-scale disruption to social media platforms across Pakistan, including X/Twitter, Facebook, Instagram and YouTube; the incident comes as persecuted opposition leader Imran Khan's political party, PTI, launches its second virtual gathering</t>
  </si>
  <si>
    <t>Social media platforms disruption registered vacross Pakistan, including X, Facebook, Instagram and YouTube. The incident coincides with the former PM Imran Khan's party launch of its election fundraising telethon.</t>
  </si>
  <si>
    <t>Metrics show major social media platforms were restricted in Pakistan for ~7 hours on Sunday evening during an online political gathering; the incident is consistent with previous instances of internet censorship targeting opposition leader Imran Khan and his party PTI</t>
  </si>
  <si>
    <t>In addition to other social media platforms blocked a day earlier, some Instagram servers have also become unreachable. The incident is part of internet restrictions placed amid the arrest of former PM Imran Khan.</t>
  </si>
  <si>
    <t>In addition to social media restrictions, internet disruptions have also been observed across Pakistan. The incident is part of internet restrictions placed amid the arrest of former PM Imran Khan.</t>
  </si>
  <si>
    <t>Twitter, Facebook and YouTube restricted across Pakistan amid the arrest of former PM Imran Khan. The incident is likely to limit freedom of assembly and the public's ability to seek information.</t>
  </si>
  <si>
    <t>Access to YouTube has again been disrupted on as Khan appears on screen to give a live speech at the Peshawar Jalsa.</t>
  </si>
  <si>
    <t>A YouTube disruption was recorded on multiple mobile and fixed-line internet providers in Pakistan on Sunday, August 21, 2022. The disruption happened during a live broadcast of the former Prime Minister Imran Khan’s speech. Access was restored after the speech concluded.</t>
  </si>
  <si>
    <t>Internet was disrupted for a couple of hours on multiple providers across Pakistan on May 25, 2022. The incident came as the government moved to ban rallies and a march to the capital organized by ousted Prime Minister Imran Khan.</t>
  </si>
  <si>
    <t>Karachi, Lahore and Islamabad</t>
  </si>
  <si>
    <t>Access to popular social media sites blocked ahead of an expected crackdown on Islamists who have protested this week against France over caricatures of the prophet Muhammad in the French satirical magazine Charlie Hebdo.</t>
  </si>
  <si>
    <t>Financial Times</t>
  </si>
  <si>
    <t>Twitter, Periscope and Zoom restrictions in Pakistan. Incident matches the characteristics of previous documented restrictions applied on grounds of national security or to prevent unrest such as the Pakistan’s November 2017 social media blackout.</t>
  </si>
  <si>
    <t>Mobile phone services including mobile Internet may face suspension in multiple areas including Islamabad and Khyber Pakhtunkhwa before and during ‘Azadi March’ led by opposing political party JUI – F.</t>
  </si>
  <si>
    <t>Digital rights monitor</t>
  </si>
  <si>
    <t>Mobile services of Lahore Pindi ISL and Gujranwala Will be blocked from 8 am till Mughrib</t>
  </si>
  <si>
    <t>Lahore, Islamabad, Rawalpindi, Gujranwala</t>
  </si>
  <si>
    <t>Digital Rights Monitor</t>
  </si>
  <si>
    <t>Suspension of internet services in Balochistan to hamper election-related process</t>
  </si>
  <si>
    <t>Balochistan</t>
  </si>
  <si>
    <t>Dawn</t>
  </si>
  <si>
    <t xml:space="preserve">Mobile phone service has been partially suspended in few places of Rawalpindi and New Islamabad International Airport ahead of former prime minister Nawaz Sharif’s arrival at New Islamabad International Airport. </t>
  </si>
  <si>
    <t>Lahore</t>
  </si>
  <si>
    <t>Dunyanews</t>
  </si>
  <si>
    <t>Mass-scale blocking of social media and content-sharing websites including YouTube, Twitter and Facebook identified throughout Pakistan imposed by the government in response to the violent Tehreek-e-Labaik protests.</t>
  </si>
  <si>
    <t>Internet services suspended in the Federally Administered Tribal Areas (FATA) of Pakistan following a dispute at the Torkham border between Afghan and Pakistani forces. Mobile internet service restored 5 and a half years later.</t>
  </si>
  <si>
    <t>Federally Administered Tribal Areas</t>
  </si>
  <si>
    <t>Bolo BHI</t>
  </si>
  <si>
    <t>https://digitalrightsmonitor.pk/mobile-internet-restored-in-former-fatas-kurram-agency/</t>
  </si>
  <si>
    <t>72 hours service suspension on the occasion of pro-Mumtaz Qadri sit-in at the D-Chowk Islamabad.</t>
  </si>
  <si>
    <t>Propakistani</t>
  </si>
  <si>
    <t>The Philippines</t>
  </si>
  <si>
    <t>PH</t>
  </si>
  <si>
    <t>Mobile internet suspended in Quezon City during the 2018 SONA.</t>
  </si>
  <si>
    <t>Quezon City</t>
  </si>
  <si>
    <t>Mobile services (cell and internet) suspended within the immediate vicinity of the Black Nazarene procession.</t>
  </si>
  <si>
    <t>Manila</t>
  </si>
  <si>
    <t>Inquirer</t>
  </si>
  <si>
    <t>Cell sites shut down in Cebu City surrounding the area of procession routes during the Sinulog Festival. Official reason - public safety issues.</t>
  </si>
  <si>
    <t>Cebu City</t>
  </si>
  <si>
    <t>Cebu Daily News</t>
  </si>
  <si>
    <t>Qatar</t>
  </si>
  <si>
    <t>QA</t>
  </si>
  <si>
    <t>Popular Voice over IP (VoIP) apps such as Skype, Facetime, Duo, Viber, and WhatsApp were blocked in October 2017.</t>
  </si>
  <si>
    <t>Human Rights Watch</t>
  </si>
  <si>
    <t>LHN</t>
  </si>
  <si>
    <t>South Korea</t>
  </si>
  <si>
    <t>KR</t>
  </si>
  <si>
    <t>Saudi Arabia</t>
  </si>
  <si>
    <t>SA</t>
  </si>
  <si>
    <t xml:space="preserve">Snapchat, WhatsApp, Skype blocked for a year. </t>
  </si>
  <si>
    <t>The Verge</t>
  </si>
  <si>
    <t>Gov</t>
  </si>
  <si>
    <t>Telegraph</t>
  </si>
  <si>
    <t>Telegram has been throttled in Saudi Arabia since Sunday evening and the company has been left bewildered by the abrupt slowdown to their platform.</t>
  </si>
  <si>
    <t>TC</t>
  </si>
  <si>
    <t>Sri Lanka</t>
  </si>
  <si>
    <t>LK</t>
  </si>
  <si>
    <t>Multiple social media platforms, including Facebook, Twitter, WhatsApp, Viber, and YouTube, were restricted in Sri Lanka. The government declares a state of emergency, imposing curfews to counter widespread protests over the economic crisis.</t>
  </si>
  <si>
    <t>Significant decline in connectivity levels on internet provider Dialog from 29 March coinciding with the onset of protests.</t>
  </si>
  <si>
    <t>Facebook, WhatsApp, Instagram, YouTube, Viber, Snapchat and Facebook Messenger, and Twitter have been partially restored in Sri Lanka as of Friday 17 May 2019 following a four-day block, according to real-time network measurement data from the NetBlocks internet observatory</t>
  </si>
  <si>
    <t>Social media blocked again in Sri Lanka amid ethnic clashes</t>
  </si>
  <si>
    <t>Social media blocked in Sri Lanka following church and hotel bombings.</t>
  </si>
  <si>
    <t>Singapore</t>
  </si>
  <si>
    <t>SG</t>
  </si>
  <si>
    <t>Syria</t>
  </si>
  <si>
    <t>SY</t>
  </si>
  <si>
    <t>Syrians have experienced another ~3.5 hour, nation-wide shutdown for secondary exams.</t>
  </si>
  <si>
    <t>3G internet connection is back to Raqqa western and northern countryside 4 years after it was shutdown.</t>
  </si>
  <si>
    <t>Raqqa</t>
  </si>
  <si>
    <t>NSO</t>
  </si>
  <si>
    <t>Internet restored in Aleppo, Syria following 6-day govt-directed blackout during rebel offensive</t>
  </si>
  <si>
    <t>Aleppo</t>
  </si>
  <si>
    <t>Tajikistan</t>
  </si>
  <si>
    <t>TJ</t>
  </si>
  <si>
    <t>Tajikistan: Authorities somehow find more room for internet censorship.</t>
  </si>
  <si>
    <t>An hour before Kabiri began his show, clients of mobile service provider Tcell were unable to get online. Another provider, Intercom, blocked access to services like WhatsApp, YouTube, Facebook, Twitter and even Gmail.</t>
  </si>
  <si>
    <t>Rapid deterioration of internet service provision routinely follows in Tajikistan in the wake of instances of unrest. Tajik authorities had sprung into action, extending the blockages on websites to all Google resources, which meant that internet users could not access Gmail, YouTube or Google Drive, among other things. Twitter, Facebook, Instagram and other social media sites were also off-limits.</t>
  </si>
  <si>
    <t>Access to YouTube, Facebook Restricted Again In Tajikistan. Such government action has almost always coincided with online activities of opposition groups or events tied to social and political events in the Central Asian nation. Duration of Facebook ban is not known.</t>
  </si>
  <si>
    <t>Rferl</t>
  </si>
  <si>
    <t>Thailand</t>
  </si>
  <si>
    <t>TH</t>
  </si>
  <si>
    <t>Thai authorities are reported to have ordered internet providers to block the Telegram messaging app, which has been used by anti-government protesters.</t>
  </si>
  <si>
    <t>Timor-Leste</t>
  </si>
  <si>
    <t>TL</t>
  </si>
  <si>
    <t>Turkey</t>
  </si>
  <si>
    <t>TR</t>
  </si>
  <si>
    <t>Live metrics show social media platforms including X, Instagram, Facebook, YouTube and TikTok have been restricted in Turkey; the incident comes as authorities impose a broadcast ban over today's deadly attack on Turkish Aerospace Industries' headquarters in Ankara</t>
  </si>
  <si>
    <t>Turkey has blocked access to instant messaging platform Discord in line with a court decision after the platform refused to share information demanded by Ankara, Turkish authorities said on Wednesday. The San Francisco-based company did not immediately respond to a request for comment. Turkey's Information Technologies and Communication Authority published the access ban decision on its website. Justice minister Yilmaz Tunc said an Ankara court decided to block access to Discord from Turkey due to sufficient suspicion that crimes of "child sexual abuse and obscenity" had been committed by some using the platform. The block comes after public outrage in Turkey caused by the murder of two women by a 19-year-old man in Istanbul this month. Content on social media showed Discord users subsequently praising the killing.</t>
  </si>
  <si>
    <t>photo and video sharing platform Instagram has been restricted in Turkey; the ban implemented by the Information and Communication Technologies Authority follows a court order issued this morning to prevent access to the popular Meta social app</t>
  </si>
  <si>
    <t>Live metrics show subnational social media restrictions in effect in Kayseri, #Turkey, amidst widening unrest with shops and vehicles burned in anti-Syrian riots over child assault</t>
  </si>
  <si>
    <t>Kayseri</t>
  </si>
  <si>
    <t>https://twitter.com/netblocks/status/1807863674272731242</t>
  </si>
  <si>
    <t>Turkey's Information Technologies and Communications Authority blocked access to popular social platform Ekşi Sözlük (Sour Dictionary). The move is widely seen as the latest step in censoring online content that the state deems disinformation. The primary and secondary mirror domains of the website were also restricted amid presidential elections in May of 2023.</t>
  </si>
  <si>
    <t>Webrazzi</t>
  </si>
  <si>
    <t>Twitter is down in Turkey amid deathly earthquakes and alleged government concerns of disinformation online, internet watchdog NetBlocks states.</t>
  </si>
  <si>
    <t>Social media platforms Twitter, Instagram, YouTube and Facebook restricted after a deadly explosion in Taksim, Istanbul. The measure was implemented as Turkey’s Radio and Television Supreme Council regulatory authority announced a media ban on the topic of the explosion.</t>
  </si>
  <si>
    <t>Turkey blocks social media access after Syria airstrike. Network data from the NetBlocks internet observatory confirm that Turkey has blocked access to social media following an attack on Turkish troops in Idlib, Syria on Thursday 27 February 2020.</t>
  </si>
  <si>
    <t>EuroNews</t>
  </si>
  <si>
    <t>Twitter, Facebook, WhatsApp and Instagram restricted in southern Turkey.</t>
  </si>
  <si>
    <t>Gaziantep, Sanliurfa and Hatay</t>
  </si>
  <si>
    <t>Throttling of Twitter and YouTube affecting many internet users in Turkey after a new ISIS propaganda video was shared online.</t>
  </si>
  <si>
    <t>Turkey Blocks</t>
  </si>
  <si>
    <t>Restrictions on access to multiple social media and messaging services, related to the detention of multiple leaders of opposition political party HDP, accompanied by raids of the HDP headquarters in Ankara.</t>
  </si>
  <si>
    <t>A second full internet shutdown cut off 6 million citizens in Turkey’s Southeast regions, amidst protests against the detention of Diyarbakir mayor and co-mayor Gültan Kışanak and Fırat Anlı on terrorism charges.</t>
  </si>
  <si>
    <t>11 cities in Turkey's Southeast regions</t>
  </si>
  <si>
    <t>A full internet shutdown cut off Turkey’s Southeast regions, following protests against the detention of Diyarbakir mayor and co-mayor Gültan Kışanak and Fırat Anlı on terrorism charges.</t>
  </si>
  <si>
    <t>Full internet shutdown affecting Turkey’s Southeast regions, cutting off an estimated 12 million Turkish citizens, coinciding with the state’s removal of elected local officials from office this morning in predominantly ethnic-Kurdish regions of the country.</t>
  </si>
  <si>
    <t>15 cities in Turkey's Southeast regions</t>
  </si>
  <si>
    <t>Restrictions on access to multiple social media services, possibly due to military operations to expel so-called Islamic State militants on the border with Syria.</t>
  </si>
  <si>
    <t>Country-wide restrictions on access to multiple social media services following media bans on reporting of a bomb attack in Gaziantep.</t>
  </si>
  <si>
    <t>Turkmenistan</t>
  </si>
  <si>
    <t>TM</t>
  </si>
  <si>
    <t>As of 2018, foreign news, opposition websites and international social networks such as Twitter are "often inaccessible".</t>
  </si>
  <si>
    <t>News18</t>
  </si>
  <si>
    <t>SW</t>
  </si>
  <si>
    <t>In September 2010, Facebook was already banned in Turkmenistan.</t>
  </si>
  <si>
    <t>IPHR</t>
  </si>
  <si>
    <t xml:space="preserve">YouTube was blocked by its only ISP in December 2009, and the ban has been in place in Turkmenistan ever since. </t>
  </si>
  <si>
    <t>tubular</t>
  </si>
  <si>
    <t>Civicus</t>
  </si>
  <si>
    <t>Most social networks are blocked, including WhatsApp and Telegram (Turkmens use Imo). It is not clear when they were blocked. WhatsApp might have been blocked as early as 2012.</t>
  </si>
  <si>
    <t>Caravanistan</t>
  </si>
  <si>
    <t>The U.A.E.</t>
  </si>
  <si>
    <t>AE</t>
  </si>
  <si>
    <r>
      <rPr>
        <rFont val="Arial"/>
        <color theme="1"/>
      </rPr>
      <t xml:space="preserve">Most </t>
    </r>
    <r>
      <rPr>
        <rFont val="Arial"/>
        <color theme="1"/>
      </rPr>
      <t>Voice over Internet Protocol (VoIP) services</t>
    </r>
    <r>
      <rPr>
        <rFont val="Arial"/>
        <color theme="1"/>
      </rPr>
      <t xml:space="preserve"> – including Skype, FaceTime and WhatsApp – which enable free voice and video calls via the internet, are illegal in the UAE.</t>
    </r>
  </si>
  <si>
    <t>Emirates247</t>
  </si>
  <si>
    <t>CNBC</t>
  </si>
  <si>
    <t>While progress is apparently being made by big-name app brands in the UAE on service expansion, rival Telegram’s regulatory issues appeared to worsen.</t>
  </si>
  <si>
    <t>Mobile world live</t>
  </si>
  <si>
    <t>Taiwan</t>
  </si>
  <si>
    <t>TW</t>
  </si>
  <si>
    <t>Uzbekistan</t>
  </si>
  <si>
    <t>UZ</t>
  </si>
  <si>
    <t>Uzkomnazorat restricted Telegram, YouTube, Instagram, Facebook for violating the Central Asian country’s personal data legislation.</t>
  </si>
  <si>
    <t>Ozodlik</t>
  </si>
  <si>
    <t>Radio Free Europe</t>
  </si>
  <si>
    <t>Uzkomnazorat banned TikTok, Twitter, Skype, WeChat and VKontakte for violating the Central Asian country’s personal data legislation. Twitter, WeChat and VKontakte were unblocked in August of 2022.</t>
  </si>
  <si>
    <t>After a 13-month ban, Twitter, WeChat and VKontakte were unblocked in Uzbekistan.</t>
  </si>
  <si>
    <t>The State Inspectorate for Supervision of Information and Telecommunications (Uzkomnazorat) restricted Telegram, YouTube, Instagram, Facebook for violating the Central Asian country’s personal data legislation.</t>
  </si>
  <si>
    <t>Disruption to internet connectivity amid secession protests.</t>
  </si>
  <si>
    <t>Skype suddenly stopped functioning properly in Uzbekistan in late July 2015. Other similar forms of free-of-charge communication (Viber, Whatsapp, etc.) worked only sporadically, if at all.</t>
  </si>
  <si>
    <t>EurasiaNet</t>
  </si>
  <si>
    <t>Vietnam</t>
  </si>
  <si>
    <t>VN</t>
  </si>
  <si>
    <t>Vietnam blocked Facebook during U.S. President Obama's visit to the country and cracked down on human rights activists.</t>
  </si>
  <si>
    <t>Facebook blocked in Vietnam over the weekend due to citizen protests</t>
  </si>
  <si>
    <t>Yemen</t>
  </si>
  <si>
    <t>YE</t>
  </si>
  <si>
    <t>Metrics show the restriction of popular messaging platforms in Yemen, corroborating user reports of difficultly accessing the services; the incident comes on the eve of September Revolution Day</t>
  </si>
  <si>
    <t xml:space="preserve">Live network data show a major internet outage on Yemen's Houthi-controlled YemenNet telco. The incident has knocked the operator offline, leaving overall national connectivity at 33% of ordinary levels </t>
  </si>
  <si>
    <t>Metrics show a partial disruption to the Apple App Store and Google services including YouTube and Gmail on Yemen's YemenNet.</t>
  </si>
  <si>
    <t>Cable damage wipes out 80% of Yemen's internet connectivity for at least six days following reports of sabotage to fibre optic cables by Houthi rebels.</t>
  </si>
  <si>
    <t>Wired</t>
  </si>
  <si>
    <t>The new arab</t>
  </si>
  <si>
    <t>Twitter, Facebook, Telegram, Instagram and WhatsApp social networking sites were blocked two days after the killing of former Yemeni President Ali Abdullah Saleh.</t>
  </si>
  <si>
    <t>Yemenat</t>
  </si>
  <si>
    <t>Skype banned in Yemen to protect state monopoly over international calls.</t>
  </si>
  <si>
    <t>Reliefweb</t>
  </si>
  <si>
    <t xml:space="preserve">Affected countries:        </t>
  </si>
  <si>
    <t>EUROPE</t>
  </si>
  <si>
    <t>Albania</t>
  </si>
  <si>
    <t>AL</t>
  </si>
  <si>
    <t>Andorra</t>
  </si>
  <si>
    <t>AD</t>
  </si>
  <si>
    <t>Austria</t>
  </si>
  <si>
    <t>AT</t>
  </si>
  <si>
    <t>Belarus</t>
  </si>
  <si>
    <t>BY</t>
  </si>
  <si>
    <t>Internet restricted in Belarus during marches to mark 50th day of protests in #Minsk and other cities</t>
  </si>
  <si>
    <t xml:space="preserve">Twitter blocked; according to Netblocks several online platforms including social media were unavailable also. </t>
  </si>
  <si>
    <t>Vice</t>
  </si>
  <si>
    <t>Internet disruption hits Belarus on election day</t>
  </si>
  <si>
    <t>NetObservatory</t>
  </si>
  <si>
    <t xml:space="preserve">Government shut down mobile internet in downtown Minsk and at least one regional capital during antigovernment protests held on "Freedom Day" on March 25, 2017. </t>
  </si>
  <si>
    <t>Minsk</t>
  </si>
  <si>
    <t>Svaboda</t>
  </si>
  <si>
    <t>refworld</t>
  </si>
  <si>
    <t>Belgium</t>
  </si>
  <si>
    <t>BE</t>
  </si>
  <si>
    <t>Bosnia and Herzegovina</t>
  </si>
  <si>
    <t>BA</t>
  </si>
  <si>
    <t>Bulgaria</t>
  </si>
  <si>
    <t>BG</t>
  </si>
  <si>
    <t>Croatia</t>
  </si>
  <si>
    <t>HR</t>
  </si>
  <si>
    <t>Cyprus</t>
  </si>
  <si>
    <t>CY</t>
  </si>
  <si>
    <t>Czechia</t>
  </si>
  <si>
    <t>CZ</t>
  </si>
  <si>
    <t>Denmark</t>
  </si>
  <si>
    <t>DK</t>
  </si>
  <si>
    <t>Estonia</t>
  </si>
  <si>
    <t>EE</t>
  </si>
  <si>
    <t>Finland</t>
  </si>
  <si>
    <t>FI</t>
  </si>
  <si>
    <t>France</t>
  </si>
  <si>
    <t>FR</t>
  </si>
  <si>
    <t>Germany</t>
  </si>
  <si>
    <t>DE</t>
  </si>
  <si>
    <t>Greece</t>
  </si>
  <si>
    <t>GR</t>
  </si>
  <si>
    <t>Hungary</t>
  </si>
  <si>
    <t>HU</t>
  </si>
  <si>
    <t>Iceland</t>
  </si>
  <si>
    <t>IS</t>
  </si>
  <si>
    <t>Ireland</t>
  </si>
  <si>
    <t>IE</t>
  </si>
  <si>
    <t>Italy</t>
  </si>
  <si>
    <t>IT</t>
  </si>
  <si>
    <t>Latvia</t>
  </si>
  <si>
    <t>LV</t>
  </si>
  <si>
    <t>Liechtenstein</t>
  </si>
  <si>
    <t>LI</t>
  </si>
  <si>
    <t>Lithuania</t>
  </si>
  <si>
    <t>LT</t>
  </si>
  <si>
    <t>Luxembourg</t>
  </si>
  <si>
    <t>LU</t>
  </si>
  <si>
    <t>Malta</t>
  </si>
  <si>
    <t>MT</t>
  </si>
  <si>
    <t>Monaco</t>
  </si>
  <si>
    <t>MC</t>
  </si>
  <si>
    <t>Montenegro</t>
  </si>
  <si>
    <t>ME</t>
  </si>
  <si>
    <t>WhatsApp, Viber and similar messaging apps blocked on election day in Montenegro.</t>
  </si>
  <si>
    <t>The Netherlands</t>
  </si>
  <si>
    <t>NL</t>
  </si>
  <si>
    <t>North Macedonia</t>
  </si>
  <si>
    <t>MK</t>
  </si>
  <si>
    <t>Norway</t>
  </si>
  <si>
    <t>NO</t>
  </si>
  <si>
    <t>Poland</t>
  </si>
  <si>
    <t>PL</t>
  </si>
  <si>
    <t>Portugal</t>
  </si>
  <si>
    <t>PT</t>
  </si>
  <si>
    <t>Moldova</t>
  </si>
  <si>
    <t>MD</t>
  </si>
  <si>
    <t>Romania</t>
  </si>
  <si>
    <t>RO</t>
  </si>
  <si>
    <t>Russia</t>
  </si>
  <si>
    <t>RU</t>
  </si>
  <si>
    <t>Live metrics show messaging platform Discord has been restricted on multiple internet providers in #Russia; the measure comes as telecoms regulator Roskomnadzor announces that the service is in violation of Russian laws relating to "terrorist and extremist" content</t>
  </si>
  <si>
    <t xml:space="preserve"> Metrics show Russia has restricted Signal messaging app backends on most internet providers; regulator Roskomnadzor states that the ban has been imposed to prevent Signal's use for "extremist" purposes; the app remains usable with "censorship circumvention" enabled</t>
  </si>
  <si>
    <t>Instagram restricted in Russia, adding onto earlier social media restrictions in relation to its invasion of Ukraine</t>
  </si>
  <si>
    <t>Facebook restricted in Russia in relation to its invasion of Ukraine. Facebook officially banned on March 4th.</t>
  </si>
  <si>
    <t>Twitter restricted in Russia in relation to its invasion of Ukraine.</t>
  </si>
  <si>
    <t>Iternet disrupted amid protests against the detention of Alexei Navalny.</t>
  </si>
  <si>
    <t>Moscow and St. Petersburg</t>
  </si>
  <si>
    <t>Internet and cell signal disruptions during opposition protests in Moscow.</t>
  </si>
  <si>
    <t>Moscow</t>
  </si>
  <si>
    <t>Meduza</t>
  </si>
  <si>
    <t>Internet shutdown amid mass protests against change in the rules for holding a referendum in Ingushetia.</t>
  </si>
  <si>
    <t>Republic of Ingushetia</t>
  </si>
  <si>
    <t>Roskomsvoboda</t>
  </si>
  <si>
    <t>Mobile internet turned off amid protests against the transfer of part of Ingushetia land to Chechnya.</t>
  </si>
  <si>
    <t>Zona</t>
  </si>
  <si>
    <t>Russia banned Telegram for its refusal to share user messaging data with the government.</t>
  </si>
  <si>
    <t>LinkedIn blocked in Russia since it wouldn't transfer Russian user data to local servers.</t>
  </si>
  <si>
    <t>San Marino</t>
  </si>
  <si>
    <t>SM</t>
  </si>
  <si>
    <t>Serbia</t>
  </si>
  <si>
    <t>RS</t>
  </si>
  <si>
    <t>Slovakia</t>
  </si>
  <si>
    <t>SK</t>
  </si>
  <si>
    <t>Slovenia</t>
  </si>
  <si>
    <t>SI</t>
  </si>
  <si>
    <t>Spain</t>
  </si>
  <si>
    <t>ES</t>
  </si>
  <si>
    <t>Sweden</t>
  </si>
  <si>
    <t>SE</t>
  </si>
  <si>
    <t>Switzerland</t>
  </si>
  <si>
    <t>CH</t>
  </si>
  <si>
    <t>Ukraine</t>
  </si>
  <si>
    <t>UA</t>
  </si>
  <si>
    <t xml:space="preserve">Voice over IP (VoIP) apps currently restricted
</t>
  </si>
  <si>
    <r>
      <rPr>
        <rFont val="Arial"/>
        <color rgb="FF000000"/>
      </rPr>
      <t xml:space="preserve">Popular Russian websites, social media and other services (Yandex, VKontakte, </t>
    </r>
    <r>
      <rPr>
        <rFont val="Arial"/>
        <color rgb="FF000000"/>
      </rPr>
      <t>Mail.ru</t>
    </r>
    <r>
      <rPr>
        <rFont val="Arial"/>
        <color rgb="FF000000"/>
      </rPr>
      <t>, etc.) blocked in another round of sanctions in response to Crimea annexation.</t>
    </r>
  </si>
  <si>
    <t>Associated Press</t>
  </si>
  <si>
    <t>The U.K.</t>
  </si>
  <si>
    <t>GB</t>
  </si>
  <si>
    <t>NORTH AMERICA</t>
  </si>
  <si>
    <t>Antigua and Barbuda</t>
  </si>
  <si>
    <t>AG</t>
  </si>
  <si>
    <t>Bahamas</t>
  </si>
  <si>
    <t>BS</t>
  </si>
  <si>
    <t>Barbados</t>
  </si>
  <si>
    <t>BB</t>
  </si>
  <si>
    <t>Belize</t>
  </si>
  <si>
    <t>BZ</t>
  </si>
  <si>
    <t>Canada</t>
  </si>
  <si>
    <t>CA</t>
  </si>
  <si>
    <t>Costa Rica</t>
  </si>
  <si>
    <t>CR</t>
  </si>
  <si>
    <t>Cuba</t>
  </si>
  <si>
    <t>CU</t>
  </si>
  <si>
    <t>A nation-scale disruption to internet traffic amid protests for freedom and human rights centering around Caimanera, Guantánamo.</t>
  </si>
  <si>
    <t>Internet cut for the second evening in a row amid protests over poor conditions and power cuts worsened by Hurricane Ian.</t>
  </si>
  <si>
    <t>Near-total collapse of internet traffic amid reports of major protests over power cuts and poor conditions exacerbated by Hurricane Ian, with security forces deployed.</t>
  </si>
  <si>
    <t>A disruption to internet service amid protests in and around Pinar del Rio corroborating reports of the loss of communications for ~45 minutes.</t>
  </si>
  <si>
    <t>Disruptions to social media and messaging platforms in line with the protests.</t>
  </si>
  <si>
    <t>Countrywide internet outages following widespread anti-government protests.</t>
  </si>
  <si>
    <t>Internet access blocked as authorities were beating and detaining protesters at a demonstration for free expression and artistic freedom outside the Ministry of Culture in Havana.</t>
  </si>
  <si>
    <t>LatAm Journalism Review</t>
  </si>
  <si>
    <t>Social media intermittently unavailable over the weekend amid protests in Havana by a group calling for artistic rights.</t>
  </si>
  <si>
    <t>Dominica</t>
  </si>
  <si>
    <t>DM</t>
  </si>
  <si>
    <t>The Dominican Republic</t>
  </si>
  <si>
    <t>DO</t>
  </si>
  <si>
    <t>El Salvador</t>
  </si>
  <si>
    <t>SV</t>
  </si>
  <si>
    <t>Live metrics show a disruption to Telegram backend and frontend services in El Salvador; the incident comes on the country's national Independence Day and follows a pattern previously observed on presidential inauguration day</t>
  </si>
  <si>
    <r>
      <rPr>
        <color rgb="FF0F1419"/>
        <sz val="10.0"/>
      </rPr>
      <t xml:space="preserve">messaging platform Telegram has become inaccessible on multiple internet providers in </t>
    </r>
    <r>
      <rPr>
        <color rgb="FF0F1419"/>
        <sz val="10.0"/>
      </rPr>
      <t>#ElSalvador</t>
    </r>
    <r>
      <rPr>
        <color rgb="FF0F1419"/>
        <sz val="10.0"/>
      </rPr>
      <t xml:space="preserve"> on day of presidential inauguration; access remains possible through the use of VPN services</t>
    </r>
  </si>
  <si>
    <t>Grenada</t>
  </si>
  <si>
    <t>GD</t>
  </si>
  <si>
    <t>Guatemala</t>
  </si>
  <si>
    <t>GT</t>
  </si>
  <si>
    <t>Haiti</t>
  </si>
  <si>
    <t>HT</t>
  </si>
  <si>
    <t>Honduras</t>
  </si>
  <si>
    <t>HN</t>
  </si>
  <si>
    <t>Jamaica</t>
  </si>
  <si>
    <t>JM</t>
  </si>
  <si>
    <t>Mexico</t>
  </si>
  <si>
    <t>MX</t>
  </si>
  <si>
    <t>Nicaragua</t>
  </si>
  <si>
    <t>NI</t>
  </si>
  <si>
    <t>Regional internet outages and disruptions amid protests for democratic reforms and better economic conditions.</t>
  </si>
  <si>
    <t>Jinotega</t>
  </si>
  <si>
    <t>Panama</t>
  </si>
  <si>
    <t>PA</t>
  </si>
  <si>
    <t>St. Kitts and Nevis</t>
  </si>
  <si>
    <t>KN</t>
  </si>
  <si>
    <t>St. Lucia</t>
  </si>
  <si>
    <t>LC</t>
  </si>
  <si>
    <t>St. Vincent and the Grenadines</t>
  </si>
  <si>
    <t>VC</t>
  </si>
  <si>
    <t>Trinidad and Tobago</t>
  </si>
  <si>
    <t>TT</t>
  </si>
  <si>
    <t>The U.S.</t>
  </si>
  <si>
    <t>US</t>
  </si>
  <si>
    <t>SOUTH AMERICA</t>
  </si>
  <si>
    <t>Argentina</t>
  </si>
  <si>
    <t>AR</t>
  </si>
  <si>
    <t>Bolivia</t>
  </si>
  <si>
    <t>BO</t>
  </si>
  <si>
    <t>Brazil</t>
  </si>
  <si>
    <t>BR</t>
  </si>
  <si>
    <t>Metrics show Brazil's leading ISPs are now enforcing the Supreme Court's order to ban X (formerly Twitter); the order follows X's refusal to censor accounts associated with the previous administration and political right, and its refusal to appoint a representative</t>
  </si>
  <si>
    <t>AP News</t>
  </si>
  <si>
    <t>A judge ordered a temporary ban on Telegram due to the platform’s failure to provide complete user data from two group chats. Authorities claimed that these chats had incited school attacks.</t>
  </si>
  <si>
    <t>Supreme Court Judge Alexandre de Moraes, an opponent of President Bolsonaro, ordered a ban on Telegram for failure to respond to court orders. Ban overturned after Telegram made several changes to tackle misinformation, including removal of classified information shared by President Bolsonaro.</t>
  </si>
  <si>
    <t>Nasdaq</t>
  </si>
  <si>
    <t>WhatsApp was blocked in Brazil for part of Tuesday when a judge in Rio de Janeiro ordered mobile phone operators to suspend it.</t>
  </si>
  <si>
    <t>Folha</t>
  </si>
  <si>
    <t>WhatsApp blocked for not complying with an order to assist the federal police in a drug investigation. Ban overturned by judge.</t>
  </si>
  <si>
    <t>Policy Review</t>
  </si>
  <si>
    <t>WhatsApp blocked for refusal to reveal user information related to drug trafficking investigations. Ban overturned by judge.</t>
  </si>
  <si>
    <t>ConJur</t>
  </si>
  <si>
    <t>Chile</t>
  </si>
  <si>
    <t>CL</t>
  </si>
  <si>
    <t>Colombia</t>
  </si>
  <si>
    <t>CO</t>
  </si>
  <si>
    <t>Internet disrupted in Cali, Colombia amid widespread anti-government protests.</t>
  </si>
  <si>
    <t>Cali</t>
  </si>
  <si>
    <t>Ecuador</t>
  </si>
  <si>
    <t>EC</t>
  </si>
  <si>
    <t>Mobile network operator Claro suffered severe outages in Quito as political crisis escalated.</t>
  </si>
  <si>
    <t>Quito</t>
  </si>
  <si>
    <t>Social media backend image and CDN servers temporarily disrupted amid a spiralling political crisis and widespread protests.</t>
  </si>
  <si>
    <t>Guyana</t>
  </si>
  <si>
    <t>GY</t>
  </si>
  <si>
    <t>Paraguay</t>
  </si>
  <si>
    <t>PY</t>
  </si>
  <si>
    <t>Peru</t>
  </si>
  <si>
    <t>PE</t>
  </si>
  <si>
    <t>Suriname</t>
  </si>
  <si>
    <t>SR</t>
  </si>
  <si>
    <t>Social media and messaging platforms Facebook, WhatsApp, Instagram, and Messenger were restricted in Suriname amid protests over the rising cost of living as protesters stormed the National Assembly.</t>
  </si>
  <si>
    <t>Uruguay</t>
  </si>
  <si>
    <t>UY</t>
  </si>
  <si>
    <t>Venezuela</t>
  </si>
  <si>
    <t>VE</t>
  </si>
  <si>
    <t>Live metrics show X (formerly Twitter) is now restricted in Venezuela as contested president Maduro orders regulator Conatel to ban the platform for 10 days, claiming that it promotes civil war</t>
  </si>
  <si>
    <t>Metrics show a disruption to internet connectivity in Venezuela with high impact to Caracas; the incident comes as polls close for Sunday's presidential election primaries, with state provider ABA CANTV claiming an issue with its energy backup system</t>
  </si>
  <si>
    <t>Social media restricted on day of National Assembly leadership vote.</t>
  </si>
  <si>
    <t>Twitter, Facebook, Instagram and subsequently YouTube restricted on day of planned protests and mobilization for free and fair elections.</t>
  </si>
  <si>
    <t>Twitter and Instagram restricted during National Assembly session.</t>
  </si>
  <si>
    <t>Streaming services restricted in Venezuela as Guaido holds press conference in Caracas.</t>
  </si>
  <si>
    <t>Streaming services restricted in Venezuela as Guaido discusses national plan from Andrés Bello Catholic University.</t>
  </si>
  <si>
    <t>YouTube and online services restricted in Venezuela as Guaido tours Los Teques, Miranda.</t>
  </si>
  <si>
    <t>YouTube and Periscope disrupted during National Assembly live stream.</t>
  </si>
  <si>
    <t>YouTube and online services restricted as Guaido speaks from Guatire.</t>
  </si>
  <si>
    <t>Streaming services disrupted prior to Guaido meeting with professionals and technicians.</t>
  </si>
  <si>
    <t>State-run ISP CANTV restricted access to YouTube, Google services, Bing and Periscope shortly before Guaido scheduled to make a public statement on blockade of the National Assembly building.</t>
  </si>
  <si>
    <t>State-run ISP CANTV restricted access to YouTube, Google services, Bing and Periscope as Juan Guaidó spoke to the public from Las Mercedes, Caracas.</t>
  </si>
  <si>
    <t>Streaming services disrupted as Guaido and National Assembly members give press conference on Zambrano detention.</t>
  </si>
  <si>
    <t>Platform disruptions affecting multiple streaming platforms detected during the live streaming of a session of the National Assembly.</t>
  </si>
  <si>
    <t>State-run ISP CANTV restricted access to YouTube, Google services, Bing and Periscope during Guaido press conference. Facebook content delivery servers subsequently became unreachable minutes into the speech.</t>
  </si>
  <si>
    <t>State-run ISP CANTV restricted access to YouTube, Google services and Bing as Guaido spoke following public uprising.</t>
  </si>
  <si>
    <t>State-run ISP CANTV restricted access to Twitter, Periscope, YouTube, Facebook and several other services after Juan Guaidó used Twitter to announce the final phase of Operation Freedom.</t>
  </si>
  <si>
    <t>State-run ISP CANTV restricted access to Instagram and Periscope during a live-streamed speech by Juan Guaidó.</t>
  </si>
  <si>
    <t>State-run ISP CANTV restricted access to YouTube, several Google services, Android mobile backend servers and Microsoft Bing. The block coincides with a live-streamed open assembly speech by Juan Guaidó.</t>
  </si>
  <si>
    <t>State-run ISP CANTV restricted access to YouTube, Periscope, several Google services and Microsoft Bing. The block coincides with a live-streamed press conference held in Cúcuta, Colombia with US Secretary of State Pompeo and Colombian President Duque on the matter of Venezuela.</t>
  </si>
  <si>
    <t>State-run ISP CANTV restricted access to YouTube, Periscope, several Google services and Microsoft Bing. The blocks coincided with a press conference by Juan Guaidó detailing plans for a national resistance dubbed Operación Libertad. Network data shows that the disruptions are distinct from outages caused by Ongoing nationwide power outages.</t>
  </si>
  <si>
    <t>YouTube restricted on state provider CANTV, coinciding with live broadcasts from the National Assembly.</t>
  </si>
  <si>
    <t>Twitter image and video servers and platform backends blocked on state provider CANTV as interim leader Juan Guaidó is set to arrive in Caracas and calls supporters to the streets.</t>
  </si>
  <si>
    <t>YouTube, Bing and Google services blocked in during National Assembly session.</t>
  </si>
  <si>
    <t>Twitter blocked on state provider CANTV.</t>
  </si>
  <si>
    <t>Intermittent disruptions affecting multiple web services including YouTube detected on state provider CANTV amid Venezuela-Colombia border standoff.</t>
  </si>
  <si>
    <t>Platform disruptions affecting multiple Google services including YouTube detected on state provider CANTV during the live streaming of a prominent humanitarian aid concert.</t>
  </si>
  <si>
    <t>Platform disruptions affecting multiple Google services including YouTube detected on state provider CANTV during the live streaming of a speech by Juan Guaidó.</t>
  </si>
  <si>
    <r>
      <rPr>
        <rFont val="Arial"/>
        <color rgb="FF000000"/>
        <u/>
      </rPr>
      <t>Ne</t>
    </r>
    <r>
      <rPr>
        <rFont val="Arial"/>
        <color rgb="FF000000"/>
        <u/>
      </rPr>
      <t>tBlocks</t>
    </r>
  </si>
  <si>
    <t>Platform disruptions affecting multiple Google services detected on state provider CANTV during the live streaming of a speech by Juan Guaidó marking International Youth Day.</t>
  </si>
  <si>
    <r>
      <rPr>
        <rFont val="Arial"/>
        <color rgb="FF000000"/>
        <u/>
      </rPr>
      <t>Ne</t>
    </r>
    <r>
      <rPr>
        <rFont val="Arial"/>
        <color rgb="FF000000"/>
        <u/>
      </rPr>
      <t>tBlocks</t>
    </r>
  </si>
  <si>
    <t>Internet outages affecting Venezuela’s eastern regions, indicating a possible internet curfew being implemented by state-run provider CANTV.</t>
  </si>
  <si>
    <t>Maturin, Ciudad Guayana</t>
  </si>
  <si>
    <t>Streaming platform disruptions detected on state provider CANTV during the live stream of a politically significant session of the Venezuelan National Assembly.</t>
  </si>
  <si>
    <t>Platform disruptions affecting Periscope, YouTube, Instagram and Facebook detected on state provider CANTV during a politically significant live-streamed speech by Juan Guaidó.</t>
  </si>
  <si>
    <t>Internet outages, affecting much of the northwest and east of the country, marking an intensification of internet disruptions during a period of political turmoil over the disputed presidency.</t>
  </si>
  <si>
    <t>Maracaibo, San Cristobal, Merida, Maturin, El Tigre, Ciudad Guayana</t>
  </si>
  <si>
    <t>Major internet disruptions observed on state telecommunications provider CANTV as Venezuelans are out on the streets protesting.</t>
  </si>
  <si>
    <t>Social media disruptions by CANTV due to circulation of videos showing members of the Bolivarian National Guard chanting anti-government slogans and showing solidarity with the opposition.</t>
  </si>
  <si>
    <t>Oceania</t>
  </si>
  <si>
    <t>Australia</t>
  </si>
  <si>
    <t>AU</t>
  </si>
  <si>
    <t>Fiji</t>
  </si>
  <si>
    <t>FJ</t>
  </si>
  <si>
    <t>Kiribati</t>
  </si>
  <si>
    <t>KI</t>
  </si>
  <si>
    <t>The Marshall Islands</t>
  </si>
  <si>
    <t>MH</t>
  </si>
  <si>
    <t>Micronesia</t>
  </si>
  <si>
    <t>FM</t>
  </si>
  <si>
    <t>Nauru</t>
  </si>
  <si>
    <t>NR</t>
  </si>
  <si>
    <t>New Zealand</t>
  </si>
  <si>
    <t>NZ</t>
  </si>
  <si>
    <t>Palau</t>
  </si>
  <si>
    <t>PW</t>
  </si>
  <si>
    <t>Papua New Guinea</t>
  </si>
  <si>
    <t>PG</t>
  </si>
  <si>
    <t>Samoa</t>
  </si>
  <si>
    <t>WS</t>
  </si>
  <si>
    <t>The Solomon Islands</t>
  </si>
  <si>
    <t>SB</t>
  </si>
  <si>
    <t>Tonga</t>
  </si>
  <si>
    <t>TO</t>
  </si>
  <si>
    <t>Tuvalu</t>
  </si>
  <si>
    <t>TV</t>
  </si>
  <si>
    <t>Vanuatu</t>
  </si>
  <si>
    <t>VU</t>
  </si>
  <si>
    <t>Duration, h (Updates everyday)</t>
  </si>
  <si>
    <t>Notes</t>
  </si>
  <si>
    <t>Social media blocked in the past</t>
  </si>
  <si>
    <t>Social media currently blocked</t>
  </si>
  <si>
    <t>Voice over IP (VoIP) apps currently blocked</t>
  </si>
  <si>
    <t>Affected service</t>
  </si>
  <si>
    <t>Date</t>
  </si>
  <si>
    <t>Description</t>
  </si>
  <si>
    <t>Sources</t>
  </si>
  <si>
    <t>Navalny app</t>
  </si>
  <si>
    <t>Opposition election voting app Navalny removed from Apple App Store and Google Play Store in Russia. Removed from Apple App Store and Google Play Store on 9/17/2021.
Reinstated by Google on 10/09/2021.
Reinstated on Apple App Store on 4/5/2022.</t>
  </si>
  <si>
    <t>Apple Censorship</t>
  </si>
  <si>
    <t>https://russianfreepress.com/2021/10/09/google-restored-the-navalny-app-videos-and-smart-voting-documents/</t>
  </si>
  <si>
    <t>Twitch</t>
  </si>
  <si>
    <t>One Slovakian ISP (O2) banned Twitch as a result of a streamer playing poker live. Other ISPs followed or were due to follow. Slovakia has strict laws surrounding gambling, as the streamer was "said to have broken laws around the operation of promotion of gambling by playing internet poker."</t>
  </si>
  <si>
    <t>Dexerto.com</t>
  </si>
  <si>
    <t>Guided.news</t>
  </si>
  <si>
    <t>U.K.</t>
  </si>
  <si>
    <t>Public Wi-Fi in London Underground</t>
  </si>
  <si>
    <t>UK police shut off Wi-Fi in London Tube stations to deter climate protestors.</t>
  </si>
  <si>
    <t>Independent</t>
  </si>
  <si>
    <t>Wikipedia</t>
  </si>
  <si>
    <t>Wikipedia blocked by the largest telecommunications provider CANTV, following a bitter edit war where editors put forward conflicting views.</t>
  </si>
  <si>
    <t>VEsinFiltro</t>
  </si>
  <si>
    <t>Catalonian websites</t>
  </si>
  <si>
    <t>September - October 2017</t>
  </si>
  <si>
    <t>During the days before the 2017 Catalan independence referendum, the Civil Guard closed the official website of the referendum. It also closed or blocked multiple alternative domains, official and non official.
On 20 September the Civil Guard entered the headquarters of the Fundació puntCat, which administers the top-level domain .cat, and arrested the director of IT, Pep Masoliver.
By 27 September, more than 140 websites related to the referendum were blocked. On 11 October, the official website of the Assemblea Nacional Catalana organization, assemblea.cat, was blocked.</t>
  </si>
  <si>
    <t>VentureBeat</t>
  </si>
  <si>
    <t>Philippines</t>
  </si>
  <si>
    <t>Mobile internet</t>
  </si>
  <si>
    <t>2015 - 2018</t>
  </si>
  <si>
    <t>The first known mobile network shutdown in the Philippines was during the Papal visit in 2015. Since then, signal jamming has been frequently used as a go-to security mechanism for large events, citing public safety as the main concern.</t>
  </si>
  <si>
    <t>Inquirer.net</t>
  </si>
  <si>
    <t>VoIP services</t>
  </si>
  <si>
    <t>12/2/2008 - ongoing</t>
  </si>
  <si>
    <t>Skype (and other VoIP services?) blocked nationwide.</t>
  </si>
  <si>
    <t>NordVPN blog</t>
  </si>
  <si>
    <t>VPN Overview</t>
  </si>
  <si>
    <t>freegyvoip.com</t>
  </si>
  <si>
    <t>Internet service</t>
  </si>
  <si>
    <t>Loss of internet service in parts of Beirut, Lebanon, following an escalating pattern of destabilization of infrastructure as the country’s energy crisis deepens.</t>
  </si>
  <si>
    <t>Slate Magazine website</t>
  </si>
  <si>
    <t>Slate Magazine blocked in Pakistan amid deteriorating conditions for online media freedom.</t>
  </si>
  <si>
    <t>https://netblocks.org/reports/slate-magazine-blocked-in-pakistan-qr8Vary5</t>
  </si>
  <si>
    <t>Political party website</t>
  </si>
  <si>
    <t>Evidence of blocking of a political party website, operated by the Awami Workers Party, in the run up to general elections scheduled on the 25th of July 2018.</t>
  </si>
  <si>
    <t>https://netblocks.org/reports/study-reveals-extent-of-awami-workers-political-party-website-block-in-pakistan-zgBLrk84</t>
  </si>
  <si>
    <t xml:space="preserve">Humanitarian aid volunteer web platform </t>
  </si>
  <si>
    <t xml:space="preserve">Volunteer registration web platform for Venezuela’s Coalition for Aid and Freedom blocked as members took to the streets, </t>
  </si>
  <si>
    <t>https://netblocks.org/reports/venezuela-humanitarian-aid-platform-blocked-GnAgJk8p</t>
  </si>
  <si>
    <t>Wikipedia blocked in Venezuela as internet controls tighten.</t>
  </si>
  <si>
    <t>https://netblocks.org/reports/wikipedia-blocked-in-venezuela-as-internet-controls-tighten-XaAwR08M</t>
  </si>
  <si>
    <t>Internet disrupted in Russia as regulator imposed new measures.</t>
  </si>
  <si>
    <t>https://netblocks.org/reports/internet-disrupted-in-russia-as-regulator-imposes-new-measures-l8WxaQAO</t>
  </si>
  <si>
    <t>Internet connectivity significantly disrupted for one hour during school exams.</t>
  </si>
  <si>
    <t>https://netblocks.org/reports/social-media-restricted-and-internet-cut-during-algeria-school-exams-xAGolxAz</t>
  </si>
  <si>
    <t xml:space="preserve">Algeria </t>
  </si>
  <si>
    <t>Facebook, Twitter, other social media</t>
  </si>
  <si>
    <t>Facebook, Twitter and other social networks blocked in an attempt to stop students from cheating during exams.</t>
  </si>
  <si>
    <t>The Independent</t>
  </si>
  <si>
    <t>Global</t>
  </si>
  <si>
    <t>Facebook, WhatsApp, Instagram, Messenger</t>
  </si>
  <si>
    <t>Several Facebook, WhatsApp, Instagram and Messenger servers showed signs of partial global outage, with availability falling to around 40% globally.</t>
  </si>
  <si>
    <t>https://netblocks.org/reports/facebook-whatsapp-instagram-messenger-down-globally-WJBZvWB6</t>
  </si>
  <si>
    <t>Power-cut and outage in Armenia resulted in a knock-on loss of international connectivity in Iran.</t>
  </si>
  <si>
    <t>https://netblocks.org/reports/internet-in-iran-disrupted-knock-on-effect-of-power-cut-in-armenia-RyjPQ1Ag</t>
  </si>
  <si>
    <t>34k domains</t>
  </si>
  <si>
    <t>Internet providers in Egypt blocked access to an estimated 34,000 internet domains in an apparent bid to stamp out an opposition campaign. Websites included prominent technology startups, self-help websites, celebrity homepages, dozens of Open Source technology projects, as well as Bahá’í, Jewish and Islamic faith group websites and NGOs.</t>
  </si>
  <si>
    <t>https://netblocks.org/reports/egypt-filters-34000-domains-in-bid-to-block-opposition-campaign-platform-7eA1blBp</t>
  </si>
  <si>
    <t>bit.ly</t>
  </si>
  <si>
    <t>Several Internet providers in Egypt restricted access to the bit.ly URL shortener service, breaking an estimated 37.5 billion web links. Reason for the 12-hour restrictions unknown.</t>
  </si>
  <si>
    <t>https://netblocks.org/reports/bitly-link-shortener-blocked-in-egypt-018lRLBa</t>
  </si>
  <si>
    <t>Twitter, Periscope, Zoom</t>
  </si>
  <si>
    <t>Twitter, Periscope and Zoom restricted on multiple internet providers for over an hour. No explanation given but researchers noted that the timing and the affected platforms coincided with a “virtual conference” critical of Pakistani policy held via Zoom, shared on Twitter and reportedly streamed via Periscope on Sunday evening.</t>
  </si>
  <si>
    <t>https://netblocks.org/reports/pakistan-twitter-periscope-zoom-disruption-98aMV68o</t>
  </si>
  <si>
    <t>Wikipedia (Farsi edition)</t>
  </si>
  <si>
    <t>The Farsi (Persian) language edition of Wikipedia blocked for 24h. No official statement given but timings coincide with global news media reporting the death of Mohammad Mirmohammadi, a prominent advisor to Iranian Supreme Leader Khamenei, who lost his life to coronavirus aged 71.</t>
  </si>
  <si>
    <t>https://netblocks.org/reports/wikipedia-farsi-blocked-in-iran-as-coronavirus-fears-spread-pA25OE8b</t>
  </si>
  <si>
    <t>Distinct fall in connectivity with several of Iran’s leading network operators. The disruption came as Iran struggled to tackle the domestic coronavirus outbreak, facing an upswell in online criticism as well as disinformation about the health crisis online.</t>
  </si>
  <si>
    <t>https://netblocks.org/reports/internet-disruptions-registered-across-iran-kArradAj</t>
  </si>
  <si>
    <t>Venezuela’s eastern regions</t>
  </si>
  <si>
    <t>Internet outages attributed to power supply disruptions, affecting Venezuela’s eastern regions covering Táchira, San Cristóbal, Mérida, Trujillo, Barinas and Santa Barbara del Zulia. Táchira had been politically active through recent days, and NetBlocks has tracked a series of targeted disruptions relating to incidents in the region.</t>
  </si>
  <si>
    <t>https://netblocks.org/reports/major-disruption-to-critical-infrastructure-across-tachira-venezuela-jDA3bO8W</t>
  </si>
  <si>
    <t>Critical infrastructure outages as a power disruption knocked much of Venezuela’s internet connectivity and its utilities offline. The disruptions came at a critical moment for political discourse and democracy in the country, which had been in the midst of a power transition since early January.</t>
  </si>
  <si>
    <t>https://netblocks.org/reports/venezuela-knocked-offline-amid-nationwide-power-outage-PW801YAK</t>
  </si>
  <si>
    <t>Widespread power outage, covering most states and covering capital Caracas, sending 57% of the country’s telecommunications infrastructure offline.</t>
  </si>
  <si>
    <t>https://netblocks.org/reports/new-nationwide-power-outage-detected-across-venezuela-OxAGaDyz</t>
  </si>
  <si>
    <t>Widespread power outage, covering most states and covering capital Caracas, sending 90% of the country’s telecommunications infrastructure offline.</t>
  </si>
  <si>
    <t>https://netblocks.org/reports/connectivity-across-venezuela-drops-following-new-national-power-outage-gdAmbvB9</t>
  </si>
  <si>
    <t>Nation-scale collapse of internet connectivity amid reports of an airstrike on a telecom hub in the port city of Al Hudaydah. Recorded incident duration - four days.</t>
  </si>
  <si>
    <t>https://netblocks.org/reports/internet-connectivity-knocked-out-in-yemen-after-airstrike-PAYbNoBe</t>
  </si>
  <si>
    <t>Clubhouse</t>
  </si>
  <si>
    <t>Jordanian officials blocked Clubhouse on a number of major internet service providers (ISPs), reason unknown. Clubhouse remained blocked as of June 2021, no reports of it having been unblocked yet.</t>
  </si>
  <si>
    <t>https://jordanopensource.org/blog/78/blocking-clubhouse-in-jordan-a-quick-analysis-of-internet-censorship-methods-in-use</t>
  </si>
  <si>
    <t>Intermittent disruptions to internet service in major Ukrainian cities amid russia's invasion of Ukraine. Telecoms disruptions in Ukraine have so far been attributed to power outages, cyberattacks, sabotage, and kinetic impacts.</t>
  </si>
  <si>
    <t>https://netblocks.org/reports/internet-disruptions-registered-as-russia-moves-in-on-ukraine-W80p4k8K</t>
  </si>
  <si>
    <t>Online payment services</t>
  </si>
  <si>
    <t>Indonesia cracks down on unlicensed online platforms and services: the incident comes as telecom regulator Kominfo starts implementing new licensing rules. Impacted platforms cover widely used online payment services and gaming platforms including PayPal and Steam from Valve.</t>
  </si>
  <si>
    <t>https://netblocks.org/reports/indonesia-cracks-down-on-unlicensed-online-platforms-and-services-XB7JJQA7</t>
  </si>
  <si>
    <t>Patreon</t>
  </si>
  <si>
    <t>Russia restricted access to the Patreon membership platform, the latest in a series of widening measures implemented by regulator Roskomnadzor after the invasion of Ukraine.</t>
  </si>
  <si>
    <t>VOA Turkish, Deutsche Welle</t>
  </si>
  <si>
    <t>News websites of VOA Turkish and DW (Deutsche Welle) restricted in Turkey. The measure was imposed by regulator RTUK on the grounds that the platforms failed to apply for licenses.</t>
  </si>
  <si>
    <t>Human Rights Watch website</t>
  </si>
  <si>
    <t>The website of Human Rights Watch is now unreachable on multiple providers in Russia, after a partial ban issued by the Prosecutor General's Office understood to relate to civilian deaths in Ukraine.</t>
  </si>
  <si>
    <t>Radio France Internationale,
Moscow Times Russian edition</t>
  </si>
  <si>
    <t>Russia's crackdown on news websites continues, with metrics showing the restriction of RFI (Radio France Internationale) and the Moscow Times Russian edition upon requests from the Prosecutor General's Office to Roskomnadzor.</t>
  </si>
  <si>
    <t>The website of Human Rights Watch unreachable on multiple providers in Belarus, following a ban issued by order of the prosecutor of Minsk. The incident marks an escalation in online censorship since Russia's invasion of Ukraine.</t>
  </si>
  <si>
    <t>Euronews</t>
  </si>
  <si>
    <t>The website of news organization Euronews including subdomains restricted in Russia on some providers. The measure by regulator Roskomnadzor is the latest in a series of bans on independent media.</t>
  </si>
  <si>
    <t>Bellingcat</t>
  </si>
  <si>
    <t>The Bellingcat investigative journalism OSINT group's website restricted in Russia across multiple providers. The incident comes amid a spate of bans on independent news and social media platforms.</t>
  </si>
  <si>
    <t>Amnesty International Eurasian website</t>
  </si>
  <si>
    <t>The Eurasia website of rights organization Amnesty International, which hosts a petition to end Russia's aggression against Ukraine, has been restricted in Russia. The measure follows social media and news site restrictions.</t>
  </si>
  <si>
    <t>02-03-2023 - 02-06-2023</t>
  </si>
  <si>
    <t>Wikipedia restricted on multiple internet providers from Friday, February 3rd 2023 to Monday, February 6th 2023. The incident had come days after authorities threatened to ban the popular resource over the presence of “sacrilegious” content. Access was restored after an intervention by the Prime Minister.</t>
  </si>
  <si>
    <t>ChatGPT</t>
  </si>
  <si>
    <t>4/1/2023 - ongoing</t>
  </si>
  <si>
    <t>ChatGPT banned in Italy over privacy concerns, making Italy the first Western country to block the advanced chatbot.</t>
  </si>
  <si>
    <r>
      <rPr>
        <rFont val="Arial"/>
        <color theme="1"/>
        <sz val="18.0"/>
      </rPr>
      <t xml:space="preserve">Summary of 2024. </t>
    </r>
    <r>
      <rPr>
        <rFont val="Arial"/>
        <color theme="1"/>
        <sz val="10.0"/>
      </rPr>
      <t>Below the summary, there is a list of all the 2024 cases</t>
    </r>
  </si>
  <si>
    <t>ISO-2</t>
  </si>
  <si>
    <t>Countries restricting the internet in 2024</t>
  </si>
  <si>
    <t>Newly imposed restrictions in 2024 Internet disruptions</t>
  </si>
  <si>
    <t>Affected people (if there were fer restrictions imposed in a country, biggest population sample is used); Data from UN, World Population Prospects 2022</t>
  </si>
  <si>
    <t xml:space="preserve">Related w/ protests     </t>
  </si>
  <si>
    <t xml:space="preserve">Related w/ elections     </t>
  </si>
  <si>
    <t xml:space="preserve">Related w/ political turmoil     </t>
  </si>
  <si>
    <t xml:space="preserve">Related w/ country’s internet law     </t>
  </si>
  <si>
    <t>Soc media</t>
  </si>
  <si>
    <t>Local internet</t>
  </si>
  <si>
    <t>Nationwide internet</t>
  </si>
  <si>
    <t xml:space="preserve">Registered cases since 2015 </t>
  </si>
  <si>
    <t>Currently blocking</t>
  </si>
  <si>
    <t>Region</t>
  </si>
  <si>
    <t>Africa</t>
  </si>
  <si>
    <t>Asia</t>
  </si>
  <si>
    <t>UAE</t>
  </si>
  <si>
    <t>Europe</t>
  </si>
  <si>
    <t>North America</t>
  </si>
  <si>
    <t>South America</t>
  </si>
  <si>
    <t/>
  </si>
  <si>
    <t>List of all restrictions in 2024</t>
  </si>
  <si>
    <t xml:space="preserve">Iso-2 array     </t>
  </si>
  <si>
    <t xml:space="preserve">Start date     </t>
  </si>
  <si>
    <t xml:space="preserve">End date     </t>
  </si>
  <si>
    <t>Duration (until the end of 2022), h</t>
  </si>
  <si>
    <t>Scope/ population</t>
  </si>
  <si>
    <t>Population; Data from UN, World Population Prospects 2022</t>
  </si>
  <si>
    <t xml:space="preserve">Facebook     </t>
  </si>
  <si>
    <t xml:space="preserve">Twitter     </t>
  </si>
  <si>
    <t xml:space="preserve">Youtube     </t>
  </si>
  <si>
    <t xml:space="preserve">Instagram     </t>
  </si>
  <si>
    <t xml:space="preserve">Telegram     </t>
  </si>
  <si>
    <t xml:space="preserve">Whatsapp     </t>
  </si>
  <si>
    <t xml:space="preserve">Other soc. media     </t>
  </si>
  <si>
    <t xml:space="preserve">Other VoIP apps     </t>
  </si>
  <si>
    <t>Cases that started and ended in chosen period</t>
  </si>
  <si>
    <t>Cases that started in chosen period and are still ongoing</t>
  </si>
  <si>
    <t>Cases that started earlier but ended in chosen period</t>
  </si>
  <si>
    <t>Cases that started earlier and are still ongoing</t>
  </si>
  <si>
    <t>Cases that started in this period</t>
  </si>
  <si>
    <t>Y</t>
  </si>
  <si>
    <t>North Tripura</t>
  </si>
  <si>
    <t>Jainoor, Asifabad</t>
  </si>
  <si>
    <t>25, 72,980</t>
  </si>
  <si>
    <t>Summary of 2024 and 2023</t>
  </si>
  <si>
    <t>Countries restricting the internet in 2023'H1</t>
  </si>
  <si>
    <t>Newly imposed restrictions in 2023'H1 Internet disruptions</t>
  </si>
  <si>
    <t>United Arab Emirates</t>
  </si>
  <si>
    <r>
      <rPr>
        <rFont val="Arial"/>
        <color theme="1"/>
        <sz val="18.0"/>
      </rPr>
      <t xml:space="preserve">Summary of 2023. </t>
    </r>
    <r>
      <rPr>
        <rFont val="Arial"/>
        <color theme="1"/>
        <sz val="10.0"/>
      </rPr>
      <t>Below the summary, there is a list of all the 2023 cases</t>
    </r>
  </si>
  <si>
    <t>Countries restricting the internet in 2023</t>
  </si>
  <si>
    <t>Newly imposed restrictions in 2023 Internet disruptions</t>
  </si>
  <si>
    <t>List of all restrictions in 2023</t>
  </si>
  <si>
    <t xml:space="preserve">Service based restriction     </t>
  </si>
  <si>
    <t>Summary of 2023'H1 and 2022'H1</t>
  </si>
  <si>
    <t>2022'H1</t>
  </si>
  <si>
    <t>Countries restricting the internet in 2022'H1</t>
  </si>
  <si>
    <t>Newly imposed restrictions in 2022'H1 Internet disruptions</t>
  </si>
  <si>
    <r>
      <rPr>
        <rFont val="Arial"/>
        <color theme="1"/>
        <sz val="18.0"/>
      </rPr>
      <t xml:space="preserve">Summary of 2022. </t>
    </r>
    <r>
      <rPr>
        <rFont val="Arial"/>
        <color theme="1"/>
        <sz val="10.0"/>
      </rPr>
      <t>Below the summary, there is a list of all the 2022 cases</t>
    </r>
  </si>
  <si>
    <t>Countries restricting the internet in 2022</t>
  </si>
  <si>
    <t>Newly imposed restrictions in 2022 Internet disruptions</t>
  </si>
  <si>
    <t>Affected people (if there were fer restrictions imposed in a country, biggest population sample is used); Data from UN, World Population Prospects 2021</t>
  </si>
  <si>
    <t>U.A.E.</t>
  </si>
  <si>
    <t>List of all restrictions in 2022</t>
  </si>
  <si>
    <t xml:space="preserve">If yes, what was the context?     </t>
  </si>
  <si>
    <t xml:space="preserve">Scope/population?     </t>
  </si>
  <si>
    <t xml:space="preserve">Population; Data from UN, World Population Prospects 2021     </t>
  </si>
  <si>
    <t>TikTok restricted on multiple internet providers in Armenia and Azerbaijan amid deadly clashes between the countries over the Nagorno-Karabakh region. OONI data suggests that TikTok has been unblocked in Armenia but remains restricted in Azerbaijan.</t>
  </si>
  <si>
    <t xml:space="preserve">Foreign social media platforms such as Twitter, Facebook, and YouTube are currently banned in China.  </t>
  </si>
  <si>
    <t>A significant disruption to fixed-line and mobile internet connectivity on multiple providers occurred in Bihar, eastern India, on June 17, 2022. The incident is ongoing at the time of writing and comes as the government imposes telecommunications restrictions to counter protests over a new military recruitment plan.</t>
  </si>
  <si>
    <t>Internet connectivity has been disrupted in and around Sanandaj, Kurdistan Province, corroborating user reports of curfew-style cuts during strikes over the death of Mahsa Amini.</t>
  </si>
  <si>
    <t>Popular Voice over IP (VoIP) apps such as Skype, Facetime, Duo, Viber, and WhatsApp were blocked in 2017, October. At the time of conducting the study, Voice Over IP (VoIP) platforms remain blocked.</t>
  </si>
  <si>
    <t>Most Voice over Internet Protocol (VoIP) services – including Skype, FaceTime and WhatsApp – which enable free voice and video calls via the internet, are illegal in the UAE.</t>
  </si>
  <si>
    <t>Popular Russian websites, social media and other services (Yandex, VKontakte, Mail.ru, etc.) blocked in another round of sanctions in response to Crimea annexation.</t>
  </si>
  <si>
    <t>Internet shutdown in Kashmir for part of the day for a few days to prevent misuse by anti-national elements.</t>
  </si>
  <si>
    <t>Internet shutdown in Srinagar for part of the day for a few days to prevent misuse by anti-national elements.</t>
  </si>
  <si>
    <r>
      <rPr>
        <rFont val="Arial"/>
        <color theme="1"/>
        <sz val="18.0"/>
      </rPr>
      <t xml:space="preserve">Summary of 2021. </t>
    </r>
    <r>
      <rPr>
        <rFont val="Arial"/>
        <color theme="1"/>
        <sz val="10.0"/>
      </rPr>
      <t>Below the summary, there is a list of all the 2021 cases</t>
    </r>
  </si>
  <si>
    <t>Countries restricting the internet in 2021</t>
  </si>
  <si>
    <t>Newly imposed restrictions in 2021 Internet disruptions</t>
  </si>
  <si>
    <t>List of all restrictions in 2021</t>
  </si>
  <si>
    <t>Duration (until the end of 2021), h</t>
  </si>
  <si>
    <t xml:space="preserve">     </t>
  </si>
  <si>
    <t xml:space="preserve">Population; Data from UN, World Population Prospects 2021    </t>
  </si>
  <si>
    <t>Authorities in Eswatini have again disrupted access to the internet and social media platforms in response to Ongoing pro-democracy protests. The government shut down social media platforms including Facebook, WhatsApp, and Twitter for approximately two hours.</t>
  </si>
  <si>
    <t>Almaty and Nur-Sultan</t>
  </si>
  <si>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</si>
  <si>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</si>
  <si>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</si>
  <si>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</si>
  <si>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</si>
  <si>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</si>
  <si>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</si>
  <si>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</si>
  <si>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</si>
  <si>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</si>
  <si>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</si>
  <si>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</si>
  <si>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</si>
  <si>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</si>
  <si>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</si>
  <si>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</si>
  <si>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</si>
  <si>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</si>
  <si>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</si>
  <si>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</si>
  <si>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</si>
  <si>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</si>
  <si>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</si>
  <si>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</si>
  <si>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</si>
  <si>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</si>
  <si>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</si>
  <si>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</si>
  <si>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</si>
  <si>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</si>
  <si>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</si>
  <si>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</si>
  <si>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</si>
  <si>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</si>
  <si>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</si>
  <si>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</si>
  <si>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</si>
  <si>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</si>
  <si>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</si>
  <si>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</si>
  <si>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</si>
  <si>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</si>
  <si>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</si>
  <si>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</si>
  <si>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</si>
  <si>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</si>
  <si>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</si>
  <si>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</si>
  <si>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</si>
  <si>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</si>
  <si>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</si>
  <si>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</si>
  <si>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</si>
  <si>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</si>
  <si>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</si>
  <si>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</si>
  <si>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</si>
  <si>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</si>
  <si>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</si>
  <si>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</si>
  <si>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</si>
  <si>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</si>
  <si>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</si>
  <si>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</si>
  <si>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</si>
  <si>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</si>
  <si>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</si>
  <si>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</si>
  <si>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</si>
  <si>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</si>
  <si>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</si>
  <si>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</si>
  <si>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</si>
  <si>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</si>
  <si>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</si>
  <si>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</si>
  <si>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</si>
  <si>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</si>
  <si>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</si>
  <si>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</si>
  <si>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</si>
  <si>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</si>
  <si>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</si>
  <si>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</si>
  <si>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</si>
  <si>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</si>
  <si>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</si>
  <si>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</si>
  <si>
    <r>
      <rPr>
        <rFont val="Arial"/>
      </rPr>
      <t xml:space="preserve">Refer to </t>
    </r>
    <r>
      <rPr>
        <rFont val="Arial"/>
        <color rgb="FF1155CC"/>
        <u/>
      </rPr>
      <t>https://www.accessnow.org/keepiton/</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</si>
</sst>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m/dd/yyyy"/>
    <numFmt numFmtId="166" formatCode="m/d/yyyy"/>
    <numFmt numFmtId="167" formatCode="mmmm&quot; &quot;d&quot;,  &quot;yyyy"/>
  </numFmts>
  <fonts count="78">
    <font>
      <sz val="10.0"/>
      <color rgb="FF000000"/>
      <name val="Arial"/>
      <scheme val="minor"/>
    </font>
    <font>
      <b/>
      <sz val="11.0"/>
      <color rgb="FF1D1C1D"/>
      <name val="Arial"/>
    </font>
    <font>
      <color theme="1"/>
      <name val="Arial"/>
      <scheme val="minor"/>
    </font>
    <font>
      <sz val="11.0"/>
      <color rgb="FF1D1C1D"/>
      <name val="Arial"/>
    </font>
    <font>
      <b/>
      <i/>
      <u/>
      <sz val="11.0"/>
      <color rgb="FF0B5394"/>
      <name val="Slack-Lato"/>
    </font>
    <font>
      <color theme="1"/>
      <name val="Arial"/>
    </font>
    <font>
      <b/>
      <sz val="12.0"/>
      <color theme="1"/>
      <name val="Arial"/>
    </font>
    <font>
      <b/>
      <sz val="12.0"/>
      <color rgb="FF000000"/>
      <name val="Arial"/>
    </font>
    <font>
      <color rgb="FF000000"/>
      <name val="Arial"/>
      <scheme val="minor"/>
    </font>
    <font>
      <b/>
      <sz val="14.0"/>
      <color theme="1"/>
      <name val="Arial"/>
    </font>
    <font>
      <b/>
      <color theme="1"/>
      <name val="Arial"/>
    </font>
    <font>
      <u/>
      <color rgb="FF000000"/>
      <name val="Arial"/>
    </font>
    <font>
      <color rgb="FF000000"/>
      <name val="Arial"/>
    </font>
    <font>
      <sz val="10.0"/>
      <color rgb="FF0F1419"/>
      <name val="TwitterChirp"/>
    </font>
    <font>
      <u/>
      <color rgb="FF000000"/>
      <name val="Arial"/>
    </font>
    <font>
      <u/>
      <color rgb="FF0F1419"/>
      <name val="Arial"/>
    </font>
    <font>
      <u/>
      <color rgb="FF000000"/>
      <name val="Arial"/>
    </font>
    <font>
      <u/>
      <color rgb="FF000000"/>
      <name val="Arial"/>
    </font>
    <font>
      <u/>
      <color rgb="FF0000FF"/>
      <name val="Arial"/>
    </font>
    <font>
      <u/>
      <color rgb="FF0F1419"/>
      <name val="Arial"/>
    </font>
    <font>
      <u/>
      <color rgb="FF000000"/>
      <name val="Arial"/>
    </font>
    <font>
      <u/>
      <sz val="10.0"/>
      <color rgb="FF0F1419"/>
      <name val="TwitterChirp"/>
    </font>
    <font>
      <u/>
      <color rgb="FF000000"/>
      <name val="Arial"/>
    </font>
    <font>
      <sz val="10.0"/>
      <color rgb="FF0F1419"/>
      <name val="Arial"/>
    </font>
    <font>
      <u/>
      <color rgb="FF000000"/>
      <name val="Arial"/>
    </font>
    <font>
      <u/>
      <color rgb="FF1155CC"/>
      <name val="Arial"/>
    </font>
    <font>
      <u/>
      <color rgb="FF0000FF"/>
      <name val="Arial"/>
    </font>
    <font>
      <u/>
      <color rgb="FF000000"/>
      <name val="Arial"/>
    </font>
    <font>
      <sz val="10.0"/>
      <color rgb="FF0F1419"/>
    </font>
    <font>
      <color rgb="FF0F1419"/>
      <name val="Arial"/>
    </font>
    <font>
      <b/>
      <u/>
      <sz val="9.0"/>
      <color rgb="FF000000"/>
      <name val="Arial"/>
    </font>
    <font>
      <u/>
      <color rgb="FF000000"/>
      <name val="Arial"/>
    </font>
    <font>
      <u/>
      <color rgb="FF0000FF"/>
      <name val="Arial"/>
    </font>
    <font>
      <sz val="10.0"/>
      <color rgb="FF1D1C1D"/>
      <name val="Arial"/>
    </font>
    <font>
      <color rgb="FF1D1C1D"/>
      <name val="Arial"/>
    </font>
    <font>
      <sz val="13.0"/>
      <color rgb="FF0F1419"/>
      <name val="TwitterChirp"/>
    </font>
    <font>
      <u/>
      <color rgb="FF1155CC"/>
      <name val="Arial"/>
    </font>
    <font>
      <sz val="10.0"/>
      <color rgb="FF424242"/>
      <name val="Arial"/>
      <scheme val="minor"/>
    </font>
    <font>
      <b/>
      <u/>
      <sz val="9.0"/>
      <color rgb="FF000000"/>
      <name val="Arial"/>
    </font>
    <font>
      <b/>
      <u/>
      <sz val="9.0"/>
      <color rgb="FF000000"/>
      <name val="Arial"/>
    </font>
    <font>
      <sz val="10.0"/>
      <color rgb="FF212529"/>
      <name val="Light"/>
    </font>
    <font>
      <u/>
      <color rgb="FF000000"/>
      <name val="Arial"/>
    </font>
    <font>
      <sz val="10.0"/>
      <color rgb="FF212121"/>
      <name val="&quot;Lato Regular&quot;"/>
    </font>
    <font>
      <sz val="10.0"/>
      <color rgb="FF000000"/>
      <name val="Arial"/>
    </font>
    <font>
      <u/>
      <color rgb="FF0000FF"/>
      <name val="Arial"/>
    </font>
    <font>
      <u/>
      <color theme="1"/>
      <name val="Arial"/>
    </font>
    <font>
      <u/>
      <color rgb="FF000000"/>
      <name val="Arial"/>
    </font>
    <font>
      <u/>
      <color rgb="FF000000"/>
      <name val="Arial"/>
    </font>
    <font>
      <u/>
      <color rgb="FF000000"/>
      <name val="Arial"/>
    </font>
    <font>
      <u/>
      <color rgb="FF000000"/>
      <name val="Arial"/>
    </font>
    <font>
      <u/>
      <color rgb="FF000000"/>
      <name val="Arial"/>
    </font>
    <font>
      <u/>
      <color rgb="FF1155CC"/>
      <name val="Arial"/>
    </font>
    <font>
      <u/>
      <color rgb="FF000000"/>
      <name val="Arial"/>
    </font>
    <font>
      <u/>
      <color rgb="FF000000"/>
      <name val="Arial"/>
    </font>
    <font>
      <u/>
      <color rgb="FF000000"/>
      <name val="Arial"/>
    </font>
    <font>
      <color theme="1"/>
      <name val="Roboto"/>
    </font>
    <font>
      <b/>
      <u/>
      <sz val="9.0"/>
      <color rgb="FF000000"/>
      <name val="Arial"/>
    </font>
    <font>
      <u/>
      <color rgb="FF000000"/>
      <name val="Arial"/>
    </font>
    <font>
      <u/>
      <color rgb="FF000000"/>
      <name val="Arial"/>
    </font>
    <font>
      <u/>
      <color rgb="FF000000"/>
      <name val="Arial"/>
    </font>
    <font>
      <u/>
      <color rgb="FF000000"/>
      <name val="Arial"/>
    </font>
    <font>
      <u/>
      <color rgb="FF000000"/>
      <name val="Arial"/>
    </font>
    <font>
      <color rgb="FF0F1419"/>
      <name val="TwitterChirp"/>
    </font>
    <font>
      <u/>
      <sz val="11.0"/>
      <color rgb="FF000000"/>
      <name val="Arial"/>
    </font>
    <font>
      <u/>
      <sz val="11.0"/>
      <color rgb="FF000000"/>
      <name val="Arial"/>
    </font>
    <font>
      <u/>
      <color rgb="FF0000FF"/>
      <name val="Arial"/>
    </font>
    <font>
      <u/>
      <color rgb="FF000000"/>
      <name val="Arial"/>
    </font>
    <font>
      <sz val="11.0"/>
      <color rgb="FF0F1419"/>
      <name val="Arial"/>
    </font>
    <font/>
    <font>
      <u/>
      <color rgb="FF1155CC"/>
      <name val="Arial"/>
    </font>
    <font>
      <u/>
      <color rgb="FF1155CC"/>
      <name val="Arial"/>
    </font>
    <font>
      <u/>
      <color rgb="FF1155CC"/>
      <name val="Arial"/>
    </font>
    <font>
      <u/>
      <color rgb="FF1155CC"/>
      <name val="Arial"/>
    </font>
    <font>
      <u/>
      <color rgb="FF0000FF"/>
    </font>
    <font>
      <sz val="18.0"/>
      <color theme="1"/>
      <name val="Arial"/>
    </font>
    <font>
      <sz val="12.0"/>
      <color rgb="FF000000"/>
      <name val="&quot;Aptos Narrow&quot;"/>
    </font>
    <font>
      <sz val="14.0"/>
      <color theme="1"/>
      <name val="Arial"/>
    </font>
    <font>
      <u/>
      <color rgb="FF0000FF"/>
      <name val="Arial"/>
    </font>
  </fonts>
  <fills count="12">
    <fill>
      <patternFill patternType="none"/>
    </fill>
    <fill>
      <patternFill patternType="lightGray"/>
    </fill>
    <fill>
      <patternFill patternType="solid">
        <fgColor rgb="FFFFFFFF"/>
        <bgColor rgb="FFFFFFFF"/>
      </patternFill>
    </fill>
    <fill>
      <patternFill patternType="solid">
        <fgColor rgb="FF76A5AF"/>
        <bgColor rgb="FF76A5AF"/>
      </patternFill>
    </fill>
    <fill>
      <patternFill patternType="solid">
        <fgColor rgb="FFFFF2CC"/>
        <bgColor rgb="FFFFF2CC"/>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D0E0E3"/>
        <bgColor rgb="FFD0E0E3"/>
      </patternFill>
    </fill>
    <fill>
      <patternFill patternType="solid">
        <fgColor rgb="FFF3F3F3"/>
        <bgColor rgb="FFF3F3F3"/>
      </patternFill>
    </fill>
    <fill>
      <patternFill patternType="solid">
        <fgColor rgb="FFD9D9D9"/>
        <bgColor rgb="FFD9D9D9"/>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shrinkToFit="0" wrapText="1"/>
    </xf>
    <xf borderId="0" fillId="2" fontId="3" numFmtId="0" xfId="0" applyAlignment="1" applyFont="1">
      <alignment horizontal="left" readingOrder="0" shrinkToFit="0" wrapText="1"/>
    </xf>
    <xf borderId="0" fillId="2" fontId="4" numFmtId="0" xfId="0" applyAlignment="1" applyFont="1">
      <alignment horizontal="left" readingOrder="0" shrinkToFit="0" wrapText="1"/>
    </xf>
    <xf borderId="0" fillId="3" fontId="5" numFmtId="0" xfId="0" applyAlignment="1" applyFill="1" applyFont="1">
      <alignment vertical="bottom"/>
    </xf>
    <xf borderId="0" fillId="3" fontId="6" numFmtId="0" xfId="0" applyAlignment="1" applyFont="1">
      <alignment horizontal="center" shrinkToFit="0" vertical="bottom" wrapText="1"/>
    </xf>
    <xf borderId="0" fillId="3" fontId="6" numFmtId="164" xfId="0" applyAlignment="1" applyFont="1" applyNumberFormat="1">
      <alignment horizontal="center" shrinkToFit="0" vertical="bottom" wrapText="1"/>
    </xf>
    <xf borderId="0" fillId="3" fontId="6" numFmtId="0" xfId="0" applyAlignment="1" applyFont="1">
      <alignment horizontal="center" readingOrder="0" shrinkToFit="0" vertical="bottom" wrapText="1"/>
    </xf>
    <xf borderId="0" fillId="3" fontId="6" numFmtId="0" xfId="0" applyAlignment="1" applyFont="1">
      <alignment shrinkToFit="0" vertical="bottom" wrapText="1"/>
    </xf>
    <xf borderId="0" fillId="3" fontId="6" numFmtId="0" xfId="0" applyAlignment="1" applyFont="1">
      <alignment horizontal="center" vertical="bottom"/>
    </xf>
    <xf borderId="0" fillId="3" fontId="7" numFmtId="0" xfId="0" applyAlignment="1" applyFont="1">
      <alignment horizontal="center" shrinkToFit="0" vertical="bottom" wrapText="1"/>
    </xf>
    <xf borderId="0" fillId="4" fontId="5" numFmtId="0" xfId="0" applyAlignment="1" applyFill="1" applyFont="1">
      <alignment readingOrder="0" shrinkToFit="0" vertical="top" wrapText="1"/>
    </xf>
    <xf borderId="0" fillId="5" fontId="2" numFmtId="0" xfId="0" applyFill="1" applyFont="1"/>
    <xf borderId="0" fillId="5" fontId="8" numFmtId="0" xfId="0" applyAlignment="1" applyFont="1">
      <alignment shrinkToFit="0" wrapText="1"/>
    </xf>
    <xf borderId="0" fillId="6" fontId="5" numFmtId="0" xfId="0" applyAlignment="1" applyFill="1" applyFont="1">
      <alignment shrinkToFit="0" vertical="top" wrapText="1"/>
    </xf>
    <xf borderId="0" fillId="7" fontId="5" numFmtId="0" xfId="0" applyAlignment="1" applyFill="1" applyFont="1">
      <alignment readingOrder="0" shrinkToFit="0" vertical="top" wrapText="1"/>
    </xf>
    <xf borderId="0" fillId="8" fontId="5" numFmtId="0" xfId="0" applyAlignment="1" applyFill="1" applyFont="1">
      <alignment readingOrder="0" shrinkToFit="0" vertical="top" wrapText="1"/>
    </xf>
    <xf borderId="0" fillId="9" fontId="5" numFmtId="0" xfId="0" applyAlignment="1" applyFill="1" applyFont="1">
      <alignment readingOrder="0" shrinkToFit="0" vertical="top" wrapText="1"/>
    </xf>
    <xf borderId="0" fillId="5" fontId="9" numFmtId="0" xfId="0" applyAlignment="1" applyFont="1">
      <alignment horizontal="center" shrinkToFit="0" vertical="top" wrapText="1"/>
    </xf>
    <xf borderId="0" fillId="5" fontId="2" numFmtId="0" xfId="0" applyAlignment="1" applyFont="1">
      <alignment horizontal="center" vertical="center"/>
    </xf>
    <xf borderId="0" fillId="0" fontId="5" numFmtId="0" xfId="0" applyAlignment="1" applyFont="1">
      <alignment horizontal="right" shrinkToFit="0" vertical="top" wrapText="1"/>
    </xf>
    <xf borderId="0" fillId="0" fontId="5" numFmtId="0" xfId="0" applyAlignment="1" applyFont="1">
      <alignment shrinkToFit="0" vertical="top" wrapText="1"/>
    </xf>
    <xf borderId="0" fillId="2" fontId="5" numFmtId="0" xfId="0" applyAlignment="1" applyFont="1">
      <alignment horizontal="center" shrinkToFit="0" vertical="top" wrapText="1"/>
    </xf>
    <xf borderId="0" fillId="4" fontId="5" numFmtId="0" xfId="0" applyAlignment="1" applyFont="1">
      <alignment shrinkToFit="0" vertical="top" wrapText="1"/>
    </xf>
    <xf borderId="0" fillId="0" fontId="5" numFmtId="0" xfId="0" applyAlignment="1" applyFont="1">
      <alignment vertical="center"/>
    </xf>
    <xf borderId="0" fillId="0" fontId="5" numFmtId="0" xfId="0" applyAlignment="1" applyFont="1">
      <alignment readingOrder="0" vertical="center"/>
    </xf>
    <xf borderId="0" fillId="0" fontId="10" numFmtId="164" xfId="0" applyAlignment="1" applyFont="1" applyNumberFormat="1">
      <alignment horizontal="center" shrinkToFit="0" vertical="center" wrapText="1"/>
    </xf>
    <xf borderId="0" fillId="0" fontId="10" numFmtId="3" xfId="0" applyAlignment="1" applyFont="1" applyNumberFormat="1">
      <alignment horizontal="center" shrinkToFit="0" vertical="center" wrapText="1"/>
    </xf>
    <xf borderId="0" fillId="0" fontId="5" numFmtId="0" xfId="0" applyAlignment="1" applyFont="1">
      <alignment horizontal="left" shrinkToFit="0" vertical="center" wrapText="1"/>
    </xf>
    <xf borderId="0" fillId="0" fontId="5" numFmtId="0" xfId="0" applyAlignment="1" applyFont="1">
      <alignment shrinkToFit="0" vertical="center" wrapText="1"/>
    </xf>
    <xf borderId="0" fillId="2" fontId="5" numFmtId="0" xfId="0" applyAlignment="1" applyFont="1">
      <alignment horizontal="center" vertical="center"/>
    </xf>
    <xf borderId="0" fillId="0" fontId="5" numFmtId="0" xfId="0" applyAlignment="1" applyFont="1">
      <alignment horizontal="center" vertical="center"/>
    </xf>
    <xf borderId="0" fillId="5" fontId="11" numFmtId="0" xfId="0" applyAlignment="1" applyFont="1">
      <alignment shrinkToFit="0" vertical="center" wrapText="1"/>
    </xf>
    <xf borderId="0" fillId="5" fontId="12" numFmtId="0" xfId="0" applyAlignment="1" applyFont="1">
      <alignment shrinkToFit="0" vertical="center" wrapText="1"/>
    </xf>
    <xf borderId="0" fillId="6" fontId="5" numFmtId="0" xfId="0" applyAlignment="1" applyFont="1">
      <alignment vertical="top"/>
    </xf>
    <xf borderId="0" fillId="0" fontId="10" numFmtId="164" xfId="0" applyAlignment="1" applyFont="1" applyNumberFormat="1">
      <alignment horizontal="center" vertical="center"/>
    </xf>
    <xf borderId="0" fillId="0" fontId="10" numFmtId="164" xfId="0" applyAlignment="1" applyFont="1" applyNumberFormat="1">
      <alignment horizontal="left" vertical="center"/>
    </xf>
    <xf borderId="0" fillId="2" fontId="10" numFmtId="164" xfId="0" applyAlignment="1" applyFont="1" applyNumberFormat="1">
      <alignment horizontal="center" shrinkToFit="0" vertical="center" wrapText="1"/>
    </xf>
    <xf borderId="0" fillId="2" fontId="5" numFmtId="0" xfId="0" applyAlignment="1" applyFont="1">
      <alignment horizontal="left" shrinkToFit="0" vertical="center" wrapText="1"/>
    </xf>
    <xf borderId="0" fillId="2" fontId="5" numFmtId="0" xfId="0" applyAlignment="1" applyFont="1">
      <alignment shrinkToFit="0" vertical="center" wrapText="1"/>
    </xf>
    <xf borderId="0" fillId="0" fontId="5" numFmtId="0" xfId="0" applyAlignment="1" applyFont="1">
      <alignment horizontal="right" vertical="top"/>
    </xf>
    <xf borderId="0" fillId="0" fontId="5" numFmtId="0" xfId="0" applyAlignment="1" applyFont="1">
      <alignment horizontal="center"/>
    </xf>
    <xf borderId="0" fillId="0" fontId="5" numFmtId="0" xfId="0" applyAlignment="1" applyFont="1">
      <alignment horizontal="center" readingOrder="0"/>
    </xf>
    <xf borderId="0" fillId="0" fontId="10" numFmtId="164" xfId="0" applyAlignment="1" applyFont="1" applyNumberFormat="1">
      <alignment horizontal="center" readingOrder="0" shrinkToFit="0" wrapText="1"/>
    </xf>
    <xf borderId="0" fillId="0" fontId="10" numFmtId="3" xfId="0" applyAlignment="1" applyFont="1" applyNumberFormat="1">
      <alignment horizontal="center" readingOrder="0" shrinkToFit="0" vertical="center" wrapText="1"/>
    </xf>
    <xf borderId="0" fillId="2" fontId="13" numFmtId="3" xfId="0" applyAlignment="1" applyFont="1" applyNumberFormat="1">
      <alignment readingOrder="0" shrinkToFit="0" wrapText="1"/>
    </xf>
    <xf borderId="0" fillId="0" fontId="5" numFmtId="3" xfId="0" applyAlignment="1" applyFont="1" applyNumberFormat="1">
      <alignment horizontal="center" shrinkToFit="0" wrapText="1"/>
    </xf>
    <xf borderId="0" fillId="2" fontId="5" numFmtId="0" xfId="0" applyAlignment="1" applyFont="1">
      <alignment horizontal="center"/>
    </xf>
    <xf borderId="0" fillId="5" fontId="14" numFmtId="0" xfId="0" applyAlignment="1" applyFont="1">
      <alignment readingOrder="0"/>
    </xf>
    <xf borderId="0" fillId="5" fontId="12" numFmtId="0" xfId="0" applyFont="1"/>
    <xf borderId="0" fillId="5" fontId="5" numFmtId="0" xfId="0" applyFont="1"/>
    <xf borderId="0" fillId="0" fontId="10" numFmtId="164" xfId="0" applyAlignment="1" applyFont="1" applyNumberFormat="1">
      <alignment horizontal="center" shrinkToFit="0" wrapText="1"/>
    </xf>
    <xf borderId="0" fillId="2" fontId="15" numFmtId="0" xfId="0" applyAlignment="1" applyFont="1">
      <alignment shrinkToFit="0" vertical="bottom" wrapText="1"/>
    </xf>
    <xf borderId="0" fillId="5" fontId="16" numFmtId="0" xfId="0" applyFont="1"/>
    <xf borderId="0" fillId="0" fontId="5" numFmtId="0" xfId="0" applyAlignment="1" applyFont="1">
      <alignment horizontal="left" readingOrder="0" shrinkToFit="0" vertical="center" wrapText="1"/>
    </xf>
    <xf borderId="0" fillId="0" fontId="5" numFmtId="0" xfId="0" applyAlignment="1" applyFont="1">
      <alignment horizontal="right" readingOrder="0" vertical="top"/>
    </xf>
    <xf borderId="0" fillId="0" fontId="5" numFmtId="0" xfId="0" applyAlignment="1" applyFont="1">
      <alignment readingOrder="0" shrinkToFit="0" vertical="top" wrapText="1"/>
    </xf>
    <xf borderId="0" fillId="2" fontId="5" numFmtId="0" xfId="0" applyAlignment="1" applyFont="1">
      <alignment horizontal="center" readingOrder="0" shrinkToFit="0" vertical="top" wrapText="1"/>
    </xf>
    <xf borderId="0" fillId="4" fontId="5" numFmtId="0" xfId="0" applyAlignment="1" applyFont="1">
      <alignment readingOrder="0" vertical="top"/>
    </xf>
    <xf borderId="0" fillId="0" fontId="10" numFmtId="164" xfId="0" applyAlignment="1" applyFont="1" applyNumberFormat="1">
      <alignment horizontal="center" readingOrder="0" shrinkToFit="0" vertical="center" wrapText="1"/>
    </xf>
    <xf borderId="0" fillId="5" fontId="17" numFmtId="0" xfId="0" applyAlignment="1" applyFont="1">
      <alignment readingOrder="0" shrinkToFit="0" vertical="center" wrapText="1"/>
    </xf>
    <xf borderId="0" fillId="4" fontId="5" numFmtId="0" xfId="0" applyAlignment="1" applyFont="1">
      <alignment vertical="top"/>
    </xf>
    <xf borderId="0" fillId="0" fontId="5" numFmtId="0" xfId="0" applyAlignment="1" applyFont="1">
      <alignment horizontal="center" readingOrder="0" vertical="center"/>
    </xf>
    <xf borderId="0" fillId="0" fontId="10" numFmtId="0" xfId="0" applyAlignment="1" applyFont="1">
      <alignment horizontal="center" readingOrder="0" shrinkToFit="0" vertical="center" wrapText="1"/>
    </xf>
    <xf borderId="0" fillId="2" fontId="5" numFmtId="0" xfId="0" applyAlignment="1" applyFont="1">
      <alignment horizontal="center" readingOrder="0" vertical="center"/>
    </xf>
    <xf borderId="0" fillId="0" fontId="5" numFmtId="0" xfId="0" applyFont="1"/>
    <xf borderId="0" fillId="0" fontId="5" numFmtId="3" xfId="0" applyAlignment="1" applyFont="1" applyNumberFormat="1">
      <alignment horizontal="left" readingOrder="0" shrinkToFit="0" wrapText="1"/>
    </xf>
    <xf borderId="0" fillId="2" fontId="5" numFmtId="0" xfId="0" applyAlignment="1" applyFont="1">
      <alignment vertical="top"/>
    </xf>
    <xf borderId="0" fillId="2" fontId="5" numFmtId="0" xfId="0" applyFont="1"/>
    <xf borderId="0" fillId="10" fontId="18" numFmtId="0" xfId="0" applyAlignment="1" applyFill="1" applyFont="1">
      <alignment readingOrder="0" vertical="bottom"/>
    </xf>
    <xf borderId="0" fillId="10" fontId="5" numFmtId="0" xfId="0" applyAlignment="1" applyFont="1">
      <alignment readingOrder="0" vertical="bottom"/>
    </xf>
    <xf borderId="0" fillId="2" fontId="5" numFmtId="0" xfId="0" applyAlignment="1" applyFont="1">
      <alignment horizontal="right" shrinkToFit="0" vertical="top" wrapText="1"/>
    </xf>
    <xf borderId="0" fillId="0" fontId="10" numFmtId="0" xfId="0" applyAlignment="1" applyFont="1">
      <alignment horizontal="center" readingOrder="0" shrinkToFit="0" wrapText="1"/>
    </xf>
    <xf borderId="0" fillId="2" fontId="19" numFmtId="0" xfId="0" applyAlignment="1" applyFont="1">
      <alignment shrinkToFit="0" vertical="bottom" wrapText="1"/>
    </xf>
    <xf borderId="0" fillId="2" fontId="10" numFmtId="165" xfId="0" applyAlignment="1" applyFont="1" applyNumberFormat="1">
      <alignment horizontal="center"/>
    </xf>
    <xf borderId="0" fillId="2" fontId="10" numFmtId="165" xfId="0" applyAlignment="1" applyFont="1" applyNumberFormat="1">
      <alignment horizontal="center" readingOrder="0"/>
    </xf>
    <xf borderId="0" fillId="2" fontId="5" numFmtId="0" xfId="0" applyAlignment="1" applyFont="1">
      <alignment horizontal="left" readingOrder="0" shrinkToFit="0" wrapText="1"/>
    </xf>
    <xf borderId="0" fillId="2" fontId="5" numFmtId="0" xfId="0" applyAlignment="1" applyFont="1">
      <alignment shrinkToFit="0" wrapText="1"/>
    </xf>
    <xf borderId="0" fillId="5" fontId="20" numFmtId="0" xfId="0" applyAlignment="1" applyFont="1">
      <alignment shrinkToFit="0" wrapText="1"/>
    </xf>
    <xf borderId="0" fillId="2" fontId="5" numFmtId="0" xfId="0" applyAlignment="1" applyFont="1">
      <alignment vertical="center"/>
    </xf>
    <xf borderId="0" fillId="2" fontId="5" numFmtId="0" xfId="0" applyAlignment="1" applyFont="1">
      <alignment horizontal="left" readingOrder="0" shrinkToFit="0" vertical="center" wrapText="1"/>
    </xf>
    <xf borderId="0" fillId="2" fontId="5" numFmtId="0" xfId="0" applyAlignment="1" applyFont="1">
      <alignment readingOrder="0" vertical="center"/>
    </xf>
    <xf borderId="0" fillId="2" fontId="10" numFmtId="164" xfId="0" applyAlignment="1" applyFont="1" applyNumberFormat="1">
      <alignment horizontal="center" readingOrder="0" shrinkToFit="0" vertical="center" wrapText="1"/>
    </xf>
    <xf borderId="0" fillId="2" fontId="13" numFmtId="0" xfId="0" applyAlignment="1" applyFont="1">
      <alignment readingOrder="0" shrinkToFit="0" wrapText="1"/>
    </xf>
    <xf borderId="0" fillId="2" fontId="21" numFmtId="0" xfId="0" applyAlignment="1" applyFont="1">
      <alignment readingOrder="0" shrinkToFit="0" wrapText="1"/>
    </xf>
    <xf borderId="0" fillId="5" fontId="22" numFmtId="0" xfId="0" applyAlignment="1" applyFont="1">
      <alignment readingOrder="0" shrinkToFit="0" vertical="center" wrapText="1"/>
    </xf>
    <xf borderId="0" fillId="2" fontId="23" numFmtId="0" xfId="0" applyAlignment="1" applyFont="1">
      <alignment readingOrder="0" shrinkToFit="0" wrapText="1"/>
    </xf>
    <xf borderId="0" fillId="5" fontId="12" numFmtId="0" xfId="0" applyAlignment="1" applyFont="1">
      <alignment readingOrder="0" shrinkToFit="0" wrapText="0"/>
    </xf>
    <xf borderId="0" fillId="2" fontId="13" numFmtId="0" xfId="0" applyAlignment="1" applyFont="1">
      <alignment readingOrder="0" shrinkToFit="0" wrapText="1"/>
    </xf>
    <xf borderId="0" fillId="0" fontId="5" numFmtId="0" xfId="0" applyAlignment="1" applyFont="1">
      <alignment shrinkToFit="0" wrapText="1"/>
    </xf>
    <xf borderId="0" fillId="5" fontId="24" numFmtId="0" xfId="0" applyAlignment="1" applyFont="1">
      <alignment readingOrder="0" shrinkToFit="0" wrapText="0"/>
    </xf>
    <xf borderId="0" fillId="2" fontId="5" numFmtId="0" xfId="0" applyAlignment="1" applyFont="1">
      <alignment horizontal="left" shrinkToFit="0" vertical="top" wrapText="1"/>
    </xf>
    <xf borderId="0" fillId="0" fontId="10" numFmtId="164" xfId="0" applyAlignment="1" applyFont="1" applyNumberFormat="1">
      <alignment horizontal="center" shrinkToFit="0" vertical="bottom" wrapText="1"/>
    </xf>
    <xf borderId="0" fillId="0" fontId="10" numFmtId="3" xfId="0" applyAlignment="1" applyFont="1" applyNumberFormat="1">
      <alignment horizontal="center" vertical="bottom"/>
    </xf>
    <xf borderId="0" fillId="0" fontId="5" numFmtId="164" xfId="0" applyAlignment="1" applyFont="1" applyNumberFormat="1">
      <alignment shrinkToFit="0" vertical="bottom" wrapText="1"/>
    </xf>
    <xf borderId="0" fillId="0" fontId="5" numFmtId="164" xfId="0" applyAlignment="1" applyFont="1" applyNumberFormat="1">
      <alignment vertical="bottom"/>
    </xf>
    <xf borderId="0" fillId="5" fontId="25" numFmtId="0" xfId="0" applyFont="1"/>
    <xf borderId="0" fillId="0" fontId="10" numFmtId="164" xfId="0" applyAlignment="1" applyFont="1" applyNumberFormat="1">
      <alignment horizontal="center" readingOrder="0" shrinkToFit="0" vertical="bottom" wrapText="1"/>
    </xf>
    <xf borderId="0" fillId="0" fontId="10" numFmtId="3" xfId="0" applyAlignment="1" applyFont="1" applyNumberFormat="1">
      <alignment horizontal="center" readingOrder="0" vertical="bottom"/>
    </xf>
    <xf borderId="0" fillId="0" fontId="5" numFmtId="0" xfId="0" applyAlignment="1" applyFont="1">
      <alignment readingOrder="0" shrinkToFit="0" vertical="bottom" wrapText="1"/>
    </xf>
    <xf borderId="0" fillId="5" fontId="26" numFmtId="0" xfId="0" applyAlignment="1" applyFont="1">
      <alignment readingOrder="0"/>
    </xf>
    <xf borderId="0" fillId="0" fontId="5" numFmtId="0" xfId="0" applyAlignment="1" applyFont="1">
      <alignment horizontal="center"/>
    </xf>
    <xf borderId="0" fillId="0" fontId="10" numFmtId="3" xfId="0" applyAlignment="1" applyFont="1" applyNumberFormat="1">
      <alignment horizontal="center" shrinkToFit="0" wrapText="1"/>
    </xf>
    <xf borderId="0" fillId="5" fontId="27" numFmtId="0" xfId="0" applyFont="1"/>
    <xf borderId="0" fillId="5" fontId="12" numFmtId="0" xfId="0" applyAlignment="1" applyFont="1">
      <alignment readingOrder="0" shrinkToFit="0" vertical="center" wrapText="1"/>
    </xf>
    <xf borderId="0" fillId="0" fontId="5" numFmtId="0" xfId="0" applyFont="1"/>
    <xf borderId="0" fillId="0" fontId="5" numFmtId="0" xfId="0" applyAlignment="1" applyFont="1">
      <alignment readingOrder="0"/>
    </xf>
    <xf borderId="0" fillId="2" fontId="5" numFmtId="0" xfId="0" applyAlignment="1" applyFont="1">
      <alignment readingOrder="0"/>
    </xf>
    <xf borderId="0" fillId="2" fontId="28" numFmtId="3" xfId="0" applyAlignment="1" applyFont="1" applyNumberFormat="1">
      <alignment readingOrder="0" shrinkToFit="0" wrapText="1"/>
    </xf>
    <xf borderId="0" fillId="0" fontId="5" numFmtId="3" xfId="0" applyAlignment="1" applyFont="1" applyNumberFormat="1">
      <alignment horizontal="left" shrinkToFit="0" wrapText="1"/>
    </xf>
    <xf borderId="0" fillId="2" fontId="5" numFmtId="0" xfId="0" applyFont="1"/>
    <xf borderId="0" fillId="0" fontId="10" numFmtId="164" xfId="0" applyAlignment="1" applyFont="1" applyNumberFormat="1">
      <alignment horizontal="left" shrinkToFit="0" vertical="center" wrapText="1"/>
    </xf>
    <xf borderId="0" fillId="2" fontId="5" numFmtId="0" xfId="0" applyAlignment="1" applyFont="1">
      <alignment vertical="top"/>
    </xf>
    <xf borderId="0" fillId="0" fontId="5" numFmtId="0" xfId="0" applyAlignment="1" applyFont="1">
      <alignment readingOrder="0" shrinkToFit="0" vertical="center" wrapText="1"/>
    </xf>
    <xf borderId="0" fillId="2" fontId="29" numFmtId="3" xfId="0" applyAlignment="1" applyFont="1" applyNumberFormat="1">
      <alignment shrinkToFit="0" vertical="bottom" wrapText="1"/>
    </xf>
    <xf borderId="0" fillId="5" fontId="30" numFmtId="0" xfId="0" applyAlignment="1" applyFont="1">
      <alignment horizontal="center" shrinkToFit="0" vertical="top" wrapText="1"/>
    </xf>
    <xf borderId="0" fillId="5" fontId="5" numFmtId="0" xfId="0" applyAlignment="1" applyFont="1">
      <alignment readingOrder="0" shrinkToFit="0" vertical="center" wrapText="1"/>
    </xf>
    <xf borderId="0" fillId="0" fontId="5" numFmtId="0" xfId="0" applyAlignment="1" applyFont="1">
      <alignment vertical="center"/>
    </xf>
    <xf borderId="0" fillId="5" fontId="31" numFmtId="0" xfId="0" applyAlignment="1" applyFont="1">
      <alignment shrinkToFit="0" vertical="center" wrapText="1"/>
    </xf>
    <xf borderId="0" fillId="5" fontId="32" numFmtId="0" xfId="0" applyAlignment="1" applyFont="1">
      <alignment readingOrder="0" shrinkToFit="0" vertical="center" wrapText="1"/>
    </xf>
    <xf borderId="0" fillId="0" fontId="5" numFmtId="0" xfId="0" applyAlignment="1" applyFont="1">
      <alignment horizontal="left" shrinkToFit="0" vertical="center" wrapText="1"/>
    </xf>
    <xf borderId="0" fillId="5" fontId="5" numFmtId="0" xfId="0" applyAlignment="1" applyFont="1">
      <alignment readingOrder="0"/>
    </xf>
    <xf borderId="0" fillId="10" fontId="5" numFmtId="0" xfId="0" applyAlignment="1" applyFont="1">
      <alignment vertical="top"/>
    </xf>
    <xf borderId="0" fillId="10" fontId="10" numFmtId="0" xfId="0" applyAlignment="1" applyFont="1">
      <alignment horizontal="right" shrinkToFit="0" vertical="top" wrapText="1"/>
    </xf>
    <xf borderId="0" fillId="5" fontId="2" numFmtId="164" xfId="0" applyFont="1" applyNumberFormat="1"/>
    <xf borderId="0" fillId="10" fontId="9" numFmtId="0" xfId="0" applyAlignment="1" applyFont="1">
      <alignment horizontal="center" shrinkToFit="0" vertical="top" wrapText="1"/>
    </xf>
    <xf borderId="0" fillId="0" fontId="10" numFmtId="166" xfId="0" applyAlignment="1" applyFont="1" applyNumberFormat="1">
      <alignment horizontal="center" readingOrder="0" shrinkToFit="0" vertical="center" wrapText="1"/>
    </xf>
    <xf borderId="0" fillId="0" fontId="33" numFmtId="0" xfId="0" applyAlignment="1" applyFont="1">
      <alignment horizontal="left" readingOrder="0" shrinkToFit="0" vertical="center" wrapText="1"/>
    </xf>
    <xf borderId="0" fillId="0" fontId="34" numFmtId="0" xfId="0" applyAlignment="1" applyFont="1">
      <alignment horizontal="left" readingOrder="0" shrinkToFit="0" vertical="center" wrapText="1"/>
    </xf>
    <xf borderId="0" fillId="0" fontId="10" numFmtId="166" xfId="0" applyAlignment="1" applyFont="1" applyNumberFormat="1">
      <alignment horizontal="center" shrinkToFit="0" vertical="center" wrapText="1"/>
    </xf>
    <xf borderId="0" fillId="2" fontId="5" numFmtId="0" xfId="0" applyAlignment="1" applyFont="1">
      <alignment vertical="center"/>
    </xf>
    <xf borderId="0" fillId="2" fontId="5" numFmtId="0" xfId="0" applyAlignment="1" applyFont="1">
      <alignment horizontal="center" readingOrder="0"/>
    </xf>
    <xf borderId="0" fillId="0" fontId="10" numFmtId="0" xfId="0" applyAlignment="1" applyFont="1">
      <alignment horizontal="center" readingOrder="0" shrinkToFit="0" vertical="bottom" wrapText="1"/>
    </xf>
    <xf borderId="0" fillId="0" fontId="10" numFmtId="3" xfId="0" applyAlignment="1" applyFont="1" applyNumberFormat="1">
      <alignment horizontal="center" shrinkToFit="0" vertical="bottom" wrapText="1"/>
    </xf>
    <xf borderId="0" fillId="2" fontId="35" numFmtId="0" xfId="0" applyAlignment="1" applyFont="1">
      <alignment shrinkToFit="0" vertical="bottom" wrapText="1"/>
    </xf>
    <xf borderId="0" fillId="0" fontId="5" numFmtId="0" xfId="0" applyAlignment="1" applyFont="1">
      <alignment vertical="bottom"/>
    </xf>
    <xf borderId="0" fillId="2" fontId="5" numFmtId="0" xfId="0" applyAlignment="1" applyFont="1">
      <alignment horizontal="center"/>
    </xf>
    <xf borderId="0" fillId="0" fontId="12" numFmtId="0" xfId="0" applyAlignment="1" applyFont="1">
      <alignment horizontal="left" shrinkToFit="0" vertical="center" wrapText="1"/>
    </xf>
    <xf borderId="0" fillId="2" fontId="5" numFmtId="0" xfId="0" applyAlignment="1" applyFont="1">
      <alignment horizontal="right" vertical="top"/>
    </xf>
    <xf borderId="0" fillId="0" fontId="10" numFmtId="166" xfId="0" applyAlignment="1" applyFont="1" applyNumberFormat="1">
      <alignment horizontal="center" vertical="bottom"/>
    </xf>
    <xf borderId="0" fillId="0" fontId="5" numFmtId="0" xfId="0" applyAlignment="1" applyFont="1">
      <alignment shrinkToFit="0" vertical="bottom" wrapText="1"/>
    </xf>
    <xf borderId="0" fillId="2" fontId="5" numFmtId="0" xfId="0" applyAlignment="1" applyFont="1">
      <alignment shrinkToFit="0" wrapText="1"/>
    </xf>
    <xf borderId="0" fillId="5" fontId="5" numFmtId="0" xfId="0" applyFont="1"/>
    <xf borderId="0" fillId="5" fontId="5" numFmtId="0" xfId="0" applyAlignment="1" applyFont="1">
      <alignment readingOrder="0" shrinkToFit="0" wrapText="1"/>
    </xf>
    <xf borderId="0" fillId="0" fontId="5" numFmtId="0" xfId="0" applyAlignment="1" applyFont="1">
      <alignment vertical="bottom"/>
    </xf>
    <xf borderId="0" fillId="5" fontId="36" numFmtId="0" xfId="0" applyAlignment="1" applyFont="1">
      <alignment shrinkToFit="0" wrapText="1"/>
    </xf>
    <xf borderId="0" fillId="0" fontId="10" numFmtId="3" xfId="0" applyAlignment="1" applyFont="1" applyNumberFormat="1">
      <alignment horizontal="center" readingOrder="0" shrinkToFit="0" vertical="bottom" wrapText="1"/>
    </xf>
    <xf borderId="0" fillId="2" fontId="10" numFmtId="165" xfId="0" applyAlignment="1" applyFont="1" applyNumberFormat="1">
      <alignment horizontal="center" readingOrder="0" vertical="center"/>
    </xf>
    <xf borderId="0" fillId="2" fontId="37" numFmtId="0" xfId="0" applyAlignment="1" applyFont="1">
      <alignment readingOrder="0" shrinkToFit="0" wrapText="1"/>
    </xf>
    <xf borderId="0" fillId="2" fontId="5" numFmtId="0" xfId="0" applyAlignment="1" applyFont="1">
      <alignment readingOrder="0" shrinkToFit="0" vertical="center" wrapText="1"/>
    </xf>
    <xf borderId="0" fillId="0" fontId="2" numFmtId="0" xfId="0" applyAlignment="1" applyFont="1">
      <alignment readingOrder="0" shrinkToFit="0" wrapText="1"/>
    </xf>
    <xf borderId="0" fillId="5" fontId="38" numFmtId="0" xfId="0" applyAlignment="1" applyFont="1">
      <alignment readingOrder="0" shrinkToFit="0" vertical="center" wrapText="1"/>
    </xf>
    <xf borderId="0" fillId="2" fontId="23" numFmtId="3" xfId="0" applyAlignment="1" applyFont="1" applyNumberFormat="1">
      <alignment readingOrder="0" shrinkToFit="0" wrapText="1"/>
    </xf>
    <xf borderId="0" fillId="5" fontId="39" numFmtId="0" xfId="0" applyAlignment="1" applyFont="1">
      <alignment horizontal="center" readingOrder="0" shrinkToFit="0" vertical="top" wrapText="1"/>
    </xf>
    <xf borderId="0" fillId="2" fontId="40" numFmtId="3" xfId="0" applyAlignment="1" applyFont="1" applyNumberFormat="1">
      <alignment horizontal="left" readingOrder="0" shrinkToFit="0" wrapText="1"/>
    </xf>
    <xf borderId="0" fillId="5" fontId="41" numFmtId="0" xfId="0" applyAlignment="1" applyFont="1">
      <alignment readingOrder="0" shrinkToFit="0" wrapText="1"/>
    </xf>
    <xf borderId="0" fillId="2" fontId="42" numFmtId="3" xfId="0" applyAlignment="1" applyFont="1" applyNumberFormat="1">
      <alignment readingOrder="0" shrinkToFit="0" wrapText="1"/>
    </xf>
    <xf borderId="0" fillId="2" fontId="43" numFmtId="3" xfId="0" applyAlignment="1" applyFont="1" applyNumberFormat="1">
      <alignment horizontal="left" readingOrder="0" shrinkToFit="0" wrapText="1"/>
    </xf>
    <xf borderId="0" fillId="2" fontId="10" numFmtId="165" xfId="0" applyAlignment="1" applyFont="1" applyNumberFormat="1">
      <alignment horizontal="center" vertical="center"/>
    </xf>
    <xf borderId="0" fillId="2" fontId="10" numFmtId="0" xfId="0" applyAlignment="1" applyFont="1">
      <alignment horizontal="center" readingOrder="0" vertical="center"/>
    </xf>
    <xf borderId="0" fillId="5" fontId="44" numFmtId="0" xfId="0" applyAlignment="1" applyFont="1">
      <alignment readingOrder="0" shrinkToFit="0" wrapText="1"/>
    </xf>
    <xf borderId="0" fillId="2" fontId="5" numFmtId="0" xfId="0" applyAlignment="1" applyFont="1">
      <alignment horizontal="left" shrinkToFit="0" wrapText="1"/>
    </xf>
    <xf borderId="0" fillId="5" fontId="45" numFmtId="0" xfId="0" applyAlignment="1" applyFont="1">
      <alignment shrinkToFit="0" wrapText="1"/>
    </xf>
    <xf borderId="0" fillId="2" fontId="5" numFmtId="3" xfId="0" applyAlignment="1" applyFont="1" applyNumberFormat="1">
      <alignment horizontal="left" readingOrder="0" shrinkToFit="0" vertical="center" wrapText="1"/>
    </xf>
    <xf borderId="0" fillId="5" fontId="46" numFmtId="0" xfId="0" applyAlignment="1" applyFont="1">
      <alignment readingOrder="0" vertical="bottom"/>
    </xf>
    <xf borderId="0" fillId="5" fontId="12" numFmtId="0" xfId="0" applyAlignment="1" applyFont="1">
      <alignment vertical="bottom"/>
    </xf>
    <xf borderId="0" fillId="5" fontId="12" numFmtId="0" xfId="0" applyAlignment="1" applyFont="1">
      <alignment readingOrder="0" shrinkToFit="0" vertical="center" wrapText="1"/>
    </xf>
    <xf borderId="0" fillId="2" fontId="5" numFmtId="3" xfId="0" applyAlignment="1" applyFont="1" applyNumberFormat="1">
      <alignment horizontal="left" shrinkToFit="0" vertical="center" wrapText="1"/>
    </xf>
    <xf borderId="0" fillId="2" fontId="5" numFmtId="0" xfId="0" applyAlignment="1" applyFont="1">
      <alignment shrinkToFit="0" vertical="center" wrapText="1"/>
    </xf>
    <xf borderId="0" fillId="5" fontId="47" numFmtId="0" xfId="0" applyAlignment="1" applyFont="1">
      <alignment vertical="bottom"/>
    </xf>
    <xf borderId="0" fillId="5" fontId="48" numFmtId="0" xfId="0" applyAlignment="1" applyFont="1">
      <alignment shrinkToFit="0" vertical="bottom" wrapText="0"/>
    </xf>
    <xf borderId="0" fillId="2" fontId="10" numFmtId="165" xfId="0" applyAlignment="1" applyFont="1" applyNumberFormat="1">
      <alignment horizontal="center" readingOrder="0" shrinkToFit="0" vertical="center" wrapText="1"/>
    </xf>
    <xf borderId="0" fillId="5" fontId="49" numFmtId="0" xfId="0" applyAlignment="1" applyFont="1">
      <alignment shrinkToFit="0" vertical="bottom" wrapText="1"/>
    </xf>
    <xf borderId="0" fillId="2" fontId="10" numFmtId="165" xfId="0" applyAlignment="1" applyFont="1" applyNumberFormat="1">
      <alignment horizontal="center" shrinkToFit="0" vertical="center" wrapText="1"/>
    </xf>
    <xf borderId="0" fillId="2" fontId="5" numFmtId="0" xfId="0" applyAlignment="1" applyFont="1">
      <alignment horizontal="left" shrinkToFit="0" vertical="center" wrapText="1"/>
    </xf>
    <xf borderId="0" fillId="5" fontId="50" numFmtId="0" xfId="0" applyAlignment="1" applyFont="1">
      <alignment shrinkToFit="0" wrapText="1"/>
    </xf>
    <xf borderId="0" fillId="5" fontId="51" numFmtId="0" xfId="0" applyFont="1"/>
    <xf borderId="0" fillId="5" fontId="52" numFmtId="0" xfId="0" applyAlignment="1" applyFont="1">
      <alignment vertical="top"/>
    </xf>
    <xf borderId="0" fillId="2" fontId="10" numFmtId="166" xfId="0" applyAlignment="1" applyFont="1" applyNumberFormat="1">
      <alignment horizontal="center" shrinkToFit="0" vertical="center" wrapText="1"/>
    </xf>
    <xf borderId="0" fillId="0" fontId="5" numFmtId="3" xfId="0" applyAlignment="1" applyFont="1" applyNumberFormat="1">
      <alignment readingOrder="0" shrinkToFit="0" wrapText="1"/>
    </xf>
    <xf borderId="0" fillId="0" fontId="5" numFmtId="3" xfId="0" applyAlignment="1" applyFont="1" applyNumberFormat="1">
      <alignment horizontal="center" readingOrder="0" shrinkToFit="0" wrapText="1"/>
    </xf>
    <xf borderId="0" fillId="0" fontId="5" numFmtId="3" xfId="0" applyAlignment="1" applyFont="1" applyNumberFormat="1">
      <alignment shrinkToFit="0" wrapText="1"/>
    </xf>
    <xf borderId="0" fillId="5" fontId="12" numFmtId="0" xfId="0" applyFont="1"/>
    <xf borderId="0" fillId="5" fontId="12" numFmtId="0" xfId="0" applyAlignment="1" applyFont="1">
      <alignment vertical="center"/>
    </xf>
    <xf borderId="0" fillId="5" fontId="5" numFmtId="0" xfId="0" applyAlignment="1" applyFont="1">
      <alignment vertical="center"/>
    </xf>
    <xf borderId="0" fillId="5" fontId="53" numFmtId="0" xfId="0" applyAlignment="1" applyFont="1">
      <alignment readingOrder="0" vertical="center"/>
    </xf>
    <xf borderId="0" fillId="5" fontId="54" numFmtId="0" xfId="0" applyAlignment="1" applyFont="1">
      <alignment vertical="center"/>
    </xf>
    <xf borderId="0" fillId="2" fontId="10" numFmtId="164" xfId="0" applyAlignment="1" applyFont="1" applyNumberFormat="1">
      <alignment horizontal="center" vertical="center"/>
    </xf>
    <xf borderId="0" fillId="2" fontId="55" numFmtId="0" xfId="0" applyAlignment="1" applyFont="1">
      <alignment horizontal="left" shrinkToFit="0" vertical="center" wrapText="1"/>
    </xf>
    <xf borderId="0" fillId="2" fontId="55" numFmtId="0" xfId="0" applyAlignment="1" applyFont="1">
      <alignment shrinkToFit="0" vertical="center" wrapText="1"/>
    </xf>
    <xf borderId="0" fillId="2" fontId="55" numFmtId="0" xfId="0" applyAlignment="1" applyFont="1">
      <alignment horizontal="left" shrinkToFit="0" vertical="center" wrapText="1"/>
    </xf>
    <xf borderId="0" fillId="2" fontId="10" numFmtId="164" xfId="0" applyAlignment="1" applyFont="1" applyNumberFormat="1">
      <alignment horizontal="center" readingOrder="0" vertical="center"/>
    </xf>
    <xf borderId="0" fillId="2" fontId="10" numFmtId="164" xfId="0" applyAlignment="1" applyFont="1" applyNumberFormat="1">
      <alignment horizontal="left" shrinkToFit="0" vertical="center" wrapText="1"/>
    </xf>
    <xf borderId="0" fillId="2" fontId="5" numFmtId="0" xfId="0" applyAlignment="1" applyFont="1">
      <alignment horizontal="right" readingOrder="0" vertical="top"/>
    </xf>
    <xf borderId="0" fillId="2" fontId="5" numFmtId="3" xfId="0" applyAlignment="1" applyFont="1" applyNumberFormat="1">
      <alignment readingOrder="0" shrinkToFit="0" vertical="center" wrapText="1"/>
    </xf>
    <xf borderId="0" fillId="2" fontId="5" numFmtId="3" xfId="0" applyAlignment="1" applyFont="1" applyNumberFormat="1">
      <alignment shrinkToFit="0" vertical="bottom" wrapText="1"/>
    </xf>
    <xf borderId="0" fillId="5" fontId="56" numFmtId="0" xfId="0" applyAlignment="1" applyFont="1">
      <alignment horizontal="center" shrinkToFit="0" vertical="top" wrapText="1"/>
    </xf>
    <xf borderId="0" fillId="5" fontId="57" numFmtId="0" xfId="0" applyAlignment="1" applyFont="1">
      <alignment readingOrder="0"/>
    </xf>
    <xf borderId="0" fillId="5" fontId="58" numFmtId="0" xfId="0" applyAlignment="1" applyFont="1">
      <alignment readingOrder="0" shrinkToFit="0" vertical="center" wrapText="0"/>
    </xf>
    <xf borderId="0" fillId="5" fontId="12" numFmtId="0" xfId="0" applyAlignment="1" applyFont="1">
      <alignment vertical="center"/>
    </xf>
    <xf borderId="0" fillId="5" fontId="59" numFmtId="0" xfId="0" applyAlignment="1" applyFont="1">
      <alignment readingOrder="0" shrinkToFit="0" vertical="center" wrapText="0"/>
    </xf>
    <xf borderId="0" fillId="0" fontId="60" numFmtId="0" xfId="0" applyAlignment="1" applyFont="1">
      <alignment vertical="top"/>
    </xf>
    <xf borderId="0" fillId="0" fontId="12" numFmtId="0" xfId="0" applyAlignment="1" applyFont="1">
      <alignment vertical="top"/>
    </xf>
    <xf borderId="0" fillId="2" fontId="5" numFmtId="164" xfId="0" applyAlignment="1" applyFont="1" applyNumberFormat="1">
      <alignment horizontal="left" shrinkToFit="0" vertical="center" wrapText="1"/>
    </xf>
    <xf borderId="0" fillId="2" fontId="5" numFmtId="164" xfId="0" applyAlignment="1" applyFont="1" applyNumberFormat="1">
      <alignment shrinkToFit="0" vertical="center" wrapText="1"/>
    </xf>
    <xf borderId="0" fillId="0" fontId="10" numFmtId="164" xfId="0" applyAlignment="1" applyFont="1" applyNumberFormat="1">
      <alignment horizontal="center" vertical="bottom"/>
    </xf>
    <xf borderId="0" fillId="0" fontId="5" numFmtId="3" xfId="0" applyAlignment="1" applyFont="1" applyNumberFormat="1">
      <alignment shrinkToFit="0" vertical="bottom" wrapText="1"/>
    </xf>
    <xf borderId="0" fillId="0" fontId="5" numFmtId="3" xfId="0" applyAlignment="1" applyFont="1" applyNumberFormat="1">
      <alignment vertical="bottom"/>
    </xf>
    <xf borderId="0" fillId="2" fontId="29" numFmtId="3" xfId="0" applyAlignment="1" applyFont="1" applyNumberFormat="1">
      <alignment readingOrder="0" shrinkToFit="0" vertical="bottom" wrapText="1"/>
    </xf>
    <xf borderId="0" fillId="2" fontId="5" numFmtId="3" xfId="0" applyAlignment="1" applyFont="1" applyNumberFormat="1">
      <alignment readingOrder="0" vertical="bottom"/>
    </xf>
    <xf borderId="0" fillId="5" fontId="61" numFmtId="0" xfId="0" applyAlignment="1" applyFont="1">
      <alignment readingOrder="0" vertical="top"/>
    </xf>
    <xf borderId="0" fillId="2" fontId="62" numFmtId="3" xfId="0" applyAlignment="1" applyFont="1" applyNumberFormat="1">
      <alignment shrinkToFit="0" vertical="bottom" wrapText="1"/>
    </xf>
    <xf borderId="0" fillId="2" fontId="29" numFmtId="3" xfId="0" applyAlignment="1" applyFont="1" applyNumberFormat="1">
      <alignment shrinkToFit="0" vertical="bottom" wrapText="1"/>
    </xf>
    <xf borderId="0" fillId="2" fontId="5" numFmtId="3" xfId="0" applyAlignment="1" applyFont="1" applyNumberFormat="1">
      <alignment vertical="bottom"/>
    </xf>
    <xf borderId="0" fillId="0" fontId="10" numFmtId="166" xfId="0" applyAlignment="1" applyFont="1" applyNumberFormat="1">
      <alignment horizontal="center" readingOrder="0" shrinkToFit="0" wrapText="1"/>
    </xf>
    <xf borderId="0" fillId="2" fontId="10" numFmtId="164" xfId="0" applyAlignment="1" applyFont="1" applyNumberFormat="1">
      <alignment horizontal="center" shrinkToFit="0" wrapText="1"/>
    </xf>
    <xf borderId="0" fillId="5" fontId="63" numFmtId="0" xfId="0" applyAlignment="1" applyFont="1">
      <alignment shrinkToFit="0" vertical="center" wrapText="1"/>
    </xf>
    <xf borderId="0" fillId="5" fontId="64" numFmtId="0" xfId="0" applyAlignment="1" applyFont="1">
      <alignment shrinkToFit="0" vertical="center" wrapText="1"/>
    </xf>
    <xf borderId="0" fillId="0" fontId="5" numFmtId="0" xfId="0" applyAlignment="1" applyFont="1">
      <alignment horizontal="center" vertical="center"/>
    </xf>
    <xf borderId="0" fillId="5" fontId="12" numFmtId="0" xfId="0" applyAlignment="1" applyFont="1">
      <alignment readingOrder="0" vertical="center"/>
    </xf>
    <xf borderId="0" fillId="5" fontId="5" numFmtId="0" xfId="0" applyAlignment="1" applyFont="1">
      <alignment readingOrder="0" shrinkToFit="0" vertical="bottom" wrapText="1"/>
    </xf>
    <xf borderId="0" fillId="0" fontId="5" numFmtId="0" xfId="0" applyAlignment="1" applyFont="1">
      <alignment shrinkToFit="0" vertical="center" wrapText="1"/>
    </xf>
    <xf borderId="0" fillId="2" fontId="5" numFmtId="0" xfId="0" applyAlignment="1" applyFont="1">
      <alignment horizontal="center" vertical="center"/>
    </xf>
    <xf borderId="0" fillId="2" fontId="28" numFmtId="0" xfId="0" applyAlignment="1" applyFont="1">
      <alignment readingOrder="0" shrinkToFit="0" wrapText="1"/>
    </xf>
    <xf borderId="0" fillId="2" fontId="5" numFmtId="0" xfId="0" applyAlignment="1" applyFont="1">
      <alignment horizontal="center" readingOrder="0" shrinkToFit="0" wrapText="1"/>
    </xf>
    <xf borderId="0" fillId="2" fontId="5" numFmtId="0" xfId="0" applyAlignment="1" applyFont="1">
      <alignment horizontal="center" shrinkToFit="0" vertical="center" wrapText="1"/>
    </xf>
    <xf borderId="0" fillId="5" fontId="65" numFmtId="0" xfId="0" applyAlignment="1" applyFont="1">
      <alignment readingOrder="0" vertical="center"/>
    </xf>
    <xf borderId="0" fillId="2" fontId="10" numFmtId="0" xfId="0" applyAlignment="1" applyFont="1">
      <alignment horizontal="center" readingOrder="0" shrinkToFit="0" vertical="center" wrapText="1"/>
    </xf>
    <xf borderId="0" fillId="5" fontId="5" numFmtId="0" xfId="0" applyAlignment="1" applyFont="1">
      <alignment vertical="top"/>
    </xf>
    <xf borderId="0" fillId="5" fontId="10" numFmtId="0" xfId="0" applyAlignment="1" applyFont="1">
      <alignment horizontal="right" shrinkToFit="0" vertical="top" wrapText="1"/>
    </xf>
    <xf borderId="0" fillId="2" fontId="10" numFmtId="164" xfId="0" applyAlignment="1" applyFont="1" applyNumberFormat="1">
      <alignment horizontal="left" vertical="center"/>
    </xf>
    <xf borderId="0" fillId="0" fontId="5" numFmtId="0" xfId="0" applyAlignment="1" applyFont="1">
      <alignment horizontal="center" shrinkToFit="0" vertical="top" wrapText="1"/>
    </xf>
    <xf borderId="0" fillId="0" fontId="5" numFmtId="164" xfId="0" applyAlignment="1" applyFont="1" applyNumberFormat="1">
      <alignment shrinkToFit="0" vertical="center" wrapText="1"/>
    </xf>
    <xf borderId="0" fillId="0" fontId="5" numFmtId="0" xfId="0" applyAlignment="1" applyFont="1">
      <alignment shrinkToFit="0" vertical="bottom" wrapText="1"/>
    </xf>
    <xf borderId="0" fillId="5" fontId="10" numFmtId="3" xfId="0" applyAlignment="1" applyFont="1" applyNumberFormat="1">
      <alignment horizontal="right" vertical="top"/>
    </xf>
    <xf borderId="0" fillId="0" fontId="5" numFmtId="0" xfId="0" applyAlignment="1" applyFont="1">
      <alignment horizontal="center" readingOrder="0" shrinkToFit="0" vertical="top" wrapText="1"/>
    </xf>
    <xf borderId="0" fillId="5" fontId="66" numFmtId="0" xfId="0" applyAlignment="1" applyFont="1">
      <alignment vertical="center"/>
    </xf>
    <xf borderId="0" fillId="2" fontId="5" numFmtId="0" xfId="0" applyAlignment="1" applyFont="1">
      <alignment horizontal="center" readingOrder="0" shrinkToFit="0" vertical="center" wrapText="1"/>
    </xf>
    <xf borderId="0" fillId="0" fontId="67" numFmtId="0" xfId="0" applyAlignment="1" applyFont="1">
      <alignment shrinkToFit="0" vertical="bottom" wrapText="1"/>
    </xf>
    <xf borderId="0" fillId="2" fontId="28" numFmtId="0" xfId="0" applyAlignment="1" applyFont="1">
      <alignment readingOrder="0" shrinkToFit="0" wrapText="1"/>
    </xf>
    <xf borderId="0" fillId="10" fontId="5" numFmtId="0" xfId="0" applyAlignment="1" applyFont="1">
      <alignment vertical="bottom"/>
    </xf>
    <xf borderId="0" fillId="5" fontId="10" numFmtId="0" xfId="0" applyAlignment="1" applyFont="1">
      <alignment horizontal="right" shrinkToFit="0" vertical="bottom" wrapText="1"/>
    </xf>
    <xf borderId="0" fillId="5" fontId="10" numFmtId="0" xfId="0" applyAlignment="1" applyFont="1">
      <alignment horizontal="right" vertical="bottom"/>
    </xf>
    <xf borderId="0" fillId="3" fontId="7" numFmtId="0" xfId="0" applyAlignment="1" applyFont="1">
      <alignment horizontal="center" readingOrder="0" shrinkToFit="0" vertical="bottom" wrapText="1"/>
    </xf>
    <xf borderId="1" fillId="11" fontId="10" numFmtId="0" xfId="0" applyAlignment="1" applyBorder="1" applyFill="1" applyFont="1">
      <alignment horizontal="left" shrinkToFit="0" vertical="center" wrapText="1"/>
    </xf>
    <xf borderId="2" fillId="11" fontId="10" numFmtId="0" xfId="0" applyAlignment="1" applyBorder="1" applyFont="1">
      <alignment horizontal="left" readingOrder="0" shrinkToFit="0" vertical="center" wrapText="0"/>
    </xf>
    <xf borderId="3" fillId="0" fontId="68" numFmtId="0" xfId="0" applyBorder="1" applyFont="1"/>
    <xf borderId="4" fillId="0" fontId="68" numFmtId="0" xfId="0" applyBorder="1" applyFont="1"/>
    <xf borderId="0" fillId="0" fontId="2" numFmtId="0" xfId="0" applyAlignment="1" applyFont="1">
      <alignment vertical="center"/>
    </xf>
    <xf borderId="1" fillId="0" fontId="5" numFmtId="0" xfId="0" applyAlignment="1" applyBorder="1" applyFont="1">
      <alignment shrinkToFit="0" vertical="center" wrapText="1"/>
    </xf>
    <xf borderId="1" fillId="0" fontId="5" numFmtId="164" xfId="0" applyAlignment="1" applyBorder="1" applyFont="1" applyNumberFormat="1">
      <alignment horizontal="left" shrinkToFit="0" vertical="center" wrapText="1"/>
    </xf>
    <xf borderId="1" fillId="0" fontId="69" numFmtId="0" xfId="0" applyAlignment="1" applyBorder="1" applyFont="1">
      <alignment shrinkToFit="0" vertical="center" wrapText="0"/>
    </xf>
    <xf borderId="1" fillId="0" fontId="5" numFmtId="0" xfId="0" applyAlignment="1" applyBorder="1" applyFont="1">
      <alignment shrinkToFit="0" vertical="center" wrapText="0"/>
    </xf>
    <xf borderId="1" fillId="0" fontId="5" numFmtId="0" xfId="0" applyAlignment="1" applyBorder="1" applyFont="1">
      <alignment readingOrder="0" shrinkToFit="0" vertical="center" wrapText="1"/>
    </xf>
    <xf borderId="1" fillId="0" fontId="5" numFmtId="164" xfId="0" applyAlignment="1" applyBorder="1" applyFont="1" applyNumberFormat="1">
      <alignment horizontal="left" readingOrder="0" shrinkToFit="0" vertical="center" wrapText="1"/>
    </xf>
    <xf borderId="1" fillId="0" fontId="70" numFmtId="0" xfId="0" applyAlignment="1" applyBorder="1" applyFont="1">
      <alignment readingOrder="0" shrinkToFit="0" vertical="center" wrapText="0"/>
    </xf>
    <xf borderId="4" fillId="0" fontId="5" numFmtId="0" xfId="0" applyAlignment="1" applyBorder="1" applyFont="1">
      <alignment shrinkToFit="0" vertical="center" wrapText="1"/>
    </xf>
    <xf borderId="4" fillId="0" fontId="5" numFmtId="166" xfId="0" applyAlignment="1" applyBorder="1" applyFont="1" applyNumberFormat="1">
      <alignment horizontal="left" shrinkToFit="0" vertical="center" wrapText="1"/>
    </xf>
    <xf borderId="4" fillId="0" fontId="71" numFmtId="0" xfId="0" applyAlignment="1" applyBorder="1" applyFont="1">
      <alignment vertical="center"/>
    </xf>
    <xf borderId="5" fillId="0" fontId="5" numFmtId="0" xfId="0" applyAlignment="1" applyBorder="1" applyFont="1">
      <alignment shrinkToFit="0" vertical="center" wrapText="1"/>
    </xf>
    <xf borderId="6" fillId="0" fontId="5" numFmtId="0" xfId="0" applyAlignment="1" applyBorder="1" applyFont="1">
      <alignment shrinkToFit="0" vertical="center" wrapText="1"/>
    </xf>
    <xf borderId="6" fillId="0" fontId="5" numFmtId="166" xfId="0" applyAlignment="1" applyBorder="1" applyFont="1" applyNumberFormat="1">
      <alignment horizontal="left" shrinkToFit="0" vertical="center" wrapText="1"/>
    </xf>
    <xf borderId="6" fillId="0" fontId="72" numFmtId="0" xfId="0" applyAlignment="1" applyBorder="1" applyFont="1">
      <alignment vertical="center"/>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1" fillId="0" fontId="73" numFmtId="0" xfId="0" applyAlignment="1" applyBorder="1" applyFont="1">
      <alignment readingOrder="0" shrinkToFit="0" vertical="center" wrapText="0"/>
    </xf>
    <xf borderId="1" fillId="0" fontId="5" numFmtId="0" xfId="0" applyAlignment="1" applyBorder="1" applyFont="1">
      <alignment vertical="center"/>
    </xf>
    <xf borderId="4" fillId="0" fontId="5" numFmtId="0" xfId="0" applyAlignment="1" applyBorder="1" applyFont="1">
      <alignment vertical="center"/>
    </xf>
    <xf borderId="0" fillId="0" fontId="2" numFmtId="0" xfId="0" applyAlignment="1" applyFont="1">
      <alignment shrinkToFit="0" vertical="center" wrapText="0"/>
    </xf>
    <xf borderId="0" fillId="0" fontId="74" numFmtId="0" xfId="0" applyAlignment="1" applyFont="1">
      <alignment readingOrder="0" vertical="bottom"/>
    </xf>
    <xf borderId="0" fillId="0" fontId="12" numFmtId="0" xfId="0" applyAlignment="1" applyFont="1">
      <alignment readingOrder="0" shrinkToFit="0" vertical="bottom" wrapText="1"/>
    </xf>
    <xf borderId="0" fillId="0" fontId="12" numFmtId="0" xfId="0" applyAlignment="1" applyFont="1">
      <alignment readingOrder="0" vertical="bottom"/>
    </xf>
    <xf borderId="0" fillId="0" fontId="12" numFmtId="0" xfId="0" applyAlignment="1" applyFont="1">
      <alignment horizontal="center" readingOrder="0" vertical="bottom"/>
    </xf>
    <xf borderId="0" fillId="0" fontId="12" numFmtId="0" xfId="0" applyAlignment="1" applyFont="1">
      <alignment vertical="bottom"/>
    </xf>
    <xf borderId="0" fillId="0" fontId="12" numFmtId="166" xfId="0" applyAlignment="1" applyFont="1" applyNumberFormat="1">
      <alignment readingOrder="0" vertical="bottom"/>
    </xf>
    <xf borderId="0" fillId="0" fontId="12" numFmtId="3" xfId="0" applyAlignment="1" applyFont="1" applyNumberFormat="1">
      <alignment readingOrder="0" vertical="bottom"/>
    </xf>
    <xf borderId="0" fillId="0" fontId="5" numFmtId="0" xfId="0" applyAlignment="1" applyFont="1">
      <alignment readingOrder="0" vertical="bottom"/>
    </xf>
    <xf borderId="0" fillId="0" fontId="74" numFmtId="0" xfId="0" applyAlignment="1" applyFont="1">
      <alignment readingOrder="0" shrinkToFit="0" vertical="center" wrapText="1"/>
    </xf>
    <xf borderId="0" fillId="0" fontId="12" numFmtId="0" xfId="0" applyAlignment="1" applyFont="1">
      <alignment readingOrder="0" shrinkToFit="0" vertical="bottom" wrapText="0"/>
    </xf>
    <xf borderId="0" fillId="0" fontId="12" numFmtId="164" xfId="0" applyAlignment="1" applyFont="1" applyNumberFormat="1">
      <alignment horizontal="right" readingOrder="0" shrinkToFit="0" vertical="bottom" wrapText="0"/>
    </xf>
    <xf borderId="0" fillId="0" fontId="12" numFmtId="164" xfId="0" applyAlignment="1" applyFont="1" applyNumberFormat="1">
      <alignment shrinkToFit="0" vertical="bottom" wrapText="0"/>
    </xf>
    <xf borderId="0" fillId="0" fontId="12" numFmtId="3" xfId="0" applyAlignment="1" applyFont="1" applyNumberFormat="1">
      <alignment horizontal="right" readingOrder="0" shrinkToFit="0" vertical="bottom" wrapText="0"/>
    </xf>
    <xf borderId="0" fillId="0" fontId="12" numFmtId="0" xfId="0" applyAlignment="1" applyFont="1">
      <alignment horizontal="center" readingOrder="0" shrinkToFit="0" vertical="bottom" wrapText="0"/>
    </xf>
    <xf borderId="0" fillId="0" fontId="12" numFmtId="0" xfId="0" applyAlignment="1" applyFont="1">
      <alignment shrinkToFit="0" vertical="bottom" wrapText="0"/>
    </xf>
    <xf borderId="0" fillId="0" fontId="12" numFmtId="0" xfId="0" applyAlignment="1" applyFont="1">
      <alignment shrinkToFit="0" vertical="bottom" wrapText="0"/>
    </xf>
    <xf borderId="0" fillId="0" fontId="75" numFmtId="0" xfId="0" applyAlignment="1" applyFont="1">
      <alignment shrinkToFit="0" vertical="bottom" wrapText="0"/>
    </xf>
    <xf borderId="0" fillId="0" fontId="12" numFmtId="0" xfId="0" applyAlignment="1" applyFont="1">
      <alignment horizontal="right" readingOrder="0" shrinkToFit="0" vertical="bottom" wrapText="0"/>
    </xf>
    <xf borderId="0" fillId="0" fontId="75" numFmtId="0" xfId="0" applyAlignment="1" applyFont="1">
      <alignment readingOrder="0" shrinkToFit="0" vertical="bottom" wrapText="0"/>
    </xf>
    <xf borderId="0" fillId="0" fontId="75" numFmtId="0" xfId="0" applyAlignment="1" applyFont="1">
      <alignment shrinkToFit="0" vertical="bottom" wrapText="0"/>
    </xf>
    <xf borderId="0" fillId="0" fontId="5" numFmtId="164" xfId="0" applyAlignment="1" applyFont="1" applyNumberFormat="1">
      <alignment horizontal="right" readingOrder="0" shrinkToFit="0" vertical="center" wrapText="1"/>
    </xf>
    <xf borderId="0" fillId="0" fontId="5" numFmtId="164" xfId="0" applyAlignment="1" applyFont="1" applyNumberFormat="1">
      <alignment horizontal="right" shrinkToFit="0" vertical="center" wrapText="1"/>
    </xf>
    <xf borderId="0" fillId="0" fontId="5" numFmtId="3" xfId="0" applyAlignment="1" applyFont="1" applyNumberFormat="1">
      <alignment horizontal="right" readingOrder="0" shrinkToFit="0" vertical="center" wrapText="1"/>
    </xf>
    <xf borderId="0" fillId="0" fontId="5" numFmtId="3" xfId="0" applyAlignment="1" applyFont="1" applyNumberFormat="1">
      <alignment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right" readingOrder="0" shrinkToFit="0" vertical="center" wrapText="1"/>
    </xf>
    <xf borderId="0" fillId="0" fontId="5" numFmtId="166" xfId="0" applyAlignment="1" applyFont="1" applyNumberFormat="1">
      <alignment readingOrder="0" shrinkToFit="0" vertical="center" wrapText="1"/>
    </xf>
    <xf borderId="0" fillId="0" fontId="5" numFmtId="0" xfId="0" applyAlignment="1" applyFont="1">
      <alignment horizontal="right" vertical="bottom"/>
    </xf>
    <xf borderId="0" fillId="6" fontId="76" numFmtId="0" xfId="0" applyAlignment="1" applyFont="1">
      <alignment horizontal="left" readingOrder="0" vertical="bottom"/>
    </xf>
    <xf borderId="0" fillId="2" fontId="5" numFmtId="0" xfId="0" applyAlignment="1" applyFont="1">
      <alignment shrinkToFit="0" vertical="bottom" wrapText="1"/>
    </xf>
    <xf borderId="0" fillId="0" fontId="5" numFmtId="0" xfId="0" applyAlignment="1" applyFont="1">
      <alignment horizontal="right" readingOrder="0" vertical="bottom"/>
    </xf>
    <xf borderId="0" fillId="2" fontId="2" numFmtId="0" xfId="0" applyFont="1"/>
    <xf borderId="0" fillId="2" fontId="5" numFmtId="0" xfId="0" applyAlignment="1" applyFont="1">
      <alignment horizontal="center" vertical="bottom"/>
    </xf>
    <xf borderId="0" fillId="2" fontId="5" numFmtId="0" xfId="0" applyAlignment="1" applyFont="1">
      <alignment vertical="bottom"/>
    </xf>
    <xf borderId="0" fillId="2" fontId="5" numFmtId="164" xfId="0" applyAlignment="1" applyFont="1" applyNumberFormat="1">
      <alignment horizontal="right" vertical="bottom"/>
    </xf>
    <xf borderId="0" fillId="2" fontId="5" numFmtId="164" xfId="0" applyAlignment="1" applyFont="1" applyNumberFormat="1">
      <alignment vertical="bottom"/>
    </xf>
    <xf borderId="0" fillId="2" fontId="5" numFmtId="0" xfId="0" applyAlignment="1" applyFont="1">
      <alignment horizontal="right" vertical="bottom"/>
    </xf>
    <xf borderId="0" fillId="0" fontId="5" numFmtId="164" xfId="0" applyAlignment="1" applyFont="1" applyNumberFormat="1">
      <alignment readingOrder="0" shrinkToFit="0" vertical="center" wrapText="1"/>
    </xf>
    <xf borderId="0" fillId="6" fontId="76" numFmtId="0" xfId="0" applyAlignment="1" applyFont="1">
      <alignment readingOrder="0" vertical="bottom"/>
    </xf>
    <xf borderId="0" fillId="2" fontId="5" numFmtId="0" xfId="0" applyAlignment="1" applyFont="1">
      <alignment readingOrder="0" shrinkToFit="0" vertical="bottom" wrapText="1"/>
    </xf>
    <xf borderId="0" fillId="2" fontId="5" numFmtId="0" xfId="0" applyAlignment="1" applyFont="1">
      <alignment readingOrder="0" vertical="bottom"/>
    </xf>
    <xf borderId="0" fillId="2" fontId="5" numFmtId="1" xfId="0" applyAlignment="1" applyFont="1" applyNumberFormat="1">
      <alignment readingOrder="0" vertical="bottom"/>
    </xf>
    <xf borderId="0" fillId="2" fontId="5" numFmtId="3" xfId="0" applyAlignment="1" applyFont="1" applyNumberFormat="1">
      <alignment horizontal="center" readingOrder="0" vertical="bottom"/>
    </xf>
    <xf borderId="0" fillId="0" fontId="74" numFmtId="0" xfId="0" applyAlignment="1" applyFont="1">
      <alignment vertical="bottom"/>
    </xf>
    <xf borderId="0" fillId="0" fontId="5" numFmtId="164" xfId="0" applyAlignment="1" applyFont="1" applyNumberFormat="1">
      <alignment horizontal="right" vertical="bottom"/>
    </xf>
    <xf borderId="0" fillId="0" fontId="5" numFmtId="0" xfId="0" applyAlignment="1" applyFont="1">
      <alignment horizontal="center" vertical="bottom"/>
    </xf>
    <xf borderId="0" fillId="0" fontId="5" numFmtId="0" xfId="0" applyAlignment="1" applyFont="1">
      <alignment shrinkToFit="0" vertical="bottom" wrapText="0"/>
    </xf>
    <xf borderId="0" fillId="0" fontId="77" numFmtId="0" xfId="0" applyAlignment="1" applyFont="1">
      <alignment vertical="bottom"/>
    </xf>
    <xf borderId="0" fillId="0" fontId="2" numFmtId="0" xfId="0" applyFont="1"/>
    <xf borderId="0" fillId="0" fontId="2" numFmtId="167" xfId="0" applyFont="1" applyNumberFormat="1"/>
  </cellXfs>
  <cellStyles count="1">
    <cellStyle xfId="0" name="Normal" builtinId="0"/>
  </cellStyles>
  <dxfs count="1">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nc-sa/3.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netblocks.org/reports/zimbabwe-internet-disruption-limits-coverage-of-protests-7yNV70yq" TargetMode="External"/><Relationship Id="rId194" Type="http://schemas.openxmlformats.org/officeDocument/2006/relationships/hyperlink" Target="https://freedomhouse.org/article/zimbabwe-protesters-arrested-social-media-blocked" TargetMode="External"/><Relationship Id="rId193" Type="http://schemas.openxmlformats.org/officeDocument/2006/relationships/hyperlink" Target="https://www.techzim.co.zw/2016/07/whatsapp/" TargetMode="External"/><Relationship Id="rId192" Type="http://schemas.openxmlformats.org/officeDocument/2006/relationships/hyperlink" Target="https://www.businessinsider.com/zimbabwe-bans-whatsapp-twitter-etc-for-7-days-critics-say-cover-up-2019-1?r=DE&amp;IR=T" TargetMode="External"/><Relationship Id="rId191" Type="http://schemas.openxmlformats.org/officeDocument/2006/relationships/hyperlink" Target="https://edition.cnn.com/2019/01/15/africa/zimbabwe-net-shutdown-protest/index.html" TargetMode="External"/><Relationship Id="rId187" Type="http://schemas.openxmlformats.org/officeDocument/2006/relationships/hyperlink" Target="https://netblocks.org/reports/internet-slowdown-limits-coverage-of-zimbabwe-opposition-rally-oy9Ykoy3" TargetMode="External"/><Relationship Id="rId186" Type="http://schemas.openxmlformats.org/officeDocument/2006/relationships/hyperlink" Target="https://ioda.inetintel.cc.gatech.edu/country/ZW?from=1646863200&amp;until=1647467999" TargetMode="External"/><Relationship Id="rId185" Type="http://schemas.openxmlformats.org/officeDocument/2006/relationships/hyperlink" Target="https://netblocks.org/reports/internet-slowdown-limits-coverage-of-zimbabwe-opposition-rally-oy9Ykoy3" TargetMode="External"/><Relationship Id="rId184" Type="http://schemas.openxmlformats.org/officeDocument/2006/relationships/hyperlink" Target="https://transparencyreport.google.com/traffic/overview?hl=en&amp;fraction_traffic=start:1692403200000;end:1693180799999;product:19;region:ZW&amp;disruption_history=product:21;region:ZW;size:4&amp;lu=disruption_history" TargetMode="External"/><Relationship Id="rId189" Type="http://schemas.openxmlformats.org/officeDocument/2006/relationships/hyperlink" Target="https://netblocks.org/reports/internet-slowdown-limits-coverage-of-zimbabwe-opposition-rally-oy9Ykoy3" TargetMode="External"/><Relationship Id="rId188" Type="http://schemas.openxmlformats.org/officeDocument/2006/relationships/hyperlink" Target="https://ioda.inetintel.cc.gatech.edu/country/ZW?from=1645048800&amp;until=1645653599" TargetMode="External"/><Relationship Id="rId183" Type="http://schemas.openxmlformats.org/officeDocument/2006/relationships/hyperlink" Target="https://zimfact.org/fact-check-is-internet-being-throttled-during-zimbabwes-general-elections/" TargetMode="External"/><Relationship Id="rId182" Type="http://schemas.openxmlformats.org/officeDocument/2006/relationships/hyperlink" Target="https://twitter.com/netblocks/status/1693997476691558644" TargetMode="External"/><Relationship Id="rId181" Type="http://schemas.openxmlformats.org/officeDocument/2006/relationships/hyperlink" Target="https://netblocks.org/reports/whatsapp-and-social-media-restricted-in-zambia-on-election-day-18lpLY8a" TargetMode="External"/><Relationship Id="rId180" Type="http://schemas.openxmlformats.org/officeDocument/2006/relationships/hyperlink" Target="https://netblocks.org/reports/internet-disrupted-in-tanzania-on-eve-of-presidential-elections-oy9abny3" TargetMode="External"/><Relationship Id="rId176" Type="http://schemas.openxmlformats.org/officeDocument/2006/relationships/hyperlink" Target="https://freedomhouse.org/article/uganda-social-media-ordered-blocked-museveni-inauguration" TargetMode="External"/><Relationship Id="rId175" Type="http://schemas.openxmlformats.org/officeDocument/2006/relationships/hyperlink" Target="https://www.bloomberg.com/news/articles/2021-02-10/uganda-unblocks-internet-social-media-after-election-clampdown" TargetMode="External"/><Relationship Id="rId174" Type="http://schemas.openxmlformats.org/officeDocument/2006/relationships/hyperlink" Target="https://twitter.com/netblocks/status/1349002597630357513?s=20&amp;t=74qf6DxaHrcPUENCDIa9qw" TargetMode="External"/><Relationship Id="rId173" Type="http://schemas.openxmlformats.org/officeDocument/2006/relationships/hyperlink" Target="https://netblocks.org/reports/social-media-and-messaging-platforms-restricted-in-uganda-ahead-of-general-election-XB7aaO87" TargetMode="External"/><Relationship Id="rId179" Type="http://schemas.openxmlformats.org/officeDocument/2006/relationships/hyperlink" Target="https://twitter.com/netblocks/status/1626166335909597187" TargetMode="External"/><Relationship Id="rId178" Type="http://schemas.openxmlformats.org/officeDocument/2006/relationships/hyperlink" Target="https://qz.com/africa/619188/ugandan-citizens-say-twitter-and-facebook-have-been-blocked-as-the-election-gets-underway/" TargetMode="External"/><Relationship Id="rId177" Type="http://schemas.openxmlformats.org/officeDocument/2006/relationships/hyperlink" Target="https://advox.globalvoices.org/2016/05/11/social-media-blocked-in-uganda-ahead-of-president-musevenis-inauguration/" TargetMode="External"/><Relationship Id="rId198" Type="http://schemas.openxmlformats.org/officeDocument/2006/relationships/hyperlink" Target="https://www.refworld.org/docid/5a9fc65ea.html" TargetMode="External"/><Relationship Id="rId197" Type="http://schemas.openxmlformats.org/officeDocument/2006/relationships/hyperlink" Target="https://www.khaama.com/afghanistan-may-ban-facebook-if-govt-policies-not-considered-within-next-6-months-03705/" TargetMode="External"/><Relationship Id="rId196" Type="http://schemas.openxmlformats.org/officeDocument/2006/relationships/hyperlink" Target="https://internethealthreport.org/2018/resisting-a-whatsapp-and-telegram-ban-in-afghanistan/" TargetMode="External"/><Relationship Id="rId195" Type="http://schemas.openxmlformats.org/officeDocument/2006/relationships/hyperlink" Target="https://twitter.com/netblocks/status/1556639187679444992?s=20&amp;t=csiQWBGBSMAhRsC3A8R2Jw" TargetMode="External"/><Relationship Id="rId199" Type="http://schemas.openxmlformats.org/officeDocument/2006/relationships/hyperlink" Target="https://netblocks.org/reports/tiktok-restricted-in-azerbaijan-and-armenia-amid-clashes-over-nagorno-karabakh-3An4pky2" TargetMode="External"/><Relationship Id="rId150" Type="http://schemas.openxmlformats.org/officeDocument/2006/relationships/hyperlink" Target="https://twitter.com/hashtag/Sudan?src=hashtag_click" TargetMode="External"/><Relationship Id="rId392" Type="http://schemas.openxmlformats.org/officeDocument/2006/relationships/hyperlink" Target="https://twitter.com/netblocks/status/1717930066858971174" TargetMode="External"/><Relationship Id="rId391" Type="http://schemas.openxmlformats.org/officeDocument/2006/relationships/hyperlink" Target="https://twitter.com/netblocks/status/1720450176177901620" TargetMode="External"/><Relationship Id="rId390" Type="http://schemas.openxmlformats.org/officeDocument/2006/relationships/hyperlink" Target="https://twitter.com/netblocks/status/1722994013920182437" TargetMode="External"/><Relationship Id="rId1" Type="http://schemas.openxmlformats.org/officeDocument/2006/relationships/hyperlink" Target="https://netblocks.org/reports/internet-disrupted-in-algeria-amid-protests-against-military-influence-pA2znrAb" TargetMode="External"/><Relationship Id="rId2" Type="http://schemas.openxmlformats.org/officeDocument/2006/relationships/hyperlink" Target="https://netblocks.org/reports/algeria-blocks-youtube-and-google-services-after-publication-of-political-video-W80ZajBK" TargetMode="External"/><Relationship Id="rId3" Type="http://schemas.openxmlformats.org/officeDocument/2006/relationships/hyperlink" Target="https://netblocks.org/reports/facebook-twitter-instagram-whatsapp-and-other-social-media-blocked-in-algeria-eBOgJxBZ" TargetMode="External"/><Relationship Id="rId149" Type="http://schemas.openxmlformats.org/officeDocument/2006/relationships/hyperlink" Target="https://qz.com/africa/1126826/somaliland-is-blocking-facebook-twitter-linkedin-instagram-snapchat-and-viber-during-elections-to-avoid-fake-news/" TargetMode="External"/><Relationship Id="rId4" Type="http://schemas.openxmlformats.org/officeDocument/2006/relationships/hyperlink" Target="https://netblocks.org/reports/algeria-internet-disruptions-during-re-election-protests-eQyKwOyD" TargetMode="External"/><Relationship Id="rId148" Type="http://schemas.openxmlformats.org/officeDocument/2006/relationships/hyperlink" Target="https://netblocks.org/reports/somalia-internet-blackout-after-parliament-votes-to-remove-prime-minister-DA3lx6BW" TargetMode="External"/><Relationship Id="rId9" Type="http://schemas.openxmlformats.org/officeDocument/2006/relationships/hyperlink" Target="https://netblocks.org/reports/internet-disrupted-in-burkina-faso-amid-reports-of-coup-attempt-oy9Y9Qy3" TargetMode="External"/><Relationship Id="rId143" Type="http://schemas.openxmlformats.org/officeDocument/2006/relationships/hyperlink" Target="https://twitter.com/netblocks/status/1557654285973848065?s=20&amp;t=csiQWBGBSMAhRsC3A8R2Jw" TargetMode="External"/><Relationship Id="rId385" Type="http://schemas.openxmlformats.org/officeDocument/2006/relationships/hyperlink" Target="https://en.jubi.co.id/internet-blackout-jayapura-around-victor-yeimos-trial/" TargetMode="External"/><Relationship Id="rId142" Type="http://schemas.openxmlformats.org/officeDocument/2006/relationships/hyperlink" Target="https://netblocks.org/reports/social-media-and-messaging-apps-disrupted-in-senegal-amid-political-unrest-eA1R5pBp" TargetMode="External"/><Relationship Id="rId384" Type="http://schemas.openxmlformats.org/officeDocument/2006/relationships/hyperlink" Target="https://www.accessnow.org/keepiton/" TargetMode="External"/><Relationship Id="rId141" Type="http://schemas.openxmlformats.org/officeDocument/2006/relationships/hyperlink" Target="https://netblocks.org/reports/social-media-restricted-and-mobile-internet-cut-in-senegal-amid-political-unrest-W80QkaAK" TargetMode="External"/><Relationship Id="rId383" Type="http://schemas.openxmlformats.org/officeDocument/2006/relationships/hyperlink" Target="https://www.accessnow.org/keepiton/" TargetMode="External"/><Relationship Id="rId140" Type="http://schemas.openxmlformats.org/officeDocument/2006/relationships/hyperlink" Target="https://netblocks.org/reports/social-media-restricted-and-mobile-internet-cut-in-senegal-amid-political-unrest-W80QkaAK" TargetMode="External"/><Relationship Id="rId382" Type="http://schemas.openxmlformats.org/officeDocument/2006/relationships/hyperlink" Target="https://www.accessnow.org/keepiton/" TargetMode="External"/><Relationship Id="rId5" Type="http://schemas.openxmlformats.org/officeDocument/2006/relationships/hyperlink" Target="https://netblocks.org/reports/algeria-internet-disruptions-amid-mass-demonstrations-WJBZjMB6" TargetMode="External"/><Relationship Id="rId147" Type="http://schemas.openxmlformats.org/officeDocument/2006/relationships/hyperlink" Target="https://netblocks.org/reports/internet-disrupted-in-somaliland-amid-protests-over-postponed-elections-xyMnWG8Z" TargetMode="External"/><Relationship Id="rId389" Type="http://schemas.openxmlformats.org/officeDocument/2006/relationships/hyperlink" Target="https://www.iranintl.com/en/202407111864" TargetMode="External"/><Relationship Id="rId6" Type="http://schemas.openxmlformats.org/officeDocument/2006/relationships/hyperlink" Target="https://netblocks.org/reports/new-internet-disruption-in-benin-amid-riots-following-elections-W80ZKLBK" TargetMode="External"/><Relationship Id="rId146" Type="http://schemas.openxmlformats.org/officeDocument/2006/relationships/hyperlink" Target="https://themessenger.com/tech/somalia-suspends-tiktok-telegram-amid-terrorism-fears" TargetMode="External"/><Relationship Id="rId388" Type="http://schemas.openxmlformats.org/officeDocument/2006/relationships/hyperlink" Target="https://twitter.com/IODA_live/status/1811044793763463585?ref_src=twsrc%5Etfw%7Ctwcamp%5Etweetembed%7Ctwterm%5E1811044793763463585%7Ctwgr%5E3f803cc80ad805edfba23f696bad985c2f8f6d52%7Ctwcon%5Es1_&amp;ref_url=https%3A%2F%2Fd-2697895131442032730.ampproject.net%2F2406131415000%2Fframe.html" TargetMode="External"/><Relationship Id="rId7" Type="http://schemas.openxmlformats.org/officeDocument/2006/relationships/hyperlink" Target="https://netblocks.org/reports/internet-blocked-in-benin-on-election-day-aAwqknyM" TargetMode="External"/><Relationship Id="rId145" Type="http://schemas.openxmlformats.org/officeDocument/2006/relationships/hyperlink" Target="https://netblocks.org/reports/internet-disrupted-in-sierra-leone-amid-anti-government-protests-nAg3YZAp" TargetMode="External"/><Relationship Id="rId387" Type="http://schemas.openxmlformats.org/officeDocument/2006/relationships/hyperlink" Target="https://netblocks.org/reports/indonesia-blocks-social-media-as-election-protests-escalate-XADE7LBg" TargetMode="External"/><Relationship Id="rId8" Type="http://schemas.openxmlformats.org/officeDocument/2006/relationships/hyperlink" Target="https://www.accessnow.org/benin-heads-to-elections-without-social-media-and-opposition-parties/" TargetMode="External"/><Relationship Id="rId144" Type="http://schemas.openxmlformats.org/officeDocument/2006/relationships/hyperlink" Target="https://www.africanews.com/2018/04/01/why-sierra-leone-temporarily-shutdown-internet-after-runoff-vote/" TargetMode="External"/><Relationship Id="rId386" Type="http://schemas.openxmlformats.org/officeDocument/2006/relationships/hyperlink" Target="https://netblocks.org/reports/internet-disrupted-in-papua-indonesia-amid-mass-protests-and-calls-for-independence-eBOgrDBZ" TargetMode="External"/><Relationship Id="rId381" Type="http://schemas.openxmlformats.org/officeDocument/2006/relationships/hyperlink" Target="https://www.accessnow.org/keepiton/" TargetMode="External"/><Relationship Id="rId380" Type="http://schemas.openxmlformats.org/officeDocument/2006/relationships/hyperlink" Target="https://www.accessnow.org/keepiton/" TargetMode="External"/><Relationship Id="rId139" Type="http://schemas.openxmlformats.org/officeDocument/2006/relationships/hyperlink" Target="https://twitter.com/OpenObservatory/status/1688861026098290688" TargetMode="External"/><Relationship Id="rId138" Type="http://schemas.openxmlformats.org/officeDocument/2006/relationships/hyperlink" Target="https://crisis24.garda.com/alerts/2023/06/senegal-protests-likely-nationwide-through-at-least-mid-june-following-conviction-and-sentencing-of-political-opposition-leader-on-june-1-update-4" TargetMode="External"/><Relationship Id="rId137" Type="http://schemas.openxmlformats.org/officeDocument/2006/relationships/hyperlink" Target="https://netblocks.org/reports/social-media-restricted-and-mobile-internet-cut-in-senegal-amid-political-unrest-W80QkaAK" TargetMode="External"/><Relationship Id="rId379" Type="http://schemas.openxmlformats.org/officeDocument/2006/relationships/hyperlink" Target="https://www.accessnow.org/keepiton/" TargetMode="External"/><Relationship Id="rId132" Type="http://schemas.openxmlformats.org/officeDocument/2006/relationships/hyperlink" Target="https://twitter.com/netblocks/status/1754538470003835285" TargetMode="External"/><Relationship Id="rId374" Type="http://schemas.openxmlformats.org/officeDocument/2006/relationships/hyperlink" Target="https://www.accessnow.org/keepiton/" TargetMode="External"/><Relationship Id="rId131" Type="http://schemas.openxmlformats.org/officeDocument/2006/relationships/hyperlink" Target="https://twitter.com/hashtag/Senegal?src=hashtag_click" TargetMode="External"/><Relationship Id="rId373" Type="http://schemas.openxmlformats.org/officeDocument/2006/relationships/hyperlink" Target="https://www.accessnow.org/keepiton/" TargetMode="External"/><Relationship Id="rId130" Type="http://schemas.openxmlformats.org/officeDocument/2006/relationships/hyperlink" Target="https://twitter.com/netblocks/status/1757373320658321809" TargetMode="External"/><Relationship Id="rId372" Type="http://schemas.openxmlformats.org/officeDocument/2006/relationships/hyperlink" Target="https://www.accessnow.org/keepiton/" TargetMode="External"/><Relationship Id="rId371" Type="http://schemas.openxmlformats.org/officeDocument/2006/relationships/hyperlink" Target="https://www.accessnow.org/keepiton/" TargetMode="External"/><Relationship Id="rId136" Type="http://schemas.openxmlformats.org/officeDocument/2006/relationships/hyperlink" Target="https://www.aljazeera.com/news/2023/7/31/senegal-restricts-internet-as-opposition-leader-formally-charged" TargetMode="External"/><Relationship Id="rId378" Type="http://schemas.openxmlformats.org/officeDocument/2006/relationships/hyperlink" Target="https://www.accessnow.org/keepiton/" TargetMode="External"/><Relationship Id="rId135" Type="http://schemas.openxmlformats.org/officeDocument/2006/relationships/hyperlink" Target="https://netblocks.org/reports/social-media-restricted-and-mobile-internet-cut-in-senegal-amid-political-unrest-W80QkaAK" TargetMode="External"/><Relationship Id="rId377" Type="http://schemas.openxmlformats.org/officeDocument/2006/relationships/hyperlink" Target="https://www.accessnow.org/keepiton/" TargetMode="External"/><Relationship Id="rId134" Type="http://schemas.openxmlformats.org/officeDocument/2006/relationships/hyperlink" Target="https://pulse.internetsociety.org/shutdowns/senegal-government-imposes-mobile-internet-shutdown" TargetMode="External"/><Relationship Id="rId376" Type="http://schemas.openxmlformats.org/officeDocument/2006/relationships/hyperlink" Target="https://www.accessnow.org/keepiton/" TargetMode="External"/><Relationship Id="rId133" Type="http://schemas.openxmlformats.org/officeDocument/2006/relationships/hyperlink" Target="https://netblocks.org/reports/social-media-restricted-and-mobile-internet-cut-in-senegal-amid-political-unrest-W80QkaAK" TargetMode="External"/><Relationship Id="rId375" Type="http://schemas.openxmlformats.org/officeDocument/2006/relationships/hyperlink" Target="https://www.accessnow.org/keepiton/" TargetMode="External"/><Relationship Id="rId172" Type="http://schemas.openxmlformats.org/officeDocument/2006/relationships/hyperlink" Target="http://aa.com.tr/en/africa/ugandan-government-quietly-restores-facebook/2281259" TargetMode="External"/><Relationship Id="rId171" Type="http://schemas.openxmlformats.org/officeDocument/2006/relationships/hyperlink" Target="https://netblocks.org/reports/social-media-and-messaging-platforms-restricted-in-uganda-ahead-of-general-election-XB7aaO87" TargetMode="External"/><Relationship Id="rId170" Type="http://schemas.openxmlformats.org/officeDocument/2006/relationships/hyperlink" Target="https://twitter.com/netblocks/status/1351090662150696960?ref_src=twsrc%5Etfw%7Ctwcamp%5Etweetembed%7Ctwterm%5E1351174420656775171%7Ctwgr%5E%7Ctwcon%5Es2_&amp;ref_url=https%3A%2F%2Fnetblocks.org%2Freports%2Fsocial-media-and-messaging-platforms-restricted-in-uganda-ahead-of-general-election-XB7aaO87" TargetMode="External"/><Relationship Id="rId165" Type="http://schemas.openxmlformats.org/officeDocument/2006/relationships/hyperlink" Target="https://netblocks.org/reports/sudan-internet-recovery-after-month-long-shutdown-98aZpOAo" TargetMode="External"/><Relationship Id="rId164" Type="http://schemas.openxmlformats.org/officeDocument/2006/relationships/hyperlink" Target="https://netblocks.org/reports/social-media-disrupted-in-sudan-as-protests-converge-in-khartoum-peBONpAZ" TargetMode="External"/><Relationship Id="rId163" Type="http://schemas.openxmlformats.org/officeDocument/2006/relationships/hyperlink" Target="https://netblocks.org/reports/internet-disrupted-in-sudan-amid-reports-of-coup-attempt-Q8ov93yn" TargetMode="External"/><Relationship Id="rId162" Type="http://schemas.openxmlformats.org/officeDocument/2006/relationships/hyperlink" Target="https://netblocks.org/reports/internet-disrupted-in-sudan-amid-reports-of-coup-attempt-Q8ov93yn" TargetMode="External"/><Relationship Id="rId169" Type="http://schemas.openxmlformats.org/officeDocument/2006/relationships/hyperlink" Target="https://netblocks.org/reports/social-media-and-messaging-platforms-restricted-in-uganda-ahead-of-general-election-XB7aaO87" TargetMode="External"/><Relationship Id="rId168" Type="http://schemas.openxmlformats.org/officeDocument/2006/relationships/hyperlink" Target="https://www.africanews.com/2017/09/11/internet-restored-in-togo-after-6-days-opposition-mulls-next-move//" TargetMode="External"/><Relationship Id="rId167" Type="http://schemas.openxmlformats.org/officeDocument/2006/relationships/hyperlink" Target="https://netblocks.org/reports/social-media-disrupted-in-togo-on-election-day-r8VWr4A5" TargetMode="External"/><Relationship Id="rId166" Type="http://schemas.openxmlformats.org/officeDocument/2006/relationships/hyperlink" Target="https://netblocks.org/reports/study-shows-impact-of-sudan-internet-disruptions-amid-demonstrations-qr8Vj485" TargetMode="External"/><Relationship Id="rId161" Type="http://schemas.openxmlformats.org/officeDocument/2006/relationships/hyperlink" Target="https://netblocks.org/reports/internet-disrupted-in-sudan-amid-reports-of-coup-attempt-Q8ov93yn" TargetMode="External"/><Relationship Id="rId160" Type="http://schemas.openxmlformats.org/officeDocument/2006/relationships/hyperlink" Target="https://netblocks.org/reports/internet-disrupted-in-sudan-amid-reports-of-coup-attempt-Q8ov93yn" TargetMode="External"/><Relationship Id="rId159" Type="http://schemas.openxmlformats.org/officeDocument/2006/relationships/hyperlink" Target="https://netblocks.org/reports/internet-disrupted-in-sudan-amid-reports-of-coup-attempt-Q8ov93yn" TargetMode="External"/><Relationship Id="rId154" Type="http://schemas.openxmlformats.org/officeDocument/2006/relationships/hyperlink" Target="https://ioda.inetintel.cc.gatech.edu/country/SD?from=1685221200&amp;until=1687899599" TargetMode="External"/><Relationship Id="rId396" Type="http://schemas.openxmlformats.org/officeDocument/2006/relationships/hyperlink" Target="https://twitter.com/netblocks/status/1707704242625019929" TargetMode="External"/><Relationship Id="rId153" Type="http://schemas.openxmlformats.org/officeDocument/2006/relationships/hyperlink" Target="https://twitter.com/netblocks/status/1655212575519285249" TargetMode="External"/><Relationship Id="rId395" Type="http://schemas.openxmlformats.org/officeDocument/2006/relationships/hyperlink" Target="https://twitter.com/netblocks/status/1710245084149535117" TargetMode="External"/><Relationship Id="rId152" Type="http://schemas.openxmlformats.org/officeDocument/2006/relationships/hyperlink" Target="https://twitter.com/netblocks/status/1648747644007637004?cxt=HHwWmICz1eXPw-EtAAAA" TargetMode="External"/><Relationship Id="rId394" Type="http://schemas.openxmlformats.org/officeDocument/2006/relationships/hyperlink" Target="https://twitter.com/netblocks/status/1712802234633707969" TargetMode="External"/><Relationship Id="rId151" Type="http://schemas.openxmlformats.org/officeDocument/2006/relationships/hyperlink" Target="https://twitter.com/netblocks/status/1755179912653148417" TargetMode="External"/><Relationship Id="rId393" Type="http://schemas.openxmlformats.org/officeDocument/2006/relationships/hyperlink" Target="https://twitter.com/netblocks/status/1715355593827832252" TargetMode="External"/><Relationship Id="rId158" Type="http://schemas.openxmlformats.org/officeDocument/2006/relationships/hyperlink" Target="https://twitter.com/netblocks/status/1479169746406940678" TargetMode="External"/><Relationship Id="rId157" Type="http://schemas.openxmlformats.org/officeDocument/2006/relationships/hyperlink" Target="https://ioda.inetintel.cc.gatech.edu/country/SD?from=1656018000&amp;until=1656709199" TargetMode="External"/><Relationship Id="rId399" Type="http://schemas.openxmlformats.org/officeDocument/2006/relationships/hyperlink" Target="https://twitter.com/netblocks/status/1700152569803182199" TargetMode="External"/><Relationship Id="rId156" Type="http://schemas.openxmlformats.org/officeDocument/2006/relationships/hyperlink" Target="https://netblocks.org/reports/internet-disrupted-in-sudan-amid-protests-against-military-junta-QAdPrkAl" TargetMode="External"/><Relationship Id="rId398" Type="http://schemas.openxmlformats.org/officeDocument/2006/relationships/hyperlink" Target="https://twitter.com/netblocks/status/1702666023487308179" TargetMode="External"/><Relationship Id="rId155" Type="http://schemas.openxmlformats.org/officeDocument/2006/relationships/hyperlink" Target="https://netblocks.org/reports/internet-disrupted-in-sudan-on-anniversary-of-military-coup-JApxLNAd" TargetMode="External"/><Relationship Id="rId397" Type="http://schemas.openxmlformats.org/officeDocument/2006/relationships/hyperlink" Target="https://twitter.com/netblocks/status/1705184273207009320" TargetMode="External"/><Relationship Id="rId808" Type="http://schemas.openxmlformats.org/officeDocument/2006/relationships/hyperlink" Target="https://www.accessnow.org/keepiton/" TargetMode="External"/><Relationship Id="rId807" Type="http://schemas.openxmlformats.org/officeDocument/2006/relationships/hyperlink" Target="https://www.accessnow.org/keepiton/" TargetMode="External"/><Relationship Id="rId806" Type="http://schemas.openxmlformats.org/officeDocument/2006/relationships/hyperlink" Target="https://www.accessnow.org/keepiton/" TargetMode="External"/><Relationship Id="rId805" Type="http://schemas.openxmlformats.org/officeDocument/2006/relationships/hyperlink" Target="https://www.accessnow.org/keepiton/" TargetMode="External"/><Relationship Id="rId809" Type="http://schemas.openxmlformats.org/officeDocument/2006/relationships/hyperlink" Target="https://www.accessnow.org/keepiton/" TargetMode="External"/><Relationship Id="rId800" Type="http://schemas.openxmlformats.org/officeDocument/2006/relationships/hyperlink" Target="https://www.accessnow.org/keepiton/" TargetMode="External"/><Relationship Id="rId804" Type="http://schemas.openxmlformats.org/officeDocument/2006/relationships/hyperlink" Target="https://www.accessnow.org/keepiton/" TargetMode="External"/><Relationship Id="rId803" Type="http://schemas.openxmlformats.org/officeDocument/2006/relationships/hyperlink" Target="https://www.accessnow.org/keepiton/" TargetMode="External"/><Relationship Id="rId802" Type="http://schemas.openxmlformats.org/officeDocument/2006/relationships/hyperlink" Target="https://www.accessnow.org/keepiton/" TargetMode="External"/><Relationship Id="rId801" Type="http://schemas.openxmlformats.org/officeDocument/2006/relationships/hyperlink" Target="https://www.accessnow.org/keepiton/" TargetMode="External"/><Relationship Id="rId40" Type="http://schemas.openxmlformats.org/officeDocument/2006/relationships/hyperlink" Target="https://www.accessnow.org/keepiton/" TargetMode="External"/><Relationship Id="rId42" Type="http://schemas.openxmlformats.org/officeDocument/2006/relationships/hyperlink" Target="https://www.aljazeera.com/news/2017/12/31/drc-blocks-internet-as-anti-kabila-protests-planned/" TargetMode="External"/><Relationship Id="rId41" Type="http://schemas.openxmlformats.org/officeDocument/2006/relationships/hyperlink" Target="https://www.news24.com/News24/dr-congo-blocks-internet-ahead-of-banned-protests-20180121" TargetMode="External"/><Relationship Id="rId44" Type="http://schemas.openxmlformats.org/officeDocument/2006/relationships/hyperlink" Target="https://america.cgtn.com/2016/12/16/dr-congo-shuts-down-social-media-ahead-of-anti-kabila-protests" TargetMode="External"/><Relationship Id="rId43" Type="http://schemas.openxmlformats.org/officeDocument/2006/relationships/hyperlink" Target="https://www.accessnow.org/democratic-republic-congo-orders-orange-cameroon-slow-internet-capacity/" TargetMode="External"/><Relationship Id="rId46" Type="http://schemas.openxmlformats.org/officeDocument/2006/relationships/hyperlink" Target="https://netblocks.org/reports/facebook-messenger-social-media-and-news-sites-disrupted-in-egypt-amid-protests-eA1Jd7Bp" TargetMode="External"/><Relationship Id="rId45" Type="http://schemas.openxmlformats.org/officeDocument/2006/relationships/hyperlink" Target="https://www.accessnow.org/ways-circumvent-internet-shutdown-democratic-republic-congo/" TargetMode="External"/><Relationship Id="rId509" Type="http://schemas.openxmlformats.org/officeDocument/2006/relationships/hyperlink" Target="https://jkhome.nic.in/pdf/14(TSTS)of2022.pdf" TargetMode="External"/><Relationship Id="rId508" Type="http://schemas.openxmlformats.org/officeDocument/2006/relationships/hyperlink" Target="https://www.accessnow.org/campaign/keepiton/" TargetMode="External"/><Relationship Id="rId503" Type="http://schemas.openxmlformats.org/officeDocument/2006/relationships/hyperlink" Target="https://jkhome.nic.in/pdf/17(TSTS)of2022.pdf" TargetMode="External"/><Relationship Id="rId745" Type="http://schemas.openxmlformats.org/officeDocument/2006/relationships/hyperlink" Target="https://www.accessnow.org/keepiton/" TargetMode="External"/><Relationship Id="rId987" Type="http://schemas.openxmlformats.org/officeDocument/2006/relationships/hyperlink" Target="https://www.svaboda.org/a/28390548.html" TargetMode="External"/><Relationship Id="rId502" Type="http://schemas.openxmlformats.org/officeDocument/2006/relationships/hyperlink" Target="https://www.accessnow.org/campaign/keepiton/" TargetMode="External"/><Relationship Id="rId744" Type="http://schemas.openxmlformats.org/officeDocument/2006/relationships/hyperlink" Target="https://www.accessnow.org/keepiton/" TargetMode="External"/><Relationship Id="rId986" Type="http://schemas.openxmlformats.org/officeDocument/2006/relationships/hyperlink" Target="https://netobservatory.by/belarus-shutdown-2020-en/" TargetMode="External"/><Relationship Id="rId501" Type="http://schemas.openxmlformats.org/officeDocument/2006/relationships/hyperlink" Target="https://jkhome.nic.in/pdf/18(TSTS)of2022.pdf" TargetMode="External"/><Relationship Id="rId743" Type="http://schemas.openxmlformats.org/officeDocument/2006/relationships/hyperlink" Target="https://www.accessnow.org/keepiton/" TargetMode="External"/><Relationship Id="rId985" Type="http://schemas.openxmlformats.org/officeDocument/2006/relationships/hyperlink" Target="https://netblocks.org/reports/internet-disruption-hits-belarus-on-election-day-YAE2jKB3" TargetMode="External"/><Relationship Id="rId500" Type="http://schemas.openxmlformats.org/officeDocument/2006/relationships/hyperlink" Target="https://www.accessnow.org/campaign/keepiton/" TargetMode="External"/><Relationship Id="rId742" Type="http://schemas.openxmlformats.org/officeDocument/2006/relationships/hyperlink" Target="https://www.accessnow.org/keepiton/" TargetMode="External"/><Relationship Id="rId984" Type="http://schemas.openxmlformats.org/officeDocument/2006/relationships/hyperlink" Target="https://www.vice.com/en_us/article/z3e8v3/belarus-cut-off-the-internet-and-tried-to-make-it-look-like-an-accident" TargetMode="External"/><Relationship Id="rId507" Type="http://schemas.openxmlformats.org/officeDocument/2006/relationships/hyperlink" Target="https://jkhome.nic.in/pdf/15(TSTS)of2022.pdf" TargetMode="External"/><Relationship Id="rId749" Type="http://schemas.openxmlformats.org/officeDocument/2006/relationships/hyperlink" Target="https://www.accessnow.org/keepiton/" TargetMode="External"/><Relationship Id="rId506" Type="http://schemas.openxmlformats.org/officeDocument/2006/relationships/hyperlink" Target="https://www.accessnow.org/campaign/keepiton/" TargetMode="External"/><Relationship Id="rId748" Type="http://schemas.openxmlformats.org/officeDocument/2006/relationships/hyperlink" Target="https://www.accessnow.org/keepiton/" TargetMode="External"/><Relationship Id="rId505" Type="http://schemas.openxmlformats.org/officeDocument/2006/relationships/hyperlink" Target="https://jkhome.nic.in/pdf/16(TSTS)of2022.pdf" TargetMode="External"/><Relationship Id="rId747" Type="http://schemas.openxmlformats.org/officeDocument/2006/relationships/hyperlink" Target="https://www.accessnow.org/keepiton/" TargetMode="External"/><Relationship Id="rId989" Type="http://schemas.openxmlformats.org/officeDocument/2006/relationships/hyperlink" Target="https://advox.globalvoices.org/2016/10/17/whatsapp-and-viber-blocked-on-election-day-in-montenegro/" TargetMode="External"/><Relationship Id="rId504" Type="http://schemas.openxmlformats.org/officeDocument/2006/relationships/hyperlink" Target="https://www.accessnow.org/campaign/keepiton/" TargetMode="External"/><Relationship Id="rId746" Type="http://schemas.openxmlformats.org/officeDocument/2006/relationships/hyperlink" Target="https://www.accessnow.org/keepiton/" TargetMode="External"/><Relationship Id="rId988" Type="http://schemas.openxmlformats.org/officeDocument/2006/relationships/hyperlink" Target="https://www.refworld.org/docid/5a547d5fa.html" TargetMode="External"/><Relationship Id="rId48" Type="http://schemas.openxmlformats.org/officeDocument/2006/relationships/hyperlink" Target="https://www.enca.com/africa/eguinea-ruling-party-expected-to-maintain-grip-as-nation-votes" TargetMode="External"/><Relationship Id="rId47" Type="http://schemas.openxmlformats.org/officeDocument/2006/relationships/hyperlink" Target="https://www.state.gov/reports/2019-country-reports-on-human-rights-practices/equatorial-guinea/" TargetMode="External"/><Relationship Id="rId49" Type="http://schemas.openxmlformats.org/officeDocument/2006/relationships/hyperlink" Target="https://www.state.gov/wp-content/uploads/2019/01/Equatorial-Guinea.pdf" TargetMode="External"/><Relationship Id="rId741" Type="http://schemas.openxmlformats.org/officeDocument/2006/relationships/hyperlink" Target="https://www.accessnow.org/keepiton/" TargetMode="External"/><Relationship Id="rId983" Type="http://schemas.openxmlformats.org/officeDocument/2006/relationships/hyperlink" Target="https://netblocks.org/reports/internet-disruption-hits-belarus-on-election-day-YAE2jKB3" TargetMode="External"/><Relationship Id="rId740" Type="http://schemas.openxmlformats.org/officeDocument/2006/relationships/hyperlink" Target="https://www.accessnow.org/keepiton/" TargetMode="External"/><Relationship Id="rId982" Type="http://schemas.openxmlformats.org/officeDocument/2006/relationships/hyperlink" Target="https://netblocks.org/reports/internet-disruption-hits-belarus-on-election-day-YAE2jKB3" TargetMode="External"/><Relationship Id="rId981" Type="http://schemas.openxmlformats.org/officeDocument/2006/relationships/hyperlink" Target="https://reliefweb.int/report/yemen/skype-banned-yemen-protect-state-monopoly-over-international-calls" TargetMode="External"/><Relationship Id="rId980" Type="http://schemas.openxmlformats.org/officeDocument/2006/relationships/hyperlink" Target="https://www.accessnow.org/keepiton/" TargetMode="External"/><Relationship Id="rId31" Type="http://schemas.openxmlformats.org/officeDocument/2006/relationships/hyperlink" Target="https://www.africanews.com/2016/04/11/chad-elections-major-internet-blackout-ahead-of-declaration/" TargetMode="External"/><Relationship Id="rId30" Type="http://schemas.openxmlformats.org/officeDocument/2006/relationships/hyperlink" Target="https://www.accessnow.org/keepiton/" TargetMode="External"/><Relationship Id="rId33" Type="http://schemas.openxmlformats.org/officeDocument/2006/relationships/hyperlink" Target="https://netblocks.org/reports/internet-shutdown-in-the-republic-of-the-congo-on-election-day-xAGR398z" TargetMode="External"/><Relationship Id="rId32" Type="http://schemas.openxmlformats.org/officeDocument/2006/relationships/hyperlink" Target="https://www.accessnow.org/press-release/comoros-must-not-blackout-the-internet/" TargetMode="External"/><Relationship Id="rId35" Type="http://schemas.openxmlformats.org/officeDocument/2006/relationships/hyperlink" Target="https://rsf.org/en/news/rfi-signal-and-internet-cut-simultaneously-congo-brazzaville" TargetMode="External"/><Relationship Id="rId34" Type="http://schemas.openxmlformats.org/officeDocument/2006/relationships/hyperlink" Target="https://www.reuters.com/article/us-congo-election-idUSKCN0WQ0MQ" TargetMode="External"/><Relationship Id="rId739" Type="http://schemas.openxmlformats.org/officeDocument/2006/relationships/hyperlink" Target="https://www.accessnow.org/keepiton/" TargetMode="External"/><Relationship Id="rId734" Type="http://schemas.openxmlformats.org/officeDocument/2006/relationships/hyperlink" Target="https://www.accessnow.org/keepiton/" TargetMode="External"/><Relationship Id="rId976" Type="http://schemas.openxmlformats.org/officeDocument/2006/relationships/hyperlink" Target="https://www.wired.com/story/yemen-internet-blackout-undersea-cable/" TargetMode="External"/><Relationship Id="rId733" Type="http://schemas.openxmlformats.org/officeDocument/2006/relationships/hyperlink" Target="https://www.accessnow.org/keepiton/" TargetMode="External"/><Relationship Id="rId975" Type="http://schemas.openxmlformats.org/officeDocument/2006/relationships/hyperlink" Target="https://twitter.com/netblocks/status/1719061853060391151" TargetMode="External"/><Relationship Id="rId732" Type="http://schemas.openxmlformats.org/officeDocument/2006/relationships/hyperlink" Target="https://www.accessnow.org/keepiton/" TargetMode="External"/><Relationship Id="rId974" Type="http://schemas.openxmlformats.org/officeDocument/2006/relationships/hyperlink" Target="https://twitter.com/netblocks/status/1723031043207287110" TargetMode="External"/><Relationship Id="rId731" Type="http://schemas.openxmlformats.org/officeDocument/2006/relationships/hyperlink" Target="https://www.accessnow.org/keepiton/" TargetMode="External"/><Relationship Id="rId973" Type="http://schemas.openxmlformats.org/officeDocument/2006/relationships/hyperlink" Target="https://twitter.com/netblocks/status/1706426247377555740" TargetMode="External"/><Relationship Id="rId738" Type="http://schemas.openxmlformats.org/officeDocument/2006/relationships/hyperlink" Target="https://www.accessnow.org/keepiton/" TargetMode="External"/><Relationship Id="rId737" Type="http://schemas.openxmlformats.org/officeDocument/2006/relationships/hyperlink" Target="https://www.accessnow.org/keepiton/" TargetMode="External"/><Relationship Id="rId979" Type="http://schemas.openxmlformats.org/officeDocument/2006/relationships/hyperlink" Target="https://yemenat.net/2017/12/311875/" TargetMode="External"/><Relationship Id="rId736" Type="http://schemas.openxmlformats.org/officeDocument/2006/relationships/hyperlink" Target="https://www.accessnow.org/keepiton/" TargetMode="External"/><Relationship Id="rId978" Type="http://schemas.openxmlformats.org/officeDocument/2006/relationships/hyperlink" Target="https://www.aljazeera.com/news/2021/3/3/mapping-internet-shutdowns-around-the-world" TargetMode="External"/><Relationship Id="rId735" Type="http://schemas.openxmlformats.org/officeDocument/2006/relationships/hyperlink" Target="https://www.accessnow.org/keepiton/" TargetMode="External"/><Relationship Id="rId977" Type="http://schemas.openxmlformats.org/officeDocument/2006/relationships/hyperlink" Target="https://english.alaraby.co.uk/analysis/yemen-focus-cable-damage-wipes-out-internet-connectivity" TargetMode="External"/><Relationship Id="rId37" Type="http://schemas.openxmlformats.org/officeDocument/2006/relationships/hyperlink" Target="https://netblocks.org/reports/evidence-of-internet-shutdowns-in-drc-amid-election-unrest-PW80YLAK" TargetMode="External"/><Relationship Id="rId36" Type="http://schemas.openxmlformats.org/officeDocument/2006/relationships/hyperlink" Target="https://www.accessnow.org/government-may-have-ordered-internet-shutdown-in-congo-brazzaville/" TargetMode="External"/><Relationship Id="rId39" Type="http://schemas.openxmlformats.org/officeDocument/2006/relationships/hyperlink" Target="https://cpj.org/2018/03/drc-authorities-cut-access-to-internet-and-sms-ahe/" TargetMode="External"/><Relationship Id="rId38" Type="http://schemas.openxmlformats.org/officeDocument/2006/relationships/hyperlink" Target="https://www.aljazeera.com/news/2019/01/dr-congo-internet-restored-20-day-suspension-elections-190120062941741.html" TargetMode="External"/><Relationship Id="rId730" Type="http://schemas.openxmlformats.org/officeDocument/2006/relationships/hyperlink" Target="https://www.accessnow.org/keepiton/" TargetMode="External"/><Relationship Id="rId972" Type="http://schemas.openxmlformats.org/officeDocument/2006/relationships/hyperlink" Target="https://techcrunch.com/2016/05/17/facebook-blocked-in-vietnam-over-the-weekend-due-to-citizen-protests/" TargetMode="External"/><Relationship Id="rId971" Type="http://schemas.openxmlformats.org/officeDocument/2006/relationships/hyperlink" Target="https://www.accessnow.org/vietnam-blocks-facebook-human-rights-obama/" TargetMode="External"/><Relationship Id="rId970" Type="http://schemas.openxmlformats.org/officeDocument/2006/relationships/hyperlink" Target="https://www.reuters.com/article/us-vietnam-obama-facebook-idUSKCN0YH2MZ" TargetMode="External"/><Relationship Id="rId20" Type="http://schemas.openxmlformats.org/officeDocument/2006/relationships/hyperlink" Target="https://www.bbc.com/news/world-africa-38895541" TargetMode="External"/><Relationship Id="rId22" Type="http://schemas.openxmlformats.org/officeDocument/2006/relationships/hyperlink" Target="https://twitter.com/netblocks/status/1762955078585942309" TargetMode="External"/><Relationship Id="rId21" Type="http://schemas.openxmlformats.org/officeDocument/2006/relationships/hyperlink" Target="https://twitter.com/hashtag/Chad?src=hashtag_click" TargetMode="External"/><Relationship Id="rId24" Type="http://schemas.openxmlformats.org/officeDocument/2006/relationships/hyperlink" Target="https://twitter.com/netblocks/status/1732881176937812271" TargetMode="External"/><Relationship Id="rId23" Type="http://schemas.openxmlformats.org/officeDocument/2006/relationships/hyperlink" Target="https://twitter.com/hashtag/Chad?src=hashtag_click" TargetMode="External"/><Relationship Id="rId525" Type="http://schemas.openxmlformats.org/officeDocument/2006/relationships/hyperlink" Target="https://www.accessnow.org/campaign/keepiton/" TargetMode="External"/><Relationship Id="rId767" Type="http://schemas.openxmlformats.org/officeDocument/2006/relationships/hyperlink" Target="https://www.accessnow.org/keepiton/" TargetMode="External"/><Relationship Id="rId524" Type="http://schemas.openxmlformats.org/officeDocument/2006/relationships/hyperlink" Target="https://jkhome.nic.in/pdf/05(TSTS)of2022.pdf" TargetMode="External"/><Relationship Id="rId766" Type="http://schemas.openxmlformats.org/officeDocument/2006/relationships/hyperlink" Target="https://www.accessnow.org/keepiton/" TargetMode="External"/><Relationship Id="rId523" Type="http://schemas.openxmlformats.org/officeDocument/2006/relationships/hyperlink" Target="https://www.accessnow.org/campaign/keepiton/" TargetMode="External"/><Relationship Id="rId765" Type="http://schemas.openxmlformats.org/officeDocument/2006/relationships/hyperlink" Target="https://www.accessnow.org/keepiton/" TargetMode="External"/><Relationship Id="rId522" Type="http://schemas.openxmlformats.org/officeDocument/2006/relationships/hyperlink" Target="https://arunachal24.in/itanagar-48-hr-internet-shutdown-over-anya-bandh-call/" TargetMode="External"/><Relationship Id="rId764" Type="http://schemas.openxmlformats.org/officeDocument/2006/relationships/hyperlink" Target="https://www.accessnow.org/keepiton/" TargetMode="External"/><Relationship Id="rId529" Type="http://schemas.openxmlformats.org/officeDocument/2006/relationships/hyperlink" Target="https://www.accessnow.org/campaign/keepiton/" TargetMode="External"/><Relationship Id="rId528" Type="http://schemas.openxmlformats.org/officeDocument/2006/relationships/hyperlink" Target="https://jkhome.nic.in/pdf/04(TSTS)of2022.pdf" TargetMode="External"/><Relationship Id="rId527" Type="http://schemas.openxmlformats.org/officeDocument/2006/relationships/hyperlink" Target="https://www.accessnow.org/campaign/keepiton/" TargetMode="External"/><Relationship Id="rId769" Type="http://schemas.openxmlformats.org/officeDocument/2006/relationships/hyperlink" Target="https://www.accessnow.org/keepiton/" TargetMode="External"/><Relationship Id="rId526" Type="http://schemas.openxmlformats.org/officeDocument/2006/relationships/hyperlink" Target="https://jkhome.nic.in/pdf/06(TSTS)of2022.pdf" TargetMode="External"/><Relationship Id="rId768" Type="http://schemas.openxmlformats.org/officeDocument/2006/relationships/hyperlink" Target="https://www.accessnow.org/keepiton/" TargetMode="External"/><Relationship Id="rId26" Type="http://schemas.openxmlformats.org/officeDocument/2006/relationships/hyperlink" Target="https://netblocks.org/reports/whatsapp-messaging-service-blocked-in-chad-aAwk7QAM" TargetMode="External"/><Relationship Id="rId25" Type="http://schemas.openxmlformats.org/officeDocument/2006/relationships/hyperlink" Target="https://netblocks.org/reports/internet-disrupted-in-chad-amid-deadly-standoff-at-opposition-candidates-house-nAgGPXAp" TargetMode="External"/><Relationship Id="rId28" Type="http://schemas.openxmlformats.org/officeDocument/2006/relationships/hyperlink" Target="https://www.accessnow.org/keepiton/" TargetMode="External"/><Relationship Id="rId27" Type="http://schemas.openxmlformats.org/officeDocument/2006/relationships/hyperlink" Target="https://edition.cnn.com/2019/04/24/africa/chad-internet-shutdown-intl/index.html" TargetMode="External"/><Relationship Id="rId521" Type="http://schemas.openxmlformats.org/officeDocument/2006/relationships/hyperlink" Target="https://www.accessnow.org/campaign/keepiton/" TargetMode="External"/><Relationship Id="rId763" Type="http://schemas.openxmlformats.org/officeDocument/2006/relationships/hyperlink" Target="https://www.accessnow.org/keepiton/" TargetMode="External"/><Relationship Id="rId29" Type="http://schemas.openxmlformats.org/officeDocument/2006/relationships/hyperlink" Target="https://itweb.africa/content/4r1ly7Rbg9O7pmda" TargetMode="External"/><Relationship Id="rId520" Type="http://schemas.openxmlformats.org/officeDocument/2006/relationships/hyperlink" Target="https://jkhome.nic.in/pdf/07(TSTS)of2022.pdf" TargetMode="External"/><Relationship Id="rId762" Type="http://schemas.openxmlformats.org/officeDocument/2006/relationships/hyperlink" Target="https://www.accessnow.org/keepiton/" TargetMode="External"/><Relationship Id="rId761" Type="http://schemas.openxmlformats.org/officeDocument/2006/relationships/hyperlink" Target="https://www.accessnow.org/keepiton/" TargetMode="External"/><Relationship Id="rId760" Type="http://schemas.openxmlformats.org/officeDocument/2006/relationships/hyperlink" Target="https://www.accessnow.org/keepiton/" TargetMode="External"/><Relationship Id="rId11" Type="http://schemas.openxmlformats.org/officeDocument/2006/relationships/hyperlink" Target="https://netblocks.org/reports/internet-disrupted-in-burkina-faso-amid-reports-of-coup-attempt-oy9Y9Qy3" TargetMode="External"/><Relationship Id="rId10" Type="http://schemas.openxmlformats.org/officeDocument/2006/relationships/hyperlink" Target="https://netblocks.org/reports/internet-disruptions-observed-in-burkina-faso-amid-coup-plot-arrests-1yPjl3AQ" TargetMode="External"/><Relationship Id="rId13" Type="http://schemas.openxmlformats.org/officeDocument/2006/relationships/hyperlink" Target="https://netblocks.org/reports/mobile-internet-disrupted-in-burkina-faso-after-shooting-of-protesters-gBLg9jA4" TargetMode="External"/><Relationship Id="rId12" Type="http://schemas.openxmlformats.org/officeDocument/2006/relationships/hyperlink" Target="https://netblocks.org/reports/internet-disruptions-observed-in-burkina-faso-amid-coup-plot-arrests-1yPjl3AQ" TargetMode="External"/><Relationship Id="rId519" Type="http://schemas.openxmlformats.org/officeDocument/2006/relationships/hyperlink" Target="https://www.accessnow.org/campaign/keepiton/" TargetMode="External"/><Relationship Id="rId514" Type="http://schemas.openxmlformats.org/officeDocument/2006/relationships/hyperlink" Target="https://jkhome.nic.in/pdf/10(TSTS)of2022.pdf" TargetMode="External"/><Relationship Id="rId756" Type="http://schemas.openxmlformats.org/officeDocument/2006/relationships/hyperlink" Target="https://www.accessnow.org/keepiton/" TargetMode="External"/><Relationship Id="rId998" Type="http://schemas.openxmlformats.org/officeDocument/2006/relationships/hyperlink" Target="https://www.bbc.com/russian/features-49255791" TargetMode="External"/><Relationship Id="rId513" Type="http://schemas.openxmlformats.org/officeDocument/2006/relationships/hyperlink" Target="https://www.accessnow.org/campaign/keepiton/" TargetMode="External"/><Relationship Id="rId755" Type="http://schemas.openxmlformats.org/officeDocument/2006/relationships/hyperlink" Target="https://www.accessnow.org/keepiton/" TargetMode="External"/><Relationship Id="rId997" Type="http://schemas.openxmlformats.org/officeDocument/2006/relationships/hyperlink" Target="https://meduza.io/en/news/2019/08/07/bbc-russian-service-reportedly-finds-letter-confirming-that-moscow-police-ordered-cell-signal-shutdown-during-august-3-protest" TargetMode="External"/><Relationship Id="rId512" Type="http://schemas.openxmlformats.org/officeDocument/2006/relationships/hyperlink" Target="https://internetshutdowns.in/static-page/jammu-kashmir/" TargetMode="External"/><Relationship Id="rId754" Type="http://schemas.openxmlformats.org/officeDocument/2006/relationships/hyperlink" Target="https://www.accessnow.org/keepiton/" TargetMode="External"/><Relationship Id="rId996" Type="http://schemas.openxmlformats.org/officeDocument/2006/relationships/hyperlink" Target="https://www.google.com/url?q=https://netblocks.org/reports/evidence-of-internet-disruptions-in-russia-during-moscow-opposition-protests-XADErzBg&amp;sa=D&amp;source=editors&amp;ust=1638262273032000&amp;usg=AOvVaw06nWraPcfXNxRuf2Jb6dER" TargetMode="External"/><Relationship Id="rId511" Type="http://schemas.openxmlformats.org/officeDocument/2006/relationships/hyperlink" Target="https://jkhome.nic.in/pdf/13(TSTS)of2022.pdf" TargetMode="External"/><Relationship Id="rId753" Type="http://schemas.openxmlformats.org/officeDocument/2006/relationships/hyperlink" Target="https://www.accessnow.org/keepiton/" TargetMode="External"/><Relationship Id="rId995" Type="http://schemas.openxmlformats.org/officeDocument/2006/relationships/hyperlink" Target="https://netblocks.org/reports/internet-disrupted-in-russia-amid-opposition-protests-98aRXQAo" TargetMode="External"/><Relationship Id="rId518" Type="http://schemas.openxmlformats.org/officeDocument/2006/relationships/hyperlink" Target="https://jkhome.nic.in/pdf/08(TSTS)of2022.pdf" TargetMode="External"/><Relationship Id="rId517" Type="http://schemas.openxmlformats.org/officeDocument/2006/relationships/hyperlink" Target="https://www.accessnow.org/campaign/keepiton/" TargetMode="External"/><Relationship Id="rId759" Type="http://schemas.openxmlformats.org/officeDocument/2006/relationships/hyperlink" Target="https://www.accessnow.org/keepiton/" TargetMode="External"/><Relationship Id="rId516" Type="http://schemas.openxmlformats.org/officeDocument/2006/relationships/hyperlink" Target="https://jkhome.nic.in/pdf/09(TSTS)of2022.pdf" TargetMode="External"/><Relationship Id="rId758" Type="http://schemas.openxmlformats.org/officeDocument/2006/relationships/hyperlink" Target="https://www.accessnow.org/keepiton/" TargetMode="External"/><Relationship Id="rId515" Type="http://schemas.openxmlformats.org/officeDocument/2006/relationships/hyperlink" Target="https://www.accessnow.org/campaign/keepiton/" TargetMode="External"/><Relationship Id="rId757" Type="http://schemas.openxmlformats.org/officeDocument/2006/relationships/hyperlink" Target="https://www.accessnow.org/keepiton/" TargetMode="External"/><Relationship Id="rId999" Type="http://schemas.openxmlformats.org/officeDocument/2006/relationships/hyperlink" Target="https://roskomsvoboda.org/46089/" TargetMode="External"/><Relationship Id="rId15" Type="http://schemas.openxmlformats.org/officeDocument/2006/relationships/hyperlink" Target="https://netblocks.org/reports/social-media-disrupted-in-burundi-on-election-day-JBZLPY86" TargetMode="External"/><Relationship Id="rId990" Type="http://schemas.openxmlformats.org/officeDocument/2006/relationships/hyperlink" Target="https://x.com/netblocks/status/1843735780801597837" TargetMode="External"/><Relationship Id="rId14" Type="http://schemas.openxmlformats.org/officeDocument/2006/relationships/hyperlink" Target="https://cpj.org/2020/05/burundi-blocks-social-media-access-during-presiden/" TargetMode="External"/><Relationship Id="rId17" Type="http://schemas.openxmlformats.org/officeDocument/2006/relationships/hyperlink" Target="https://www.accessnow.org/united-nations-urged-intervene-cameroon-stop-violence-internet-shutdowns/" TargetMode="External"/><Relationship Id="rId16" Type="http://schemas.openxmlformats.org/officeDocument/2006/relationships/hyperlink" Target="https://netblocks.org/reports/facebook-and-whatsapp-restricted-in-cameroon-on-eve-of-election-results-YkArL1yj" TargetMode="External"/><Relationship Id="rId19" Type="http://schemas.openxmlformats.org/officeDocument/2006/relationships/hyperlink" Target="https://www.aljazeera.com/news/2018/1/26/cameroon-internet-shutdowns-cost-anglophones-millions" TargetMode="External"/><Relationship Id="rId510" Type="http://schemas.openxmlformats.org/officeDocument/2006/relationships/hyperlink" Target="https://www.accessnow.org/campaign/keepiton/" TargetMode="External"/><Relationship Id="rId752" Type="http://schemas.openxmlformats.org/officeDocument/2006/relationships/hyperlink" Target="https://www.accessnow.org/keepiton/" TargetMode="External"/><Relationship Id="rId994" Type="http://schemas.openxmlformats.org/officeDocument/2006/relationships/hyperlink" Target="https://netblocks.org/reports/twitter-and-facebook-restricted-in-russia-amid-conflict-with-ukraine-JBZrogB6" TargetMode="External"/><Relationship Id="rId18" Type="http://schemas.openxmlformats.org/officeDocument/2006/relationships/hyperlink" Target="https://www.accessnow.org/shutdown-ended-cameroonians-still-feeling-impact/" TargetMode="External"/><Relationship Id="rId751" Type="http://schemas.openxmlformats.org/officeDocument/2006/relationships/hyperlink" Target="https://www.accessnow.org/keepiton/" TargetMode="External"/><Relationship Id="rId993" Type="http://schemas.openxmlformats.org/officeDocument/2006/relationships/hyperlink" Target="https://netblocks.org/reports/twitter-and-facebook-restricted-in-russia-amid-conflict-with-ukraine-JBZrogB6" TargetMode="External"/><Relationship Id="rId750" Type="http://schemas.openxmlformats.org/officeDocument/2006/relationships/hyperlink" Target="https://www.accessnow.org/keepiton/" TargetMode="External"/><Relationship Id="rId992" Type="http://schemas.openxmlformats.org/officeDocument/2006/relationships/hyperlink" Target="https://netblocks.org/reports/instagram-restricted-in-russia-as-online-space-continues-to-shrink-JBQXvVAo" TargetMode="External"/><Relationship Id="rId991" Type="http://schemas.openxmlformats.org/officeDocument/2006/relationships/hyperlink" Target="https://x.com/netblocks/status/1821958552719708455" TargetMode="External"/><Relationship Id="rId84" Type="http://schemas.openxmlformats.org/officeDocument/2006/relationships/hyperlink" Target="https://qz.com/africa/850002/gambias-government-has-shut-down-the-internet-on-the-eve-of-elections/" TargetMode="External"/><Relationship Id="rId83" Type="http://schemas.openxmlformats.org/officeDocument/2006/relationships/hyperlink" Target="https://qz.com/africa/781752/gabon-has-been-imposing-a-12-hour-a-day-internet-curfew-as-its-political-crisis-grows/" TargetMode="External"/><Relationship Id="rId86" Type="http://schemas.openxmlformats.org/officeDocument/2006/relationships/hyperlink" Target="https://twitter.com/netblocks/status/1728156638689759381" TargetMode="External"/><Relationship Id="rId85" Type="http://schemas.openxmlformats.org/officeDocument/2006/relationships/hyperlink" Target="https://twitter.com/hashtag/Guinea?src=hashtag_click" TargetMode="External"/><Relationship Id="rId88" Type="http://schemas.openxmlformats.org/officeDocument/2006/relationships/hyperlink" Target="https://www.techradar.com/news/guinea-shuts-down-internet-access-amid-anti-government-protests" TargetMode="External"/><Relationship Id="rId87" Type="http://schemas.openxmlformats.org/officeDocument/2006/relationships/hyperlink" Target="https://netblocks.org/reports/social-media-restricted-in-guinea-amid-political-unrest-dAmJ4EB9" TargetMode="External"/><Relationship Id="rId89" Type="http://schemas.openxmlformats.org/officeDocument/2006/relationships/hyperlink" Target="https://netblocks.org/reports/internet-disrupted-in-guinea-ahead-of-presidential-election-result-announcement-DA3lQ3BW" TargetMode="External"/><Relationship Id="rId709" Type="http://schemas.openxmlformats.org/officeDocument/2006/relationships/hyperlink" Target="https://www.accessnow.org/keepiton/" TargetMode="External"/><Relationship Id="rId708" Type="http://schemas.openxmlformats.org/officeDocument/2006/relationships/hyperlink" Target="https://www.accessnow.org/keepiton/" TargetMode="External"/><Relationship Id="rId707" Type="http://schemas.openxmlformats.org/officeDocument/2006/relationships/hyperlink" Target="https://www.accessnow.org/keepiton/" TargetMode="External"/><Relationship Id="rId949" Type="http://schemas.openxmlformats.org/officeDocument/2006/relationships/hyperlink" Target="https://www.iphronline.org/increased-internet-censorship-mass-mobilisation-for-regime-praising-events-continues.html" TargetMode="External"/><Relationship Id="rId706" Type="http://schemas.openxmlformats.org/officeDocument/2006/relationships/hyperlink" Target="https://www.accessnow.org/keepiton/" TargetMode="External"/><Relationship Id="rId948" Type="http://schemas.openxmlformats.org/officeDocument/2006/relationships/hyperlink" Target="https://www.scoopwhoop.com/news/countries-that-have-blocked-twitter/" TargetMode="External"/><Relationship Id="rId80" Type="http://schemas.openxmlformats.org/officeDocument/2006/relationships/hyperlink" Target="https://twitter.com/netblocks/status/1696881683348295776" TargetMode="External"/><Relationship Id="rId82" Type="http://schemas.openxmlformats.org/officeDocument/2006/relationships/hyperlink" Target="https://qz.com/africa/771996/gabon-is-the-latest-african-country-to-shut-down-its-internet-as-election-protests-grow/" TargetMode="External"/><Relationship Id="rId81" Type="http://schemas.openxmlformats.org/officeDocument/2006/relationships/hyperlink" Target="https://netblocks.org/reports/evidence-of-gabon-full-internet-shutdown-coup-attempt-dQ8oo18n" TargetMode="External"/><Relationship Id="rId701" Type="http://schemas.openxmlformats.org/officeDocument/2006/relationships/hyperlink" Target="https://www.accessnow.org/keepiton/" TargetMode="External"/><Relationship Id="rId943" Type="http://schemas.openxmlformats.org/officeDocument/2006/relationships/hyperlink" Target="https://turkeyblocks.org/2016/10/26/internet-shutdown-turkey-diyarbakir/" TargetMode="External"/><Relationship Id="rId700" Type="http://schemas.openxmlformats.org/officeDocument/2006/relationships/hyperlink" Target="https://www.accessnow.org/keepiton/" TargetMode="External"/><Relationship Id="rId942" Type="http://schemas.openxmlformats.org/officeDocument/2006/relationships/hyperlink" Target="https://turkeyblocks.org/2016/10/27/new-internet-shutdown-turkey-southeast-offline-diyarbakir-unrest/" TargetMode="External"/><Relationship Id="rId941" Type="http://schemas.openxmlformats.org/officeDocument/2006/relationships/hyperlink" Target="https://turkeyblocks.org/2016/11/04/social-media-shutdown-turkey/" TargetMode="External"/><Relationship Id="rId940" Type="http://schemas.openxmlformats.org/officeDocument/2006/relationships/hyperlink" Target="https://turkeyblocks.org/2016/12/23/social-media-shutdowns-turkey-isis-releases-soldier-video/" TargetMode="External"/><Relationship Id="rId705" Type="http://schemas.openxmlformats.org/officeDocument/2006/relationships/hyperlink" Target="https://www.accessnow.org/keepiton/" TargetMode="External"/><Relationship Id="rId947" Type="http://schemas.openxmlformats.org/officeDocument/2006/relationships/hyperlink" Target="https://www.news18.com/news/buzz/turkmenistan-where-social-media-is-banned-gets-first-messaging-app-1983887.html" TargetMode="External"/><Relationship Id="rId704" Type="http://schemas.openxmlformats.org/officeDocument/2006/relationships/hyperlink" Target="https://www.accessnow.org/keepiton/" TargetMode="External"/><Relationship Id="rId946" Type="http://schemas.openxmlformats.org/officeDocument/2006/relationships/hyperlink" Target="https://turkeyblocks.org/2016/08/21/social-media-blocked-turkey-following-gaziantep-blast/" TargetMode="External"/><Relationship Id="rId703" Type="http://schemas.openxmlformats.org/officeDocument/2006/relationships/hyperlink" Target="https://www.accessnow.org/keepiton/" TargetMode="External"/><Relationship Id="rId945" Type="http://schemas.openxmlformats.org/officeDocument/2006/relationships/hyperlink" Target="https://turkeyblocks.org/2016/08/25/social-media-blocked-turkey/" TargetMode="External"/><Relationship Id="rId702" Type="http://schemas.openxmlformats.org/officeDocument/2006/relationships/hyperlink" Target="https://www.accessnow.org/keepiton/" TargetMode="External"/><Relationship Id="rId944" Type="http://schemas.openxmlformats.org/officeDocument/2006/relationships/hyperlink" Target="https://turkeyblocks.org/2016/09/11/internet-shutdown-turkey-southeast/" TargetMode="External"/><Relationship Id="rId73" Type="http://schemas.openxmlformats.org/officeDocument/2006/relationships/hyperlink" Target="https://www.accessnow.org/keepiton/" TargetMode="External"/><Relationship Id="rId72" Type="http://schemas.openxmlformats.org/officeDocument/2006/relationships/hyperlink" Target="https://www.accessnow.org/ethiopia-blocks-internet-in-eastern-part-of-country-again/" TargetMode="External"/><Relationship Id="rId75" Type="http://schemas.openxmlformats.org/officeDocument/2006/relationships/hyperlink" Target="https://www.reuters.com/article/us-ethiopia-internet/ethiopia-ends-web-blackout-raising-hopes-of-reforms-under-new-pm-idUSKBN1HN1K9" TargetMode="External"/><Relationship Id="rId74" Type="http://schemas.openxmlformats.org/officeDocument/2006/relationships/hyperlink" Target="https://www.africanews.com/2017/12/12/ethiopia-restricts-internet-access-amidst-new-protests/" TargetMode="External"/><Relationship Id="rId77" Type="http://schemas.openxmlformats.org/officeDocument/2006/relationships/hyperlink" Target="https://www.bbc.com/news/world-africa-37004725" TargetMode="External"/><Relationship Id="rId76" Type="http://schemas.openxmlformats.org/officeDocument/2006/relationships/hyperlink" Target="https://www.accessnow.org/keepiton/" TargetMode="External"/><Relationship Id="rId79" Type="http://schemas.openxmlformats.org/officeDocument/2006/relationships/hyperlink" Target="https://ioda.inetintel.cc.gatech.edu/country/GA?from=1692769028&amp;until=1693287428" TargetMode="External"/><Relationship Id="rId78" Type="http://schemas.openxmlformats.org/officeDocument/2006/relationships/hyperlink" Target="https://www.france24.com/en/africa/20230826-gabon-blocks-internet-access-imposes-curfew-amid-election-voting-delays" TargetMode="External"/><Relationship Id="rId939" Type="http://schemas.openxmlformats.org/officeDocument/2006/relationships/hyperlink" Target="https://netblocks.org/reports/twitter-facebook-whatsapp-and-instagram-restricted-in-southern-turkey-oy9RzE83" TargetMode="External"/><Relationship Id="rId938" Type="http://schemas.openxmlformats.org/officeDocument/2006/relationships/hyperlink" Target="https://www.euronews.com/2020/02/28/turkey-blocks-social-media-after-idlib-airstrike-kills-33-soldiers-the-cube" TargetMode="External"/><Relationship Id="rId937" Type="http://schemas.openxmlformats.org/officeDocument/2006/relationships/hyperlink" Target="https://netblocks.org/reports/social-media-blocked-in-turkey-as-idlib-military-crisis-escalates-r8VWGXA5" TargetMode="External"/><Relationship Id="rId71" Type="http://schemas.openxmlformats.org/officeDocument/2006/relationships/hyperlink" Target="https://cpj.org/2018/09/in-ethiopia-mobile-internet-cut-in-the-capital-ami.php" TargetMode="External"/><Relationship Id="rId70" Type="http://schemas.openxmlformats.org/officeDocument/2006/relationships/hyperlink" Target="https://www.accessnow.org/keepiton/" TargetMode="External"/><Relationship Id="rId932" Type="http://schemas.openxmlformats.org/officeDocument/2006/relationships/hyperlink" Target="https://twitter.com/netblocks/status/1735100069043458104" TargetMode="External"/><Relationship Id="rId931" Type="http://schemas.openxmlformats.org/officeDocument/2006/relationships/hyperlink" Target="https://globalvoices.org/2023/02/22/in-turkey-telecommunications-censor-blocks-access-to-popular-website-eksi-sozluk/" TargetMode="External"/><Relationship Id="rId930" Type="http://schemas.openxmlformats.org/officeDocument/2006/relationships/hyperlink" Target="https://twitter.com/netblocks/status/1657868663985254401?cxt=HHwWgsC9kYSx94EuAAAA" TargetMode="External"/><Relationship Id="rId936" Type="http://schemas.openxmlformats.org/officeDocument/2006/relationships/hyperlink" Target="https://netblocks.org/reports/social-media-restricted-in-turkey-after-blast-in-taksim-istanbul-7yNnr0yq" TargetMode="External"/><Relationship Id="rId935" Type="http://schemas.openxmlformats.org/officeDocument/2006/relationships/hyperlink" Target="https://twitter.com/netblocks/status/1623482866305753090?s=20" TargetMode="External"/><Relationship Id="rId934" Type="http://schemas.openxmlformats.org/officeDocument/2006/relationships/hyperlink" Target="https://netblocks.org/reports/twitter-restricted-in-turkey-in-aftermath-of-earthquake-oy9LJ9B3" TargetMode="External"/><Relationship Id="rId933" Type="http://schemas.openxmlformats.org/officeDocument/2006/relationships/hyperlink" Target="https://webrazzi.com/2024/01/22/eksi-sozluk-icin-erisim-engeli-kaldirildi/" TargetMode="External"/><Relationship Id="rId62" Type="http://schemas.openxmlformats.org/officeDocument/2006/relationships/hyperlink" Target="https://www.accessnow.org/keepiton/" TargetMode="External"/><Relationship Id="rId61" Type="http://schemas.openxmlformats.org/officeDocument/2006/relationships/hyperlink" Target="https://www.dw.com/en/ethiopia-nears-war-in-tigray-as-abiy-sends-in-troops/a-55500897" TargetMode="External"/><Relationship Id="rId64" Type="http://schemas.openxmlformats.org/officeDocument/2006/relationships/hyperlink" Target="https://freedomhouse.org/country/ethiopia/freedom-net/2019" TargetMode="External"/><Relationship Id="rId63" Type="http://schemas.openxmlformats.org/officeDocument/2006/relationships/hyperlink" Target="https://www.hrw.org/news/2020/03/09/ethiopia-communications-shutdown-takes-heavy-toll" TargetMode="External"/><Relationship Id="rId66" Type="http://schemas.openxmlformats.org/officeDocument/2006/relationships/hyperlink" Target="https://freedomhouse.org/country/ethiopia/freedom-net/2019" TargetMode="External"/><Relationship Id="rId65" Type="http://schemas.openxmlformats.org/officeDocument/2006/relationships/hyperlink" Target="https://netblocks.org/reports/ethiopia-partially-restores-internet-days-after-amhara-coup-attempt-blackout-V8xxlo8k" TargetMode="External"/><Relationship Id="rId68" Type="http://schemas.openxmlformats.org/officeDocument/2006/relationships/hyperlink" Target="https://netblocks.org/reports/internet-shutdown-in-ethiopia-amid-reports-of-attempted-coup-pA5KvNy7" TargetMode="External"/><Relationship Id="rId67" Type="http://schemas.openxmlformats.org/officeDocument/2006/relationships/hyperlink" Target="https://netblocks.org/reports/ethiopia-partially-restores-internet-days-after-amhara-coup-attempt-blackout-V8xxlo8k" TargetMode="External"/><Relationship Id="rId729" Type="http://schemas.openxmlformats.org/officeDocument/2006/relationships/hyperlink" Target="https://www.accessnow.org/keepiton/" TargetMode="External"/><Relationship Id="rId728" Type="http://schemas.openxmlformats.org/officeDocument/2006/relationships/hyperlink" Target="https://www.accessnow.org/keepiton/" TargetMode="External"/><Relationship Id="rId60" Type="http://schemas.openxmlformats.org/officeDocument/2006/relationships/hyperlink" Target="https://netblocks.org/reports/internet-cut-in-ethiopia-amid-unrest-following-killing-of-singer-pA25Z28b" TargetMode="External"/><Relationship Id="rId723" Type="http://schemas.openxmlformats.org/officeDocument/2006/relationships/hyperlink" Target="https://www.accessnow.org/keepiton/" TargetMode="External"/><Relationship Id="rId965" Type="http://schemas.openxmlformats.org/officeDocument/2006/relationships/hyperlink" Target="https://www.rferl.org/a/uzbekistan-social-media-restrictions/31544451.html" TargetMode="External"/><Relationship Id="rId722" Type="http://schemas.openxmlformats.org/officeDocument/2006/relationships/hyperlink" Target="https://www.accessnow.org/keepiton/" TargetMode="External"/><Relationship Id="rId964" Type="http://schemas.openxmlformats.org/officeDocument/2006/relationships/hyperlink" Target="https://www.ozodlik.org/a/%D1%9E%D0%B7%D0%BA%D0%BE%D0%BC%D0%BD%D0%B0%D0%B7%D0%BE%D1%80%D0%B0%D1%82-telegram-youtube-instagram-facebook-%D0%BE%D0%B4%D0%BD%D0%BE%D0%BA%D0%BB%D0%B0%D1%81%D1%81%D0%BD%D0%B8%D0%BA%D0%B8-%D1%82%D0%B0%D1%80%D0%BC%D0%BE%D2%9B%D0%BB%D0%B0%D1%80%D0%B8%D0%BD%D0%B8-%D0%B1%D0%BB%D0%BE%D0%BA%D0%BB%D0%B0%D0%B4%D0%B8/31544363.html" TargetMode="External"/><Relationship Id="rId721" Type="http://schemas.openxmlformats.org/officeDocument/2006/relationships/hyperlink" Target="https://www.accessnow.org/keepiton/" TargetMode="External"/><Relationship Id="rId963" Type="http://schemas.openxmlformats.org/officeDocument/2006/relationships/hyperlink" Target="https://www.rferl.org/a/uzbekistan-social-media-networks-unblocked/31970531.html" TargetMode="External"/><Relationship Id="rId720" Type="http://schemas.openxmlformats.org/officeDocument/2006/relationships/hyperlink" Target="https://www.accessnow.org/keepiton/" TargetMode="External"/><Relationship Id="rId962" Type="http://schemas.openxmlformats.org/officeDocument/2006/relationships/hyperlink" Target="https://www.rferl.org/a/uzbekistan-restricts-social-media/31339492.html" TargetMode="External"/><Relationship Id="rId727" Type="http://schemas.openxmlformats.org/officeDocument/2006/relationships/hyperlink" Target="https://www.accessnow.org/keepiton/" TargetMode="External"/><Relationship Id="rId969" Type="http://schemas.openxmlformats.org/officeDocument/2006/relationships/hyperlink" Target="https://www.accessnow.org/vietnam-blocks-facebook-human-rights-obama/" TargetMode="External"/><Relationship Id="rId726" Type="http://schemas.openxmlformats.org/officeDocument/2006/relationships/hyperlink" Target="https://www.accessnow.org/keepiton/" TargetMode="External"/><Relationship Id="rId968" Type="http://schemas.openxmlformats.org/officeDocument/2006/relationships/hyperlink" Target="https://eurasianet.org/skype-viber-return-in-uzbekistan" TargetMode="External"/><Relationship Id="rId725" Type="http://schemas.openxmlformats.org/officeDocument/2006/relationships/hyperlink" Target="https://www.accessnow.org/keepiton/" TargetMode="External"/><Relationship Id="rId967" Type="http://schemas.openxmlformats.org/officeDocument/2006/relationships/hyperlink" Target="https://ioda.inetintel.cc.gatech.edu/country/UZ?from=1656277200&amp;until=1657486799" TargetMode="External"/><Relationship Id="rId724" Type="http://schemas.openxmlformats.org/officeDocument/2006/relationships/hyperlink" Target="https://www.accessnow.org/keepiton/" TargetMode="External"/><Relationship Id="rId966" Type="http://schemas.openxmlformats.org/officeDocument/2006/relationships/hyperlink" Target="https://twitter.com/netblocks/status/1543374750130528256?s=20&amp;t=csiQWBGBSMAhRsC3A8R2Jw" TargetMode="External"/><Relationship Id="rId69" Type="http://schemas.openxmlformats.org/officeDocument/2006/relationships/hyperlink" Target="https://netblocks.org/reports/ethiopia-partially-restores-internet-days-after-amhara-coup-attempt-blackout-V8xxlo8k" TargetMode="External"/><Relationship Id="rId961" Type="http://schemas.openxmlformats.org/officeDocument/2006/relationships/hyperlink" Target="https://www.ozodlik.org/a/%D1%9E%D0%B7%D0%BA%D0%BE%D0%BC%D0%BD%D0%B0%D0%B7%D0%BE%D1%80%D0%B0%D1%82-telegram-youtube-instagram-facebook-%D0%BE%D0%B4%D0%BD%D0%BE%D0%BA%D0%BB%D0%B0%D1%81%D1%81%D0%BD%D0%B8%D0%BA%D0%B8-%D1%82%D0%B0%D1%80%D0%BC%D0%BE%D2%9B%D0%BB%D0%B0%D1%80%D0%B8%D0%BD%D0%B8-%D0%B1%D0%BB%D0%BE%D0%BA%D0%BB%D0%B0%D0%B4%D0%B8/31544363.html" TargetMode="External"/><Relationship Id="rId960" Type="http://schemas.openxmlformats.org/officeDocument/2006/relationships/hyperlink" Target="https://www.rferl.org/a/uzbekistan-social-media-restrictions/31544451.html" TargetMode="External"/><Relationship Id="rId51" Type="http://schemas.openxmlformats.org/officeDocument/2006/relationships/hyperlink" Target="https://www.theeastafrican.co.ke/news/africa/Social-media-shut-in-Eritrea/4552902-5117462-10haojg/index.html" TargetMode="External"/><Relationship Id="rId50" Type="http://schemas.openxmlformats.org/officeDocument/2006/relationships/hyperlink" Target="https://ioda.caida.org/ioda/dashboard" TargetMode="External"/><Relationship Id="rId53" Type="http://schemas.openxmlformats.org/officeDocument/2006/relationships/hyperlink" Target="https://borgenproject.org/social-media-interactions-in-eritrea/" TargetMode="External"/><Relationship Id="rId52" Type="http://schemas.openxmlformats.org/officeDocument/2006/relationships/hyperlink" Target="https://cpj.org/reports/2019/09/10-most-censored-eritrea-north-korea-turkmenistan-journalist/" TargetMode="External"/><Relationship Id="rId55" Type="http://schemas.openxmlformats.org/officeDocument/2006/relationships/hyperlink" Target="https://www.accessnow.org/keepiton-eswatini-protests/" TargetMode="External"/><Relationship Id="rId54" Type="http://schemas.openxmlformats.org/officeDocument/2006/relationships/hyperlink" Target="https://www.motherjones.com/politics/2014/03/turkey-facebook-youtube-twitter-blocked/" TargetMode="External"/><Relationship Id="rId57" Type="http://schemas.openxmlformats.org/officeDocument/2006/relationships/hyperlink" Target="https://twitter.com/Netblocks/status/1624150528547606528" TargetMode="External"/><Relationship Id="rId56" Type="http://schemas.openxmlformats.org/officeDocument/2006/relationships/hyperlink" Target="https://www.accessnow.org/keepiton-eswatini-protests/" TargetMode="External"/><Relationship Id="rId719" Type="http://schemas.openxmlformats.org/officeDocument/2006/relationships/hyperlink" Target="https://www.accessnow.org/keepiton/" TargetMode="External"/><Relationship Id="rId718" Type="http://schemas.openxmlformats.org/officeDocument/2006/relationships/hyperlink" Target="https://www.accessnow.org/keepiton/" TargetMode="External"/><Relationship Id="rId717" Type="http://schemas.openxmlformats.org/officeDocument/2006/relationships/hyperlink" Target="https://www.accessnow.org/keepiton/" TargetMode="External"/><Relationship Id="rId959" Type="http://schemas.openxmlformats.org/officeDocument/2006/relationships/hyperlink" Target="https://www.ozodlik.org/a/%D1%9E%D0%B7%D0%BA%D0%BE%D0%BC%D0%BD%D0%B0%D0%B7%D0%BE%D1%80%D0%B0%D1%82-telegram-youtube-instagram-facebook-%D0%BE%D0%B4%D0%BD%D0%BE%D0%BA%D0%BB%D0%B0%D1%81%D1%81%D0%BD%D0%B8%D0%BA%D0%B8-%D1%82%D0%B0%D1%80%D0%BC%D0%BE%D2%9B%D0%BB%D0%B0%D1%80%D0%B8%D0%BD%D0%B8-%D0%B1%D0%BB%D0%BE%D0%BA%D0%BB%D0%B0%D0%B4%D0%B8/31544363.html" TargetMode="External"/><Relationship Id="rId712" Type="http://schemas.openxmlformats.org/officeDocument/2006/relationships/hyperlink" Target="https://www.accessnow.org/keepiton/" TargetMode="External"/><Relationship Id="rId954" Type="http://schemas.openxmlformats.org/officeDocument/2006/relationships/hyperlink" Target="https://caravanistan.com/turkmenistan/phone-internet/" TargetMode="External"/><Relationship Id="rId711" Type="http://schemas.openxmlformats.org/officeDocument/2006/relationships/hyperlink" Target="https://www.accessnow.org/keepiton/" TargetMode="External"/><Relationship Id="rId953" Type="http://schemas.openxmlformats.org/officeDocument/2006/relationships/hyperlink" Target="https://www.iphronline.org/increased-internet-censorship-mass-mobilisation-for-regime-praising-events-continues.html" TargetMode="External"/><Relationship Id="rId710" Type="http://schemas.openxmlformats.org/officeDocument/2006/relationships/hyperlink" Target="https://www.accessnow.org/keepiton/" TargetMode="External"/><Relationship Id="rId952" Type="http://schemas.openxmlformats.org/officeDocument/2006/relationships/hyperlink" Target="https://www.news18.com/news/buzz/turkmenistan-where-social-media-is-banned-gets-first-messaging-app-1983887.html" TargetMode="External"/><Relationship Id="rId951" Type="http://schemas.openxmlformats.org/officeDocument/2006/relationships/hyperlink" Target="https://monitor.civicus.org/updates/2020/03/19/new-cases-internet-censorship-arbitrary-travel-bans-and-mass-mobilisation-regime-praising-ev/" TargetMode="External"/><Relationship Id="rId716" Type="http://schemas.openxmlformats.org/officeDocument/2006/relationships/hyperlink" Target="https://www.accessnow.org/keepiton/" TargetMode="External"/><Relationship Id="rId958" Type="http://schemas.openxmlformats.org/officeDocument/2006/relationships/hyperlink" Target="https://www.mobileworldlive.com/apps/news-apps/app-giants-progress-in-uae-telegram-woes-worsen" TargetMode="External"/><Relationship Id="rId715" Type="http://schemas.openxmlformats.org/officeDocument/2006/relationships/hyperlink" Target="https://www.accessnow.org/keepiton/" TargetMode="External"/><Relationship Id="rId957" Type="http://schemas.openxmlformats.org/officeDocument/2006/relationships/hyperlink" Target="https://www.cnbc.com/2020/03/26/coronavirus-lockdown-uae-residents-call-for-end-to-whatsapp-skype-ban.html" TargetMode="External"/><Relationship Id="rId714" Type="http://schemas.openxmlformats.org/officeDocument/2006/relationships/hyperlink" Target="https://www.accessnow.org/keepiton/" TargetMode="External"/><Relationship Id="rId956" Type="http://schemas.openxmlformats.org/officeDocument/2006/relationships/hyperlink" Target="https://www.hrw.org/news/2020/04/07/covid-19-unblock-voice-over-ip-platforms-gulf" TargetMode="External"/><Relationship Id="rId713" Type="http://schemas.openxmlformats.org/officeDocument/2006/relationships/hyperlink" Target="https://www.accessnow.org/keepiton/" TargetMode="External"/><Relationship Id="rId955" Type="http://schemas.openxmlformats.org/officeDocument/2006/relationships/hyperlink" Target="https://www.emirates247.com/business/technology/free-whatsapp-voice-calls-uae-telecom-operator-blocks-new-feature-2015-04-02-1.586200" TargetMode="External"/><Relationship Id="rId59" Type="http://schemas.openxmlformats.org/officeDocument/2006/relationships/hyperlink" Target="https://twitter.com/netblocks/status/1281338863936512000" TargetMode="External"/><Relationship Id="rId58" Type="http://schemas.openxmlformats.org/officeDocument/2006/relationships/hyperlink" Target="https://netblocks.org/reports/social-media-and-messaging-apps-restricted-in-ethiopia-amid-religious-tensions-DA3RJz8W" TargetMode="External"/><Relationship Id="rId950" Type="http://schemas.openxmlformats.org/officeDocument/2006/relationships/hyperlink" Target="https://tubularinsights.com/youtube-censorship-countries-that-restrict-access-feb-2013/" TargetMode="External"/><Relationship Id="rId590" Type="http://schemas.openxmlformats.org/officeDocument/2006/relationships/hyperlink" Target="https://www.accessnow.org/keepiton/" TargetMode="External"/><Relationship Id="rId107" Type="http://schemas.openxmlformats.org/officeDocument/2006/relationships/hyperlink" Target="https://twitter.com/netblocks/status/1808190009008136209" TargetMode="External"/><Relationship Id="rId349" Type="http://schemas.openxmlformats.org/officeDocument/2006/relationships/hyperlink" Target="https://www.accessnow.org/keepiton/" TargetMode="External"/><Relationship Id="rId106" Type="http://schemas.openxmlformats.org/officeDocument/2006/relationships/hyperlink" Target="https://twitter.com/hashtag/Mauritania?src=hashtag_click" TargetMode="External"/><Relationship Id="rId348" Type="http://schemas.openxmlformats.org/officeDocument/2006/relationships/hyperlink" Target="https://www.accessnow.org/keepiton/" TargetMode="External"/><Relationship Id="rId105" Type="http://schemas.openxmlformats.org/officeDocument/2006/relationships/hyperlink" Target="https://x.com/netblocks/status/1823356970801512948" TargetMode="External"/><Relationship Id="rId347" Type="http://schemas.openxmlformats.org/officeDocument/2006/relationships/hyperlink" Target="https://www.accessnow.org/keepiton/" TargetMode="External"/><Relationship Id="rId589" Type="http://schemas.openxmlformats.org/officeDocument/2006/relationships/hyperlink" Target="https://www.accessnow.org/keepiton/" TargetMode="External"/><Relationship Id="rId104" Type="http://schemas.openxmlformats.org/officeDocument/2006/relationships/hyperlink" Target="https://qz.com/africa/762082/mali-is-the-latest-african-country-to-impose-a-social-media-blackout/" TargetMode="External"/><Relationship Id="rId346" Type="http://schemas.openxmlformats.org/officeDocument/2006/relationships/hyperlink" Target="https://www.accessnow.org/keepiton/" TargetMode="External"/><Relationship Id="rId588" Type="http://schemas.openxmlformats.org/officeDocument/2006/relationships/hyperlink" Target="https://www.accessnow.org/keepiton/" TargetMode="External"/><Relationship Id="rId109" Type="http://schemas.openxmlformats.org/officeDocument/2006/relationships/hyperlink" Target="https://twitter.com/netblocks/status/1663851463632646145" TargetMode="External"/><Relationship Id="rId108" Type="http://schemas.openxmlformats.org/officeDocument/2006/relationships/hyperlink" Target="https://www.benjamindada.com/post-election-internet-cut-leaves-mauritanians-in-the-dark/" TargetMode="External"/><Relationship Id="rId341" Type="http://schemas.openxmlformats.org/officeDocument/2006/relationships/hyperlink" Target="https://www.accessnow.org/keepiton/" TargetMode="External"/><Relationship Id="rId583" Type="http://schemas.openxmlformats.org/officeDocument/2006/relationships/hyperlink" Target="https://www.accessnow.org/keepiton/" TargetMode="External"/><Relationship Id="rId340" Type="http://schemas.openxmlformats.org/officeDocument/2006/relationships/hyperlink" Target="https://www.accessnow.org/keepiton/" TargetMode="External"/><Relationship Id="rId582" Type="http://schemas.openxmlformats.org/officeDocument/2006/relationships/hyperlink" Target="https://www.accessnow.org/keepiton/" TargetMode="External"/><Relationship Id="rId581" Type="http://schemas.openxmlformats.org/officeDocument/2006/relationships/hyperlink" Target="https://www.accessnow.org/keepiton/" TargetMode="External"/><Relationship Id="rId580" Type="http://schemas.openxmlformats.org/officeDocument/2006/relationships/hyperlink" Target="https://www.accessnow.org/keepiton/" TargetMode="External"/><Relationship Id="rId103" Type="http://schemas.openxmlformats.org/officeDocument/2006/relationships/hyperlink" Target="https://www.dw.com/en/internet-censorship-in-africa-threatens-democracy-economy/a-44956169" TargetMode="External"/><Relationship Id="rId345" Type="http://schemas.openxmlformats.org/officeDocument/2006/relationships/hyperlink" Target="https://www.accessnow.org/keepiton/" TargetMode="External"/><Relationship Id="rId587" Type="http://schemas.openxmlformats.org/officeDocument/2006/relationships/hyperlink" Target="https://www.accessnow.org/keepiton/" TargetMode="External"/><Relationship Id="rId102" Type="http://schemas.openxmlformats.org/officeDocument/2006/relationships/hyperlink" Target="https://netblocks.org/reports/mali-elections-marred-by-internet-disruptions-G3Anxqy2" TargetMode="External"/><Relationship Id="rId344" Type="http://schemas.openxmlformats.org/officeDocument/2006/relationships/hyperlink" Target="https://www.accessnow.org/keepiton/" TargetMode="External"/><Relationship Id="rId586" Type="http://schemas.openxmlformats.org/officeDocument/2006/relationships/hyperlink" Target="https://www.accessnow.org/keepiton/" TargetMode="External"/><Relationship Id="rId101" Type="http://schemas.openxmlformats.org/officeDocument/2006/relationships/hyperlink" Target="https://netblocks.org/reports/social-media-restricted-in-mali-amid-protests-against-president-QyKpdX8D" TargetMode="External"/><Relationship Id="rId343" Type="http://schemas.openxmlformats.org/officeDocument/2006/relationships/hyperlink" Target="https://www.accessnow.org/keepiton/" TargetMode="External"/><Relationship Id="rId585" Type="http://schemas.openxmlformats.org/officeDocument/2006/relationships/hyperlink" Target="https://www.accessnow.org/keepiton/" TargetMode="External"/><Relationship Id="rId100" Type="http://schemas.openxmlformats.org/officeDocument/2006/relationships/hyperlink" Target="https://netblocks.org/reports/internet-disrupted-in-malawi-on-election-day-Q8oOrl8n" TargetMode="External"/><Relationship Id="rId342" Type="http://schemas.openxmlformats.org/officeDocument/2006/relationships/hyperlink" Target="https://www.accessnow.org/keepiton/" TargetMode="External"/><Relationship Id="rId584" Type="http://schemas.openxmlformats.org/officeDocument/2006/relationships/hyperlink" Target="https://www.accessnow.org/keepiton/" TargetMode="External"/><Relationship Id="rId338" Type="http://schemas.openxmlformats.org/officeDocument/2006/relationships/hyperlink" Target="https://www.accessnow.org/keepiton/" TargetMode="External"/><Relationship Id="rId337" Type="http://schemas.openxmlformats.org/officeDocument/2006/relationships/hyperlink" Target="https://www.accessnow.org/keepiton/" TargetMode="External"/><Relationship Id="rId579" Type="http://schemas.openxmlformats.org/officeDocument/2006/relationships/hyperlink" Target="https://www.accessnow.org/keepiton/" TargetMode="External"/><Relationship Id="rId336" Type="http://schemas.openxmlformats.org/officeDocument/2006/relationships/hyperlink" Target="https://www.accessnow.org/keepiton/" TargetMode="External"/><Relationship Id="rId578" Type="http://schemas.openxmlformats.org/officeDocument/2006/relationships/hyperlink" Target="https://www.accessnow.org/keepiton/" TargetMode="External"/><Relationship Id="rId335" Type="http://schemas.openxmlformats.org/officeDocument/2006/relationships/hyperlink" Target="https://www.accessnow.org/keepiton/" TargetMode="External"/><Relationship Id="rId577" Type="http://schemas.openxmlformats.org/officeDocument/2006/relationships/hyperlink" Target="https://www.accessnow.org/keepiton/" TargetMode="External"/><Relationship Id="rId339" Type="http://schemas.openxmlformats.org/officeDocument/2006/relationships/hyperlink" Target="https://www.accessnow.org/keepiton/" TargetMode="External"/><Relationship Id="rId330" Type="http://schemas.openxmlformats.org/officeDocument/2006/relationships/hyperlink" Target="https://www.accessnow.org/keepiton/" TargetMode="External"/><Relationship Id="rId572" Type="http://schemas.openxmlformats.org/officeDocument/2006/relationships/hyperlink" Target="https://www.accessnow.org/keepiton/" TargetMode="External"/><Relationship Id="rId571" Type="http://schemas.openxmlformats.org/officeDocument/2006/relationships/hyperlink" Target="https://www.accessnow.org/keepiton/" TargetMode="External"/><Relationship Id="rId570" Type="http://schemas.openxmlformats.org/officeDocument/2006/relationships/hyperlink" Target="https://www.accessnow.org/keepiton/" TargetMode="External"/><Relationship Id="rId334" Type="http://schemas.openxmlformats.org/officeDocument/2006/relationships/hyperlink" Target="https://www.accessnow.org/keepiton/" TargetMode="External"/><Relationship Id="rId576" Type="http://schemas.openxmlformats.org/officeDocument/2006/relationships/hyperlink" Target="https://www.accessnow.org/keepiton/" TargetMode="External"/><Relationship Id="rId333" Type="http://schemas.openxmlformats.org/officeDocument/2006/relationships/hyperlink" Target="https://www.accessnow.org/keepiton/" TargetMode="External"/><Relationship Id="rId575" Type="http://schemas.openxmlformats.org/officeDocument/2006/relationships/hyperlink" Target="https://www.accessnow.org/keepiton/" TargetMode="External"/><Relationship Id="rId332" Type="http://schemas.openxmlformats.org/officeDocument/2006/relationships/hyperlink" Target="https://www.accessnow.org/keepiton/" TargetMode="External"/><Relationship Id="rId574" Type="http://schemas.openxmlformats.org/officeDocument/2006/relationships/hyperlink" Target="https://www.accessnow.org/keepiton/" TargetMode="External"/><Relationship Id="rId331" Type="http://schemas.openxmlformats.org/officeDocument/2006/relationships/hyperlink" Target="https://www.accessnow.org/keepiton/" TargetMode="External"/><Relationship Id="rId573" Type="http://schemas.openxmlformats.org/officeDocument/2006/relationships/hyperlink" Target="https://www.accessnow.org/keepiton/" TargetMode="External"/><Relationship Id="rId370" Type="http://schemas.openxmlformats.org/officeDocument/2006/relationships/hyperlink" Target="https://www.accessnow.org/keepiton/" TargetMode="External"/><Relationship Id="rId129" Type="http://schemas.openxmlformats.org/officeDocument/2006/relationships/hyperlink" Target="https://netblocks.org/reports/internet-disrupted-in-south-sudan-amid-anti-government-protests-oy9Y6My3" TargetMode="External"/><Relationship Id="rId128" Type="http://schemas.openxmlformats.org/officeDocument/2006/relationships/hyperlink" Target="https://www.theguardian.com/world/2022/jan/13/nigeria-lifts-twitter-ban-seven-months-after-site-deleted-presidents-post" TargetMode="External"/><Relationship Id="rId127" Type="http://schemas.openxmlformats.org/officeDocument/2006/relationships/hyperlink" Target="https://www.nytimes.com/2021/06/05/world/africa/nigeria-twitter-president.html?campaign_id=51&amp;emc=edit_mbe_20210607&amp;instance_id=32418&amp;nl=morning-briefing%3A-europe-edition&amp;regi_id=108855408&amp;segment_id=60057&amp;te=1&amp;user_id=1e1bd306531882eb3fbb6089c00bb3d5" TargetMode="External"/><Relationship Id="rId369" Type="http://schemas.openxmlformats.org/officeDocument/2006/relationships/hyperlink" Target="https://www.accessnow.org/keepiton/" TargetMode="External"/><Relationship Id="rId126" Type="http://schemas.openxmlformats.org/officeDocument/2006/relationships/hyperlink" Target="https://x.com/netblocks/status/1819065556886012167" TargetMode="External"/><Relationship Id="rId368" Type="http://schemas.openxmlformats.org/officeDocument/2006/relationships/hyperlink" Target="https://www.accessnow.org/keepiton/" TargetMode="External"/><Relationship Id="rId121" Type="http://schemas.openxmlformats.org/officeDocument/2006/relationships/hyperlink" Target="https://x.com/netblocks/status/1853453662187663683" TargetMode="External"/><Relationship Id="rId363" Type="http://schemas.openxmlformats.org/officeDocument/2006/relationships/hyperlink" Target="https://www.accessnow.org/keepiton/" TargetMode="External"/><Relationship Id="rId120" Type="http://schemas.openxmlformats.org/officeDocument/2006/relationships/hyperlink" Target="https://x.com/netblocks/status/1853677586942943524" TargetMode="External"/><Relationship Id="rId362" Type="http://schemas.openxmlformats.org/officeDocument/2006/relationships/hyperlink" Target="https://www.accessnow.org/keepiton/" TargetMode="External"/><Relationship Id="rId361" Type="http://schemas.openxmlformats.org/officeDocument/2006/relationships/hyperlink" Target="https://www.accessnow.org/keepiton/" TargetMode="External"/><Relationship Id="rId360" Type="http://schemas.openxmlformats.org/officeDocument/2006/relationships/hyperlink" Target="https://www.accessnow.org/keepiton/" TargetMode="External"/><Relationship Id="rId125" Type="http://schemas.openxmlformats.org/officeDocument/2006/relationships/hyperlink" Target="https://www.bloomberg.com/news/articles/2015-01-22/niger-blocks-sms-social-networks-to-prevent-more-riots-rfi" TargetMode="External"/><Relationship Id="rId367" Type="http://schemas.openxmlformats.org/officeDocument/2006/relationships/hyperlink" Target="https://www.accessnow.org/keepiton/" TargetMode="External"/><Relationship Id="rId124" Type="http://schemas.openxmlformats.org/officeDocument/2006/relationships/hyperlink" Target="https://www.accessnow.org/niger-election-internet-blackout/" TargetMode="External"/><Relationship Id="rId366" Type="http://schemas.openxmlformats.org/officeDocument/2006/relationships/hyperlink" Target="https://www.accessnow.org/keepiton/" TargetMode="External"/><Relationship Id="rId123" Type="http://schemas.openxmlformats.org/officeDocument/2006/relationships/hyperlink" Target="https://x.com/netblocks/status/1849839619291988399" TargetMode="External"/><Relationship Id="rId365" Type="http://schemas.openxmlformats.org/officeDocument/2006/relationships/hyperlink" Target="https://www.accessnow.org/keepiton/" TargetMode="External"/><Relationship Id="rId122" Type="http://schemas.openxmlformats.org/officeDocument/2006/relationships/hyperlink" Target="https://x.com/netblocks/status/1851892913292071349" TargetMode="External"/><Relationship Id="rId364" Type="http://schemas.openxmlformats.org/officeDocument/2006/relationships/hyperlink" Target="https://www.accessnow.org/keepiton/" TargetMode="External"/><Relationship Id="rId95" Type="http://schemas.openxmlformats.org/officeDocument/2006/relationships/hyperlink" Target="https://x.com/netblocks/status/1805598808035774970" TargetMode="External"/><Relationship Id="rId94" Type="http://schemas.openxmlformats.org/officeDocument/2006/relationships/hyperlink" Target="https://x.com/hashtag/Kenya?src=hashtag_click" TargetMode="External"/><Relationship Id="rId97" Type="http://schemas.openxmlformats.org/officeDocument/2006/relationships/hyperlink" Target="https://www.accessnow.org/keepiton/" TargetMode="External"/><Relationship Id="rId96" Type="http://schemas.openxmlformats.org/officeDocument/2006/relationships/hyperlink" Target="https://netblocks.org/reports/liberia-blocks-social-media-to-quell-monrovia-anti-corruption-protests-RyjozX8g" TargetMode="External"/><Relationship Id="rId99" Type="http://schemas.openxmlformats.org/officeDocument/2006/relationships/hyperlink" Target="https://qz.com/africa/1625291/malawi-internet-cut-off-after-polls-close-on-election-day/" TargetMode="External"/><Relationship Id="rId98" Type="http://schemas.openxmlformats.org/officeDocument/2006/relationships/hyperlink" Target="https://www.eanlibya.com/%d9%87%d8%a7%d8%aa%d9%81-%d9%84%d9%8a%d8%a8%d9%8a%d8%a7-%d8%a5%d9%86%d9%82%d8%b7%d8%a7%d8%b9-%d8%ae%d8%af%d9%85%d8%a7%d8%aa-%d8%a7%d9%84%d8%a5%d9%86%d8%aa%d8%b1%d9%86%d8%aa-%d9%88%d8%a7%d9%84%d8%a5/" TargetMode="External"/><Relationship Id="rId91" Type="http://schemas.openxmlformats.org/officeDocument/2006/relationships/hyperlink" Target="https://netblocks.org/reports/guinea-blocks-social-media-on-eve-of-elections-ryb3rn87" TargetMode="External"/><Relationship Id="rId90" Type="http://schemas.openxmlformats.org/officeDocument/2006/relationships/hyperlink" Target="https://www.accessnow.org/a-broken-promise-to-keepiton-guinea-cuts-internet-access-and-blocks-social-media-on-referendum-day/" TargetMode="External"/><Relationship Id="rId93" Type="http://schemas.openxmlformats.org/officeDocument/2006/relationships/hyperlink" Target="https://x.com/netblocks/status/1854835085075267852" TargetMode="External"/><Relationship Id="rId92" Type="http://schemas.openxmlformats.org/officeDocument/2006/relationships/hyperlink" Target="https://netblocks.org/reports/internet-cut-across-guinea-ahead-of-elections-xAGoQxAz" TargetMode="External"/><Relationship Id="rId118" Type="http://schemas.openxmlformats.org/officeDocument/2006/relationships/hyperlink" Target="https://x.com/netblocks/status/1854091527170981917" TargetMode="External"/><Relationship Id="rId117" Type="http://schemas.openxmlformats.org/officeDocument/2006/relationships/hyperlink" Target="https://x.com/netblocks/status/1854519205338480746" TargetMode="External"/><Relationship Id="rId359" Type="http://schemas.openxmlformats.org/officeDocument/2006/relationships/hyperlink" Target="https://www.accessnow.org/keepiton/" TargetMode="External"/><Relationship Id="rId116" Type="http://schemas.openxmlformats.org/officeDocument/2006/relationships/hyperlink" Target="https://x.com/netblocks/status/1854830014555914571" TargetMode="External"/><Relationship Id="rId358" Type="http://schemas.openxmlformats.org/officeDocument/2006/relationships/hyperlink" Target="https://www.accessnow.org/keepiton/" TargetMode="External"/><Relationship Id="rId115" Type="http://schemas.openxmlformats.org/officeDocument/2006/relationships/hyperlink" Target="https://www.middleeasteye.net/opinion/morocco-banned-skype-viber-whatsapp-and-facebook-messenger-it-didnt-go-down-well" TargetMode="External"/><Relationship Id="rId357" Type="http://schemas.openxmlformats.org/officeDocument/2006/relationships/hyperlink" Target="https://www.accessnow.org/keepiton/" TargetMode="External"/><Relationship Id="rId599" Type="http://schemas.openxmlformats.org/officeDocument/2006/relationships/hyperlink" Target="https://www.accessnow.org/keepiton/" TargetMode="External"/><Relationship Id="rId119" Type="http://schemas.openxmlformats.org/officeDocument/2006/relationships/hyperlink" Target="https://x.com/netblocks/status/1853677586942943524" TargetMode="External"/><Relationship Id="rId110" Type="http://schemas.openxmlformats.org/officeDocument/2006/relationships/hyperlink" Target="https://ioda.inetintel.cc.gatech.edu/country/MR?from=1685221200&amp;until=1687899599" TargetMode="External"/><Relationship Id="rId352" Type="http://schemas.openxmlformats.org/officeDocument/2006/relationships/hyperlink" Target="https://www.accessnow.org/keepiton/" TargetMode="External"/><Relationship Id="rId594" Type="http://schemas.openxmlformats.org/officeDocument/2006/relationships/hyperlink" Target="https://www.accessnow.org/keepiton/" TargetMode="External"/><Relationship Id="rId351" Type="http://schemas.openxmlformats.org/officeDocument/2006/relationships/hyperlink" Target="https://www.accessnow.org/keepiton/" TargetMode="External"/><Relationship Id="rId593" Type="http://schemas.openxmlformats.org/officeDocument/2006/relationships/hyperlink" Target="https://www.accessnow.org/keepiton/" TargetMode="External"/><Relationship Id="rId350" Type="http://schemas.openxmlformats.org/officeDocument/2006/relationships/hyperlink" Target="https://www.accessnow.org/keepiton/" TargetMode="External"/><Relationship Id="rId592" Type="http://schemas.openxmlformats.org/officeDocument/2006/relationships/hyperlink" Target="https://www.accessnow.org/keepiton/" TargetMode="External"/><Relationship Id="rId591" Type="http://schemas.openxmlformats.org/officeDocument/2006/relationships/hyperlink" Target="https://www.accessnow.org/keepiton/" TargetMode="External"/><Relationship Id="rId114" Type="http://schemas.openxmlformats.org/officeDocument/2006/relationships/hyperlink" Target="https://x.com/netblocks/status/1852274240646504582" TargetMode="External"/><Relationship Id="rId356" Type="http://schemas.openxmlformats.org/officeDocument/2006/relationships/hyperlink" Target="https://www.accessnow.org/keepiton/" TargetMode="External"/><Relationship Id="rId598" Type="http://schemas.openxmlformats.org/officeDocument/2006/relationships/hyperlink" Target="https://www.accessnow.org/keepiton/" TargetMode="External"/><Relationship Id="rId113" Type="http://schemas.openxmlformats.org/officeDocument/2006/relationships/hyperlink" Target="https://netblocks.org/reports/post-election-internet-shutdown-in-mauritania-following-widespread-mobile-disruptions-JA6zmeAQ" TargetMode="External"/><Relationship Id="rId355" Type="http://schemas.openxmlformats.org/officeDocument/2006/relationships/hyperlink" Target="https://www.accessnow.org/keepiton/" TargetMode="External"/><Relationship Id="rId597" Type="http://schemas.openxmlformats.org/officeDocument/2006/relationships/hyperlink" Target="https://www.accessnow.org/keepiton/" TargetMode="External"/><Relationship Id="rId112" Type="http://schemas.openxmlformats.org/officeDocument/2006/relationships/hyperlink" Target="https://ifex.org/mauritanian-government-authorises-disruption-of-internet-services-and-blocks-social-media-platforms/" TargetMode="External"/><Relationship Id="rId354" Type="http://schemas.openxmlformats.org/officeDocument/2006/relationships/hyperlink" Target="https://www.accessnow.org/keepiton/" TargetMode="External"/><Relationship Id="rId596" Type="http://schemas.openxmlformats.org/officeDocument/2006/relationships/hyperlink" Target="https://www.accessnow.org/keepiton/" TargetMode="External"/><Relationship Id="rId111" Type="http://schemas.openxmlformats.org/officeDocument/2006/relationships/hyperlink" Target="https://netblocks.org/reports/mobile-internet-disrupted-in-mauritania-following-prison-break-3An41by2" TargetMode="External"/><Relationship Id="rId353" Type="http://schemas.openxmlformats.org/officeDocument/2006/relationships/hyperlink" Target="https://www.accessnow.org/keepiton/" TargetMode="External"/><Relationship Id="rId595" Type="http://schemas.openxmlformats.org/officeDocument/2006/relationships/hyperlink" Target="https://www.accessnow.org/keepiton/" TargetMode="External"/><Relationship Id="rId305" Type="http://schemas.openxmlformats.org/officeDocument/2006/relationships/hyperlink" Target="https://www.accessnow.org/keepiton/" TargetMode="External"/><Relationship Id="rId547" Type="http://schemas.openxmlformats.org/officeDocument/2006/relationships/hyperlink" Target="https://www.accessnow.org/keepiton/" TargetMode="External"/><Relationship Id="rId789" Type="http://schemas.openxmlformats.org/officeDocument/2006/relationships/hyperlink" Target="https://www.accessnow.org/keepiton/" TargetMode="External"/><Relationship Id="rId304" Type="http://schemas.openxmlformats.org/officeDocument/2006/relationships/hyperlink" Target="https://www.accessnow.org/keepiton/" TargetMode="External"/><Relationship Id="rId546" Type="http://schemas.openxmlformats.org/officeDocument/2006/relationships/hyperlink" Target="https://www.accessnow.org/keepiton/" TargetMode="External"/><Relationship Id="rId788" Type="http://schemas.openxmlformats.org/officeDocument/2006/relationships/hyperlink" Target="https://www.accessnow.org/keepiton/" TargetMode="External"/><Relationship Id="rId303" Type="http://schemas.openxmlformats.org/officeDocument/2006/relationships/hyperlink" Target="https://www.accessnow.org/keepiton/" TargetMode="External"/><Relationship Id="rId545" Type="http://schemas.openxmlformats.org/officeDocument/2006/relationships/hyperlink" Target="https://www.accessnow.org/keepiton/" TargetMode="External"/><Relationship Id="rId787" Type="http://schemas.openxmlformats.org/officeDocument/2006/relationships/hyperlink" Target="https://www.accessnow.org/keepiton/" TargetMode="External"/><Relationship Id="rId302" Type="http://schemas.openxmlformats.org/officeDocument/2006/relationships/hyperlink" Target="https://www.accessnow.org/keepiton/" TargetMode="External"/><Relationship Id="rId544" Type="http://schemas.openxmlformats.org/officeDocument/2006/relationships/hyperlink" Target="https://www.accessnow.org/keepiton/" TargetMode="External"/><Relationship Id="rId786" Type="http://schemas.openxmlformats.org/officeDocument/2006/relationships/hyperlink" Target="https://www.accessnow.org/keepiton/" TargetMode="External"/><Relationship Id="rId309" Type="http://schemas.openxmlformats.org/officeDocument/2006/relationships/hyperlink" Target="https://www.accessnow.org/keepiton/" TargetMode="External"/><Relationship Id="rId308" Type="http://schemas.openxmlformats.org/officeDocument/2006/relationships/hyperlink" Target="https://www.accessnow.org/keepiton/" TargetMode="External"/><Relationship Id="rId307" Type="http://schemas.openxmlformats.org/officeDocument/2006/relationships/hyperlink" Target="https://www.accessnow.org/keepiton/" TargetMode="External"/><Relationship Id="rId549" Type="http://schemas.openxmlformats.org/officeDocument/2006/relationships/hyperlink" Target="https://www.accessnow.org/keepiton/" TargetMode="External"/><Relationship Id="rId306" Type="http://schemas.openxmlformats.org/officeDocument/2006/relationships/hyperlink" Target="https://www.accessnow.org/keepiton/" TargetMode="External"/><Relationship Id="rId548" Type="http://schemas.openxmlformats.org/officeDocument/2006/relationships/hyperlink" Target="https://www.accessnow.org/keepiton/" TargetMode="External"/><Relationship Id="rId781" Type="http://schemas.openxmlformats.org/officeDocument/2006/relationships/hyperlink" Target="https://www.accessnow.org/keepiton/" TargetMode="External"/><Relationship Id="rId780" Type="http://schemas.openxmlformats.org/officeDocument/2006/relationships/hyperlink" Target="https://www.accessnow.org/keepiton/" TargetMode="External"/><Relationship Id="rId301" Type="http://schemas.openxmlformats.org/officeDocument/2006/relationships/hyperlink" Target="https://www.accessnow.org/keepiton/" TargetMode="External"/><Relationship Id="rId543" Type="http://schemas.openxmlformats.org/officeDocument/2006/relationships/hyperlink" Target="https://www.accessnow.org/keepiton/" TargetMode="External"/><Relationship Id="rId785" Type="http://schemas.openxmlformats.org/officeDocument/2006/relationships/hyperlink" Target="https://www.accessnow.org/keepiton/" TargetMode="External"/><Relationship Id="rId300" Type="http://schemas.openxmlformats.org/officeDocument/2006/relationships/hyperlink" Target="https://www.accessnow.org/keepiton/" TargetMode="External"/><Relationship Id="rId542" Type="http://schemas.openxmlformats.org/officeDocument/2006/relationships/hyperlink" Target="https://www.accessnow.org/keepiton/" TargetMode="External"/><Relationship Id="rId784" Type="http://schemas.openxmlformats.org/officeDocument/2006/relationships/hyperlink" Target="https://www.accessnow.org/keepiton/" TargetMode="External"/><Relationship Id="rId541" Type="http://schemas.openxmlformats.org/officeDocument/2006/relationships/hyperlink" Target="https://www.accessnow.org/keepiton/" TargetMode="External"/><Relationship Id="rId783" Type="http://schemas.openxmlformats.org/officeDocument/2006/relationships/hyperlink" Target="https://www.accessnow.org/keepiton/" TargetMode="External"/><Relationship Id="rId540" Type="http://schemas.openxmlformats.org/officeDocument/2006/relationships/hyperlink" Target="https://www.accessnow.org/keepiton/" TargetMode="External"/><Relationship Id="rId782" Type="http://schemas.openxmlformats.org/officeDocument/2006/relationships/hyperlink" Target="https://www.accessnow.org/keepiton/" TargetMode="External"/><Relationship Id="rId536" Type="http://schemas.openxmlformats.org/officeDocument/2006/relationships/hyperlink" Target="https://www.accessnow.org/keepiton/" TargetMode="External"/><Relationship Id="rId778" Type="http://schemas.openxmlformats.org/officeDocument/2006/relationships/hyperlink" Target="https://www.accessnow.org/keepiton/" TargetMode="External"/><Relationship Id="rId535" Type="http://schemas.openxmlformats.org/officeDocument/2006/relationships/hyperlink" Target="https://www.accessnow.org/keepiton/" TargetMode="External"/><Relationship Id="rId777" Type="http://schemas.openxmlformats.org/officeDocument/2006/relationships/hyperlink" Target="https://www.accessnow.org/keepiton/" TargetMode="External"/><Relationship Id="rId534" Type="http://schemas.openxmlformats.org/officeDocument/2006/relationships/hyperlink" Target="https://www.accessnow.org/keepiton/" TargetMode="External"/><Relationship Id="rId776" Type="http://schemas.openxmlformats.org/officeDocument/2006/relationships/hyperlink" Target="https://www.accessnow.org/keepiton/" TargetMode="External"/><Relationship Id="rId533" Type="http://schemas.openxmlformats.org/officeDocument/2006/relationships/hyperlink" Target="https://www.accessnow.org/keepiton/" TargetMode="External"/><Relationship Id="rId775" Type="http://schemas.openxmlformats.org/officeDocument/2006/relationships/hyperlink" Target="https://www.accessnow.org/keepiton/" TargetMode="External"/><Relationship Id="rId539" Type="http://schemas.openxmlformats.org/officeDocument/2006/relationships/hyperlink" Target="https://www.accessnow.org/keepiton/" TargetMode="External"/><Relationship Id="rId538" Type="http://schemas.openxmlformats.org/officeDocument/2006/relationships/hyperlink" Target="https://www.accessnow.org/keepiton/" TargetMode="External"/><Relationship Id="rId537" Type="http://schemas.openxmlformats.org/officeDocument/2006/relationships/hyperlink" Target="https://www.accessnow.org/keepiton/" TargetMode="External"/><Relationship Id="rId779" Type="http://schemas.openxmlformats.org/officeDocument/2006/relationships/hyperlink" Target="https://www.accessnow.org/keepiton/" TargetMode="External"/><Relationship Id="rId770" Type="http://schemas.openxmlformats.org/officeDocument/2006/relationships/hyperlink" Target="https://www.accessnow.org/keepiton/" TargetMode="External"/><Relationship Id="rId532" Type="http://schemas.openxmlformats.org/officeDocument/2006/relationships/hyperlink" Target="https://jkhome.nic.in/pdf/02(TSTS)of2022.pdf" TargetMode="External"/><Relationship Id="rId774" Type="http://schemas.openxmlformats.org/officeDocument/2006/relationships/hyperlink" Target="https://www.accessnow.org/keepiton/" TargetMode="External"/><Relationship Id="rId531" Type="http://schemas.openxmlformats.org/officeDocument/2006/relationships/hyperlink" Target="https://www.accessnow.org/campaign/keepiton/" TargetMode="External"/><Relationship Id="rId773" Type="http://schemas.openxmlformats.org/officeDocument/2006/relationships/hyperlink" Target="https://www.accessnow.org/keepiton/" TargetMode="External"/><Relationship Id="rId530" Type="http://schemas.openxmlformats.org/officeDocument/2006/relationships/hyperlink" Target="https://jkhome.nic.in/pdf/03(TSTS)of2022.pdf" TargetMode="External"/><Relationship Id="rId772" Type="http://schemas.openxmlformats.org/officeDocument/2006/relationships/hyperlink" Target="https://www.accessnow.org/keepiton/" TargetMode="External"/><Relationship Id="rId771" Type="http://schemas.openxmlformats.org/officeDocument/2006/relationships/hyperlink" Target="https://www.accessnow.org/keepiton/" TargetMode="External"/><Relationship Id="rId327" Type="http://schemas.openxmlformats.org/officeDocument/2006/relationships/hyperlink" Target="https://www.accessnow.org/keepiton/" TargetMode="External"/><Relationship Id="rId569" Type="http://schemas.openxmlformats.org/officeDocument/2006/relationships/hyperlink" Target="https://www.accessnow.org/keepiton/" TargetMode="External"/><Relationship Id="rId326" Type="http://schemas.openxmlformats.org/officeDocument/2006/relationships/hyperlink" Target="https://www.accessnow.org/keepiton/" TargetMode="External"/><Relationship Id="rId568" Type="http://schemas.openxmlformats.org/officeDocument/2006/relationships/hyperlink" Target="https://www.accessnow.org/keepiton/" TargetMode="External"/><Relationship Id="rId325" Type="http://schemas.openxmlformats.org/officeDocument/2006/relationships/hyperlink" Target="https://www.accessnow.org/keepiton/" TargetMode="External"/><Relationship Id="rId567" Type="http://schemas.openxmlformats.org/officeDocument/2006/relationships/hyperlink" Target="https://www.accessnow.org/keepiton/" TargetMode="External"/><Relationship Id="rId324" Type="http://schemas.openxmlformats.org/officeDocument/2006/relationships/hyperlink" Target="https://www.accessnow.org/keepiton/" TargetMode="External"/><Relationship Id="rId566" Type="http://schemas.openxmlformats.org/officeDocument/2006/relationships/hyperlink" Target="https://www.accessnow.org/keepiton/" TargetMode="External"/><Relationship Id="rId329" Type="http://schemas.openxmlformats.org/officeDocument/2006/relationships/hyperlink" Target="https://www.accessnow.org/keepiton/" TargetMode="External"/><Relationship Id="rId328" Type="http://schemas.openxmlformats.org/officeDocument/2006/relationships/hyperlink" Target="https://www.accessnow.org/keepiton/" TargetMode="External"/><Relationship Id="rId561" Type="http://schemas.openxmlformats.org/officeDocument/2006/relationships/hyperlink" Target="https://www.accessnow.org/keepiton/" TargetMode="External"/><Relationship Id="rId560" Type="http://schemas.openxmlformats.org/officeDocument/2006/relationships/hyperlink" Target="https://www.accessnow.org/keepiton/" TargetMode="External"/><Relationship Id="rId323" Type="http://schemas.openxmlformats.org/officeDocument/2006/relationships/hyperlink" Target="https://www.accessnow.org/keepiton/" TargetMode="External"/><Relationship Id="rId565" Type="http://schemas.openxmlformats.org/officeDocument/2006/relationships/hyperlink" Target="https://www.accessnow.org/keepiton/" TargetMode="External"/><Relationship Id="rId322" Type="http://schemas.openxmlformats.org/officeDocument/2006/relationships/hyperlink" Target="https://www.accessnow.org/keepiton/" TargetMode="External"/><Relationship Id="rId564" Type="http://schemas.openxmlformats.org/officeDocument/2006/relationships/hyperlink" Target="https://www.accessnow.org/keepiton/" TargetMode="External"/><Relationship Id="rId321" Type="http://schemas.openxmlformats.org/officeDocument/2006/relationships/hyperlink" Target="https://www.accessnow.org/keepiton/" TargetMode="External"/><Relationship Id="rId563" Type="http://schemas.openxmlformats.org/officeDocument/2006/relationships/hyperlink" Target="https://www.accessnow.org/keepiton/" TargetMode="External"/><Relationship Id="rId320" Type="http://schemas.openxmlformats.org/officeDocument/2006/relationships/hyperlink" Target="https://www.accessnow.org/keepiton/" TargetMode="External"/><Relationship Id="rId562" Type="http://schemas.openxmlformats.org/officeDocument/2006/relationships/hyperlink" Target="https://www.accessnow.org/keepiton/" TargetMode="External"/><Relationship Id="rId316" Type="http://schemas.openxmlformats.org/officeDocument/2006/relationships/hyperlink" Target="https://www.accessnow.org/keepiton/" TargetMode="External"/><Relationship Id="rId558" Type="http://schemas.openxmlformats.org/officeDocument/2006/relationships/hyperlink" Target="https://www.accessnow.org/keepiton/" TargetMode="External"/><Relationship Id="rId315" Type="http://schemas.openxmlformats.org/officeDocument/2006/relationships/hyperlink" Target="https://www.accessnow.org/keepiton/" TargetMode="External"/><Relationship Id="rId557" Type="http://schemas.openxmlformats.org/officeDocument/2006/relationships/hyperlink" Target="https://www.accessnow.org/keepiton/" TargetMode="External"/><Relationship Id="rId799" Type="http://schemas.openxmlformats.org/officeDocument/2006/relationships/hyperlink" Target="https://www.accessnow.org/keepiton/" TargetMode="External"/><Relationship Id="rId314" Type="http://schemas.openxmlformats.org/officeDocument/2006/relationships/hyperlink" Target="https://www.accessnow.org/keepiton/" TargetMode="External"/><Relationship Id="rId556" Type="http://schemas.openxmlformats.org/officeDocument/2006/relationships/hyperlink" Target="https://www.accessnow.org/keepiton/" TargetMode="External"/><Relationship Id="rId798" Type="http://schemas.openxmlformats.org/officeDocument/2006/relationships/hyperlink" Target="https://www.accessnow.org/keepiton/" TargetMode="External"/><Relationship Id="rId313" Type="http://schemas.openxmlformats.org/officeDocument/2006/relationships/hyperlink" Target="https://www.accessnow.org/keepiton/" TargetMode="External"/><Relationship Id="rId555" Type="http://schemas.openxmlformats.org/officeDocument/2006/relationships/hyperlink" Target="https://www.accessnow.org/keepiton/" TargetMode="External"/><Relationship Id="rId797" Type="http://schemas.openxmlformats.org/officeDocument/2006/relationships/hyperlink" Target="https://www.accessnow.org/keepiton/" TargetMode="External"/><Relationship Id="rId319" Type="http://schemas.openxmlformats.org/officeDocument/2006/relationships/hyperlink" Target="https://www.accessnow.org/keepiton/" TargetMode="External"/><Relationship Id="rId318" Type="http://schemas.openxmlformats.org/officeDocument/2006/relationships/hyperlink" Target="https://www.accessnow.org/keepiton/" TargetMode="External"/><Relationship Id="rId317" Type="http://schemas.openxmlformats.org/officeDocument/2006/relationships/hyperlink" Target="https://www.accessnow.org/keepiton/" TargetMode="External"/><Relationship Id="rId559" Type="http://schemas.openxmlformats.org/officeDocument/2006/relationships/hyperlink" Target="https://www.accessnow.org/keepiton/" TargetMode="External"/><Relationship Id="rId550" Type="http://schemas.openxmlformats.org/officeDocument/2006/relationships/hyperlink" Target="https://www.accessnow.org/keepiton/" TargetMode="External"/><Relationship Id="rId792" Type="http://schemas.openxmlformats.org/officeDocument/2006/relationships/hyperlink" Target="https://www.accessnow.org/keepiton/" TargetMode="External"/><Relationship Id="rId791" Type="http://schemas.openxmlformats.org/officeDocument/2006/relationships/hyperlink" Target="https://www.accessnow.org/keepiton/" TargetMode="External"/><Relationship Id="rId790" Type="http://schemas.openxmlformats.org/officeDocument/2006/relationships/hyperlink" Target="https://www.accessnow.org/keepiton/" TargetMode="External"/><Relationship Id="rId312" Type="http://schemas.openxmlformats.org/officeDocument/2006/relationships/hyperlink" Target="https://www.accessnow.org/keepiton/" TargetMode="External"/><Relationship Id="rId554" Type="http://schemas.openxmlformats.org/officeDocument/2006/relationships/hyperlink" Target="https://www.accessnow.org/keepiton/" TargetMode="External"/><Relationship Id="rId796" Type="http://schemas.openxmlformats.org/officeDocument/2006/relationships/hyperlink" Target="https://www.accessnow.org/keepiton/" TargetMode="External"/><Relationship Id="rId311" Type="http://schemas.openxmlformats.org/officeDocument/2006/relationships/hyperlink" Target="https://www.accessnow.org/keepiton/" TargetMode="External"/><Relationship Id="rId553" Type="http://schemas.openxmlformats.org/officeDocument/2006/relationships/hyperlink" Target="https://www.accessnow.org/keepiton/" TargetMode="External"/><Relationship Id="rId795" Type="http://schemas.openxmlformats.org/officeDocument/2006/relationships/hyperlink" Target="https://www.accessnow.org/keepiton/" TargetMode="External"/><Relationship Id="rId310" Type="http://schemas.openxmlformats.org/officeDocument/2006/relationships/hyperlink" Target="https://www.accessnow.org/keepiton/" TargetMode="External"/><Relationship Id="rId552" Type="http://schemas.openxmlformats.org/officeDocument/2006/relationships/hyperlink" Target="https://www.accessnow.org/keepiton/" TargetMode="External"/><Relationship Id="rId794" Type="http://schemas.openxmlformats.org/officeDocument/2006/relationships/hyperlink" Target="https://www.accessnow.org/keepiton/" TargetMode="External"/><Relationship Id="rId551" Type="http://schemas.openxmlformats.org/officeDocument/2006/relationships/hyperlink" Target="https://www.accessnow.org/keepiton/" TargetMode="External"/><Relationship Id="rId793" Type="http://schemas.openxmlformats.org/officeDocument/2006/relationships/hyperlink" Target="https://www.accessnow.org/keepiton/" TargetMode="External"/><Relationship Id="rId297" Type="http://schemas.openxmlformats.org/officeDocument/2006/relationships/hyperlink" Target="https://www.accessnow.org/keepiton/" TargetMode="External"/><Relationship Id="rId296" Type="http://schemas.openxmlformats.org/officeDocument/2006/relationships/hyperlink" Target="https://www.accessnow.org/keepiton/" TargetMode="External"/><Relationship Id="rId295" Type="http://schemas.openxmlformats.org/officeDocument/2006/relationships/hyperlink" Target="https://www.accessnow.org/keepiton/" TargetMode="External"/><Relationship Id="rId294" Type="http://schemas.openxmlformats.org/officeDocument/2006/relationships/hyperlink" Target="https://www.accessnow.org/keepiton/" TargetMode="External"/><Relationship Id="rId299" Type="http://schemas.openxmlformats.org/officeDocument/2006/relationships/hyperlink" Target="https://www.accessnow.org/keepiton/" TargetMode="External"/><Relationship Id="rId298" Type="http://schemas.openxmlformats.org/officeDocument/2006/relationships/hyperlink" Target="https://www.accessnow.org/keepiton/" TargetMode="External"/><Relationship Id="rId271" Type="http://schemas.openxmlformats.org/officeDocument/2006/relationships/hyperlink" Target="https://internetshutdowns.in/" TargetMode="External"/><Relationship Id="rId270" Type="http://schemas.openxmlformats.org/officeDocument/2006/relationships/hyperlink" Target="https://www.timesnownews.com/india/kolhapur-on-edge-amid-protest-over-aurangzeb-whatsapp-status-internet-services-snapped-keypoints-article-100815458" TargetMode="External"/><Relationship Id="rId269" Type="http://schemas.openxmlformats.org/officeDocument/2006/relationships/hyperlink" Target="https://internetshutdowns.in/" TargetMode="External"/><Relationship Id="rId264" Type="http://schemas.openxmlformats.org/officeDocument/2006/relationships/hyperlink" Target="https://netblocks.org/reports/internet-disrupted-in-bihar-india-amid-military-recruitment-protests-18lqJ7Aa" TargetMode="External"/><Relationship Id="rId263" Type="http://schemas.openxmlformats.org/officeDocument/2006/relationships/hyperlink" Target="https://qz.com/india-has-blocked-14-messenger-apps-on-security-fears-1850390425" TargetMode="External"/><Relationship Id="rId262" Type="http://schemas.openxmlformats.org/officeDocument/2006/relationships/hyperlink" Target="https://thewire.in/rights/manipur-has-been-without-internet-services-for-100-days-now" TargetMode="External"/><Relationship Id="rId261" Type="http://schemas.openxmlformats.org/officeDocument/2006/relationships/hyperlink" Target="https://internetfreedom.in/statement-on-internet-shutdowns-in-manipur-in-response-to-ongoing-violence/" TargetMode="External"/><Relationship Id="rId268" Type="http://schemas.openxmlformats.org/officeDocument/2006/relationships/hyperlink" Target="https://thehindustangazette.com/national/haryana/vhp-to-take-out-rally-without-permission-internet-shutdown-in-nuh-17641" TargetMode="External"/><Relationship Id="rId267" Type="http://schemas.openxmlformats.org/officeDocument/2006/relationships/hyperlink" Target="https://internetshutdowns.in/" TargetMode="External"/><Relationship Id="rId266" Type="http://schemas.openxmlformats.org/officeDocument/2006/relationships/hyperlink" Target="https://timesofindia.indiatimes.com/city/aurangabad/quota-row-internet-services-shut-down-in-rural-parts-of-chhatrapati-sambhajinagar-for-48-hrs/articleshow/104884601.cms" TargetMode="External"/><Relationship Id="rId265" Type="http://schemas.openxmlformats.org/officeDocument/2006/relationships/hyperlink" Target="https://www.nytimes.com/2020/06/29/world/asia/tik-tok-banned-india-china.html" TargetMode="External"/><Relationship Id="rId260" Type="http://schemas.openxmlformats.org/officeDocument/2006/relationships/hyperlink" Target="https://twitter.com/netblocks/status/1659557085967798274" TargetMode="External"/><Relationship Id="rId259" Type="http://schemas.openxmlformats.org/officeDocument/2006/relationships/hyperlink" Target="https://www.thehindu.com/news/national/centre-extends-internet-ban-in-20-police-stations-of-punjab-till-february-24/article67858576.ece" TargetMode="External"/><Relationship Id="rId258" Type="http://schemas.openxmlformats.org/officeDocument/2006/relationships/hyperlink" Target="https://www.livemint.com/news/india/farmers-protest-haryana-extends-suspension-of-mobile-internet-in-7-districts-till-february-21-11708449276947.html" TargetMode="External"/><Relationship Id="rId253" Type="http://schemas.openxmlformats.org/officeDocument/2006/relationships/hyperlink" Target="https://www.indiatoday.in/elections/lok-sabha/story/saran-bihar-post-poll-violence-rjd-bjp-workers-clash-internet-suspended-rohini-acharya-2541793-2024-05-21" TargetMode="External"/><Relationship Id="rId495" Type="http://schemas.openxmlformats.org/officeDocument/2006/relationships/hyperlink" Target="https://internetshutdowns.in/static-page/jammu-kashmir/" TargetMode="External"/><Relationship Id="rId252" Type="http://schemas.openxmlformats.org/officeDocument/2006/relationships/hyperlink" Target="https://www.hindustantimes.com/cities/others/odisha-curfew-imposed-in-balasore-as-communal-violence-escalates-101718688232830.html" TargetMode="External"/><Relationship Id="rId494" Type="http://schemas.openxmlformats.org/officeDocument/2006/relationships/hyperlink" Target="https://jkhome.nic.in/pdf/23(TSTS)of2022.pdf" TargetMode="External"/><Relationship Id="rId251" Type="http://schemas.openxmlformats.org/officeDocument/2006/relationships/hyperlink" Target="https://indianexpress.com/article/cities/delhi/nuh-internet-bulk-sms-services-suspended-in-nuh-ahead-of-jalabhishek-yatra-9467245/" TargetMode="External"/><Relationship Id="rId493" Type="http://schemas.openxmlformats.org/officeDocument/2006/relationships/hyperlink" Target="https://www.accessnow.org/campaign/keepiton/" TargetMode="External"/><Relationship Id="rId250" Type="http://schemas.openxmlformats.org/officeDocument/2006/relationships/hyperlink" Target="https://internetshutdowns.in/" TargetMode="External"/><Relationship Id="rId492" Type="http://schemas.openxmlformats.org/officeDocument/2006/relationships/hyperlink" Target="https://internetshutdowns.in/static-page/jammu-kashmir/" TargetMode="External"/><Relationship Id="rId257" Type="http://schemas.openxmlformats.org/officeDocument/2006/relationships/hyperlink" Target="https://www.livemint.com/topic/mobile-internet" TargetMode="External"/><Relationship Id="rId499" Type="http://schemas.openxmlformats.org/officeDocument/2006/relationships/hyperlink" Target="https://jkhome.nic.in/pdf/19(TSTS)of2022.pdf" TargetMode="External"/><Relationship Id="rId256" Type="http://schemas.openxmlformats.org/officeDocument/2006/relationships/hyperlink" Target="https://www.ptinews.com/story/national/manipur-situation-tense-internet-suspended-after-violence-in-churachandpur/1294515" TargetMode="External"/><Relationship Id="rId498" Type="http://schemas.openxmlformats.org/officeDocument/2006/relationships/hyperlink" Target="https://www.accessnow.org/campaign/keepiton/" TargetMode="External"/><Relationship Id="rId255" Type="http://schemas.openxmlformats.org/officeDocument/2006/relationships/hyperlink" Target="https://twitter.com/Stonerollin123/status/1776235345052676285" TargetMode="External"/><Relationship Id="rId497" Type="http://schemas.openxmlformats.org/officeDocument/2006/relationships/hyperlink" Target="https://internetshutdowns.in/static-page/jammu-kashmir/" TargetMode="External"/><Relationship Id="rId254" Type="http://schemas.openxmlformats.org/officeDocument/2006/relationships/hyperlink" Target="https://scroll.in/latest/1068141/bihar-one-killed-three-injured-in-post-poll-violence-between-bjp-and-rjd-supporters-in-saran" TargetMode="External"/><Relationship Id="rId496" Type="http://schemas.openxmlformats.org/officeDocument/2006/relationships/hyperlink" Target="https://internetshutdowns.in/static-page/jammu-kashmir/" TargetMode="External"/><Relationship Id="rId293" Type="http://schemas.openxmlformats.org/officeDocument/2006/relationships/hyperlink" Target="https://www.accessnow.org/keepiton/" TargetMode="External"/><Relationship Id="rId292" Type="http://schemas.openxmlformats.org/officeDocument/2006/relationships/hyperlink" Target="https://internetshutdowns.in/" TargetMode="External"/><Relationship Id="rId291" Type="http://schemas.openxmlformats.org/officeDocument/2006/relationships/hyperlink" Target="https://internetshutdowns.in/" TargetMode="External"/><Relationship Id="rId290" Type="http://schemas.openxmlformats.org/officeDocument/2006/relationships/hyperlink" Target="https://internetshutdowns.in/" TargetMode="External"/><Relationship Id="rId286" Type="http://schemas.openxmlformats.org/officeDocument/2006/relationships/hyperlink" Target="https://internetshutdowns.in/" TargetMode="External"/><Relationship Id="rId285" Type="http://schemas.openxmlformats.org/officeDocument/2006/relationships/hyperlink" Target="https://internetshutdowns.in/" TargetMode="External"/><Relationship Id="rId284" Type="http://schemas.openxmlformats.org/officeDocument/2006/relationships/hyperlink" Target="https://internetshutdowns.in/" TargetMode="External"/><Relationship Id="rId283" Type="http://schemas.openxmlformats.org/officeDocument/2006/relationships/hyperlink" Target="https://www.indiatodayne.in/arunachal-pradesh/story/arunachal-internet-services-suspended-in-itanagar-till-february-19-514368-2023-02-17" TargetMode="External"/><Relationship Id="rId289" Type="http://schemas.openxmlformats.org/officeDocument/2006/relationships/hyperlink" Target="https://internetshutdowns.in/" TargetMode="External"/><Relationship Id="rId288" Type="http://schemas.openxmlformats.org/officeDocument/2006/relationships/hyperlink" Target="https://internetshutdowns.in/" TargetMode="External"/><Relationship Id="rId287" Type="http://schemas.openxmlformats.org/officeDocument/2006/relationships/hyperlink" Target="https://internetshutdowns.in/" TargetMode="External"/><Relationship Id="rId282" Type="http://schemas.openxmlformats.org/officeDocument/2006/relationships/hyperlink" Target="https://internetshutdowns.in/" TargetMode="External"/><Relationship Id="rId281" Type="http://schemas.openxmlformats.org/officeDocument/2006/relationships/hyperlink" Target="https://telecom.economictimes.indiatimes.com/news/mobile-internet-services-suspended-in-haryanas-nuh-for-3-days-over-fear-of-commual-tension/98251403?redirect=1" TargetMode="External"/><Relationship Id="rId280" Type="http://schemas.openxmlformats.org/officeDocument/2006/relationships/hyperlink" Target="https://internetshutdowns.in/" TargetMode="External"/><Relationship Id="rId275" Type="http://schemas.openxmlformats.org/officeDocument/2006/relationships/hyperlink" Target="https://internetshutdowns.in/" TargetMode="External"/><Relationship Id="rId274" Type="http://schemas.openxmlformats.org/officeDocument/2006/relationships/hyperlink" Target="https://pbs.twimg.com/media/FuxGC7kacAAqIKN?format=jpg&amp;name=large" TargetMode="External"/><Relationship Id="rId273" Type="http://schemas.openxmlformats.org/officeDocument/2006/relationships/hyperlink" Target="https://internetshutdowns.in/" TargetMode="External"/><Relationship Id="rId272" Type="http://schemas.openxmlformats.org/officeDocument/2006/relationships/hyperlink" Target="http://www.easternsentinel.in/news/state/internet-shutdown-in-papumpare-district-ahead-of-72hr-bandh-call.html" TargetMode="External"/><Relationship Id="rId279" Type="http://schemas.openxmlformats.org/officeDocument/2006/relationships/hyperlink" Target="https://www.theguardian.com/world/2023/mar/21/punjab-internet-blackout-hunt-sikh-preacher-amritpal-singh-sandhu" TargetMode="External"/><Relationship Id="rId278" Type="http://schemas.openxmlformats.org/officeDocument/2006/relationships/hyperlink" Target="https://internetshutdowns.in/" TargetMode="External"/><Relationship Id="rId277" Type="http://schemas.openxmlformats.org/officeDocument/2006/relationships/hyperlink" Target="https://www.firstindia.co.in/news/rajasthan/net-remains-shut-nh-blocked-in-bharatpur-over-malis-quota-stir" TargetMode="External"/><Relationship Id="rId276" Type="http://schemas.openxmlformats.org/officeDocument/2006/relationships/hyperlink" Target="https://www.hindustantimes.com/cities/jaipur-news/internet-services-suspended-in-rajasthan-s-bharatpur-as-saini-mali-kushwaha-communities-demand-12-reservation-101682163170950.html" TargetMode="External"/><Relationship Id="rId907" Type="http://schemas.openxmlformats.org/officeDocument/2006/relationships/hyperlink" Target="https://netblocks.org/reports/social-media-partially-restored-in-sri-lanka-following-third-block-r8Vg4QA5" TargetMode="External"/><Relationship Id="rId906" Type="http://schemas.openxmlformats.org/officeDocument/2006/relationships/hyperlink" Target="https://advox.globalvoices.org/2017/09/22/saudi-arabia-eases-restrictions-on-messaging-apps-but-whatsapp-and-viber-are-still-blocked/" TargetMode="External"/><Relationship Id="rId905" Type="http://schemas.openxmlformats.org/officeDocument/2006/relationships/hyperlink" Target="https://techcrunch.com/2016/01/12/telegrams-troubled-times-in-the-middle-east/" TargetMode="External"/><Relationship Id="rId904" Type="http://schemas.openxmlformats.org/officeDocument/2006/relationships/hyperlink" Target="https://www.telegraph.co.uk/news/2017/09/20/saudi-arabia-lifts-ban-skype-whatsapp-voice-calls/" TargetMode="External"/><Relationship Id="rId909" Type="http://schemas.openxmlformats.org/officeDocument/2006/relationships/hyperlink" Target="https://netblocks.org/reports/social-media-restricted-in-sri-lanka-as-emergency-declared-amid-protests-JA6ROrAQ" TargetMode="External"/><Relationship Id="rId908" Type="http://schemas.openxmlformats.org/officeDocument/2006/relationships/hyperlink" Target="https://netblocks.org/reports/sri-lanka-blocks-social-media-for-third-time-in-one-month-M8JRjg80" TargetMode="External"/><Relationship Id="rId903" Type="http://schemas.openxmlformats.org/officeDocument/2006/relationships/hyperlink" Target="https://www.citc.gov.sa/ar/mediacenter/pressreleases/Pages/2017092001.aspx" TargetMode="External"/><Relationship Id="rId902" Type="http://schemas.openxmlformats.org/officeDocument/2006/relationships/hyperlink" Target="https://www.theverge.com/2017/9/20/16340342/saudi-arabia-skype-whatsapp-snapchat-censorship-ban-lift" TargetMode="External"/><Relationship Id="rId901" Type="http://schemas.openxmlformats.org/officeDocument/2006/relationships/hyperlink" Target="https://latesthackingnews.com/2017/10/10/qatar-blocked-skype-whatsapp-viber-duo-facetime/?utm_source=dlvr.it&amp;utm_medium=facebook" TargetMode="External"/><Relationship Id="rId900" Type="http://schemas.openxmlformats.org/officeDocument/2006/relationships/hyperlink" Target="https://www.hrw.org/news/2020/04/07/covid-19-unblock-voice-over-ip-platforms-gulf" TargetMode="External"/><Relationship Id="rId929" Type="http://schemas.openxmlformats.org/officeDocument/2006/relationships/hyperlink" Target="https://twitter.com/netblocks/status/1807863674272731242" TargetMode="External"/><Relationship Id="rId928" Type="http://schemas.openxmlformats.org/officeDocument/2006/relationships/hyperlink" Target="https://twitter.com/hashtag/Turkey?src=hashtag_click" TargetMode="External"/><Relationship Id="rId927" Type="http://schemas.openxmlformats.org/officeDocument/2006/relationships/hyperlink" Target="https://x.com/netblocks/status/1819255073748156490" TargetMode="External"/><Relationship Id="rId926" Type="http://schemas.openxmlformats.org/officeDocument/2006/relationships/hyperlink" Target="https://x.com/netblocks/status/1843793036322779215" TargetMode="External"/><Relationship Id="rId921" Type="http://schemas.openxmlformats.org/officeDocument/2006/relationships/hyperlink" Target="https://eurasianet.org/tajikistan-internet-grinds-to-a-halt-after-presidents-criticism" TargetMode="External"/><Relationship Id="rId920" Type="http://schemas.openxmlformats.org/officeDocument/2006/relationships/hyperlink" Target="https://eurasianet.org/tajikistan-opposition-comes-on-internet-goes-off" TargetMode="External"/><Relationship Id="rId925" Type="http://schemas.openxmlformats.org/officeDocument/2006/relationships/hyperlink" Target="https://www.reuters.com/technology/turkey-blocks-instant-messaging-platform-discord-2024-10-09/" TargetMode="External"/><Relationship Id="rId924" Type="http://schemas.openxmlformats.org/officeDocument/2006/relationships/hyperlink" Target="https://x.com/netblocks/status/1849105056081068206" TargetMode="External"/><Relationship Id="rId923" Type="http://schemas.openxmlformats.org/officeDocument/2006/relationships/hyperlink" Target="https://www.bbc.com/news/world-asia-54598956" TargetMode="External"/><Relationship Id="rId922" Type="http://schemas.openxmlformats.org/officeDocument/2006/relationships/hyperlink" Target="https://www.rferl.org/a/tajikistan-youtube-facebook-blocked/27207583.html" TargetMode="External"/><Relationship Id="rId918" Type="http://schemas.openxmlformats.org/officeDocument/2006/relationships/hyperlink" Target="https://twitter.com/InternetIntel/status/793807087981694977" TargetMode="External"/><Relationship Id="rId917" Type="http://schemas.openxmlformats.org/officeDocument/2006/relationships/hyperlink" Target="https://www.accessnow.org/keepiton/" TargetMode="External"/><Relationship Id="rId916" Type="http://schemas.openxmlformats.org/officeDocument/2006/relationships/hyperlink" Target="https://nso.news/Details/752/Internet-is-back-in-Raqqa-countryside-areas/en" TargetMode="External"/><Relationship Id="rId915" Type="http://schemas.openxmlformats.org/officeDocument/2006/relationships/hyperlink" Target="https://x.com/IODA_live/status/1816481280202006919" TargetMode="External"/><Relationship Id="rId919" Type="http://schemas.openxmlformats.org/officeDocument/2006/relationships/hyperlink" Target="https://eurasianet.org/tajikistan-authorities-somehow-find-more-room-for-internet-censorship" TargetMode="External"/><Relationship Id="rId910" Type="http://schemas.openxmlformats.org/officeDocument/2006/relationships/hyperlink" Target="https://ioda.inetintel.cc.gatech.edu/country/LK?from=1648159200&amp;until=1649624399" TargetMode="External"/><Relationship Id="rId914" Type="http://schemas.openxmlformats.org/officeDocument/2006/relationships/hyperlink" Target="https://netblocks.org/reports/social-media-blocked-in-sri-lanka-following-church-and-hotel-bombings-XaAwlQBM" TargetMode="External"/><Relationship Id="rId913" Type="http://schemas.openxmlformats.org/officeDocument/2006/relationships/hyperlink" Target="https://netblocks.org/reports/social-media-blocked-again-in-sri-lanka-eBOgWDBZ" TargetMode="External"/><Relationship Id="rId912" Type="http://schemas.openxmlformats.org/officeDocument/2006/relationships/hyperlink" Target="https://netblocks.org/reports/sri-lanka-blocks-social-media-for-third-time-in-one-month-M8JRjg80" TargetMode="External"/><Relationship Id="rId911" Type="http://schemas.openxmlformats.org/officeDocument/2006/relationships/hyperlink" Target="https://netblocks.org/reports/social-media-partially-restored-in-sri-lanka-following-third-block-r8Vg4QA5" TargetMode="External"/><Relationship Id="rId629" Type="http://schemas.openxmlformats.org/officeDocument/2006/relationships/hyperlink" Target="https://www.accessnow.org/keepiton/" TargetMode="External"/><Relationship Id="rId624" Type="http://schemas.openxmlformats.org/officeDocument/2006/relationships/hyperlink" Target="https://www.accessnow.org/keepiton/" TargetMode="External"/><Relationship Id="rId866" Type="http://schemas.openxmlformats.org/officeDocument/2006/relationships/hyperlink" Target="https://twitter.com/netblocks/status/1748710124900823286/photo/1" TargetMode="External"/><Relationship Id="rId623" Type="http://schemas.openxmlformats.org/officeDocument/2006/relationships/hyperlink" Target="https://www.accessnow.org/keepiton/" TargetMode="External"/><Relationship Id="rId865" Type="http://schemas.openxmlformats.org/officeDocument/2006/relationships/hyperlink" Target="https://twitter.com/netblocks/status/1755450713558171920" TargetMode="External"/><Relationship Id="rId622" Type="http://schemas.openxmlformats.org/officeDocument/2006/relationships/hyperlink" Target="https://www.accessnow.org/keepiton/" TargetMode="External"/><Relationship Id="rId864" Type="http://schemas.openxmlformats.org/officeDocument/2006/relationships/hyperlink" Target="https://twitter.com/hashtag/Pakistan?src=hashtag_click" TargetMode="External"/><Relationship Id="rId621" Type="http://schemas.openxmlformats.org/officeDocument/2006/relationships/hyperlink" Target="https://www.accessnow.org/keepiton/" TargetMode="External"/><Relationship Id="rId863" Type="http://schemas.openxmlformats.org/officeDocument/2006/relationships/hyperlink" Target="https://twitter.com/netblocks/status/1756283124978257991" TargetMode="External"/><Relationship Id="rId628" Type="http://schemas.openxmlformats.org/officeDocument/2006/relationships/hyperlink" Target="https://www.accessnow.org/keepiton/" TargetMode="External"/><Relationship Id="rId627" Type="http://schemas.openxmlformats.org/officeDocument/2006/relationships/hyperlink" Target="https://www.accessnow.org/keepiton/" TargetMode="External"/><Relationship Id="rId869" Type="http://schemas.openxmlformats.org/officeDocument/2006/relationships/hyperlink" Target="https://netblocks.org/reports/internet-disrupted-in-pakistan-amid-arrest-of-former-pm-imran-khan-JA6RmrAQ" TargetMode="External"/><Relationship Id="rId626" Type="http://schemas.openxmlformats.org/officeDocument/2006/relationships/hyperlink" Target="https://www.accessnow.org/keepiton/" TargetMode="External"/><Relationship Id="rId868" Type="http://schemas.openxmlformats.org/officeDocument/2006/relationships/hyperlink" Target="https://twitter.com/netblocks/status/1736639082795540983" TargetMode="External"/><Relationship Id="rId625" Type="http://schemas.openxmlformats.org/officeDocument/2006/relationships/hyperlink" Target="https://www.accessnow.org/keepiton/" TargetMode="External"/><Relationship Id="rId867" Type="http://schemas.openxmlformats.org/officeDocument/2006/relationships/hyperlink" Target="https://x.com/netblocks/status/1743984265619026084?s=20" TargetMode="External"/><Relationship Id="rId620" Type="http://schemas.openxmlformats.org/officeDocument/2006/relationships/hyperlink" Target="https://www.accessnow.org/keepiton/" TargetMode="External"/><Relationship Id="rId862" Type="http://schemas.openxmlformats.org/officeDocument/2006/relationships/hyperlink" Target="https://twitter.com/hashtag/Pakistan?src=hashtag_click" TargetMode="External"/><Relationship Id="rId861" Type="http://schemas.openxmlformats.org/officeDocument/2006/relationships/hyperlink" Target="https://twitter.com/netblocks/status/1758893268375339020" TargetMode="External"/><Relationship Id="rId860" Type="http://schemas.openxmlformats.org/officeDocument/2006/relationships/hyperlink" Target="https://twitter.com/netblocks/status/1758893268375339020" TargetMode="External"/><Relationship Id="rId619" Type="http://schemas.openxmlformats.org/officeDocument/2006/relationships/hyperlink" Target="https://www.accessnow.org/keepiton/" TargetMode="External"/><Relationship Id="rId618" Type="http://schemas.openxmlformats.org/officeDocument/2006/relationships/hyperlink" Target="https://www.accessnow.org/keepiton/" TargetMode="External"/><Relationship Id="rId613" Type="http://schemas.openxmlformats.org/officeDocument/2006/relationships/hyperlink" Target="https://www.accessnow.org/keepiton/" TargetMode="External"/><Relationship Id="rId855" Type="http://schemas.openxmlformats.org/officeDocument/2006/relationships/hyperlink" Target="https://www.accessnow.org/gulf-unblock-voip-covid19/" TargetMode="External"/><Relationship Id="rId612" Type="http://schemas.openxmlformats.org/officeDocument/2006/relationships/hyperlink" Target="https://www.accessnow.org/keepiton/" TargetMode="External"/><Relationship Id="rId854" Type="http://schemas.openxmlformats.org/officeDocument/2006/relationships/hyperlink" Target="https://www.feedough.com/history-of-whatsapp/" TargetMode="External"/><Relationship Id="rId611" Type="http://schemas.openxmlformats.org/officeDocument/2006/relationships/hyperlink" Target="https://www.accessnow.org/keepiton/" TargetMode="External"/><Relationship Id="rId853" Type="http://schemas.openxmlformats.org/officeDocument/2006/relationships/hyperlink" Target="http://omancommunityblog.blogspot.com/2007/10/voice-over-ip-voip-banned-in-oman.html" TargetMode="External"/><Relationship Id="rId610" Type="http://schemas.openxmlformats.org/officeDocument/2006/relationships/hyperlink" Target="https://www.accessnow.org/keepiton/" TargetMode="External"/><Relationship Id="rId852" Type="http://schemas.openxmlformats.org/officeDocument/2006/relationships/hyperlink" Target="https://www.accessnow.org/gulf-unblock-voip-covid19/" TargetMode="External"/><Relationship Id="rId617" Type="http://schemas.openxmlformats.org/officeDocument/2006/relationships/hyperlink" Target="https://www.accessnow.org/keepiton/" TargetMode="External"/><Relationship Id="rId859" Type="http://schemas.openxmlformats.org/officeDocument/2006/relationships/hyperlink" Target="https://twitter.com/hashtag/Pakistan?src=hashtag_click" TargetMode="External"/><Relationship Id="rId616" Type="http://schemas.openxmlformats.org/officeDocument/2006/relationships/hyperlink" Target="https://www.accessnow.org/keepiton/" TargetMode="External"/><Relationship Id="rId858" Type="http://schemas.openxmlformats.org/officeDocument/2006/relationships/hyperlink" Target="https://twitter.com/netblocks/status/1813512579064729738" TargetMode="External"/><Relationship Id="rId615" Type="http://schemas.openxmlformats.org/officeDocument/2006/relationships/hyperlink" Target="https://www.accessnow.org/keepiton/" TargetMode="External"/><Relationship Id="rId857" Type="http://schemas.openxmlformats.org/officeDocument/2006/relationships/hyperlink" Target="https://x.com/netblocks/status/1842952264174248375" TargetMode="External"/><Relationship Id="rId614" Type="http://schemas.openxmlformats.org/officeDocument/2006/relationships/hyperlink" Target="https://www.accessnow.org/keepiton/" TargetMode="External"/><Relationship Id="rId856" Type="http://schemas.openxmlformats.org/officeDocument/2006/relationships/hyperlink" Target="https://x.com/UsamaKhilji/status/1859095313769787760" TargetMode="External"/><Relationship Id="rId851" Type="http://schemas.openxmlformats.org/officeDocument/2006/relationships/hyperlink" Target="https://telegram.org/evolution?setln=de" TargetMode="External"/><Relationship Id="rId850" Type="http://schemas.openxmlformats.org/officeDocument/2006/relationships/hyperlink" Target="http://omancommunityblog.blogspot.com/2007/10/voice-over-ip-voip-banned-in-oman.html" TargetMode="External"/><Relationship Id="rId409" Type="http://schemas.openxmlformats.org/officeDocument/2006/relationships/hyperlink" Target="https://twitter.com/netblocks/status/1654603254934773760" TargetMode="External"/><Relationship Id="rId404" Type="http://schemas.openxmlformats.org/officeDocument/2006/relationships/hyperlink" Target="https://twitter.com/netblocks/status/1677248360648962049" TargetMode="External"/><Relationship Id="rId646" Type="http://schemas.openxmlformats.org/officeDocument/2006/relationships/hyperlink" Target="https://www.accessnow.org/keepiton/" TargetMode="External"/><Relationship Id="rId888" Type="http://schemas.openxmlformats.org/officeDocument/2006/relationships/hyperlink" Target="https://dunyanews.tv/en/Pakistan/447857-Mobile-phone-service-suspended-Lahore-Nawaz-Sharif-arrest" TargetMode="External"/><Relationship Id="rId403" Type="http://schemas.openxmlformats.org/officeDocument/2006/relationships/hyperlink" Target="https://twitter.com/netblocks/status/1679788472855396353" TargetMode="External"/><Relationship Id="rId645" Type="http://schemas.openxmlformats.org/officeDocument/2006/relationships/hyperlink" Target="https://www.accessnow.org/keepiton/" TargetMode="External"/><Relationship Id="rId887" Type="http://schemas.openxmlformats.org/officeDocument/2006/relationships/hyperlink" Target="https://www.accessnow.org/keepiton/" TargetMode="External"/><Relationship Id="rId402" Type="http://schemas.openxmlformats.org/officeDocument/2006/relationships/hyperlink" Target="https://twitter.com/netblocks/status/1682328809075269632" TargetMode="External"/><Relationship Id="rId644" Type="http://schemas.openxmlformats.org/officeDocument/2006/relationships/hyperlink" Target="https://www.accessnow.org/keepiton/" TargetMode="External"/><Relationship Id="rId886" Type="http://schemas.openxmlformats.org/officeDocument/2006/relationships/hyperlink" Target="https://www.dawn.com/news/1421358" TargetMode="External"/><Relationship Id="rId401" Type="http://schemas.openxmlformats.org/officeDocument/2006/relationships/hyperlink" Target="https://twitter.com/netblocks/status/1695065261873803611" TargetMode="External"/><Relationship Id="rId643" Type="http://schemas.openxmlformats.org/officeDocument/2006/relationships/hyperlink" Target="https://www.accessnow.org/keepiton/" TargetMode="External"/><Relationship Id="rId885" Type="http://schemas.openxmlformats.org/officeDocument/2006/relationships/hyperlink" Target="https://www.accessnow.org/keepiton/" TargetMode="External"/><Relationship Id="rId408" Type="http://schemas.openxmlformats.org/officeDocument/2006/relationships/hyperlink" Target="https://twitter.com/netblocks/status/1659535971849846784" TargetMode="External"/><Relationship Id="rId407" Type="http://schemas.openxmlformats.org/officeDocument/2006/relationships/hyperlink" Target="https://twitter.com/netblocks/status/1662059229589413890" TargetMode="External"/><Relationship Id="rId649" Type="http://schemas.openxmlformats.org/officeDocument/2006/relationships/hyperlink" Target="https://www.accessnow.org/keepiton/" TargetMode="External"/><Relationship Id="rId406" Type="http://schemas.openxmlformats.org/officeDocument/2006/relationships/hyperlink" Target="https://twitter.com/netblocks/status/1667138448208064513" TargetMode="External"/><Relationship Id="rId648" Type="http://schemas.openxmlformats.org/officeDocument/2006/relationships/hyperlink" Target="https://www.accessnow.org/keepiton/" TargetMode="External"/><Relationship Id="rId405" Type="http://schemas.openxmlformats.org/officeDocument/2006/relationships/hyperlink" Target="https://twitter.com/netblocks/status/1674745795579445248?ref_src=twsrc%5Etfw%7Ctwcamp%5Etweetembed%7Ctwterm%5E1674745795579445248%7Ctwgr%5Ea7135da6865fb0519f31ba0592ba5cfeddc96799%7Ctwcon%5Es1_&amp;ref_url=https%3A%2F%2Firanwire.com%2Fen%2Fnews%2F118061-zahedan-hit-by-weekly-protests-amid-heavy-security-atmosphere%2F" TargetMode="External"/><Relationship Id="rId647" Type="http://schemas.openxmlformats.org/officeDocument/2006/relationships/hyperlink" Target="https://www.accessnow.org/keepiton/" TargetMode="External"/><Relationship Id="rId889" Type="http://schemas.openxmlformats.org/officeDocument/2006/relationships/hyperlink" Target="https://netblocks.org/reports/blanket-nation-wide-ban-on-social-media-in-pakistan-dQ8oOx8n" TargetMode="External"/><Relationship Id="rId880" Type="http://schemas.openxmlformats.org/officeDocument/2006/relationships/hyperlink" Target="https://www.digitalrightsmonitor.pk/network-shutdowns-expected-in-islamabad-and-areas-of-kpk-during-jui-f-azadi-march/" TargetMode="External"/><Relationship Id="rId400" Type="http://schemas.openxmlformats.org/officeDocument/2006/relationships/hyperlink" Target="https://twitter.com/netblocks/status/1700152569803182199" TargetMode="External"/><Relationship Id="rId642" Type="http://schemas.openxmlformats.org/officeDocument/2006/relationships/hyperlink" Target="https://www.accessnow.org/keepiton/" TargetMode="External"/><Relationship Id="rId884" Type="http://schemas.openxmlformats.org/officeDocument/2006/relationships/hyperlink" Target="https://www.digitalrightsmonitor.pk/protest-against-the-asia-bibis-acquittal-cellular-services-suspended-for-few-hours/" TargetMode="External"/><Relationship Id="rId641" Type="http://schemas.openxmlformats.org/officeDocument/2006/relationships/hyperlink" Target="https://www.accessnow.org/keepiton/" TargetMode="External"/><Relationship Id="rId883" Type="http://schemas.openxmlformats.org/officeDocument/2006/relationships/hyperlink" Target="https://twitter.com/UsamaKhilji/status/1056592508354998272" TargetMode="External"/><Relationship Id="rId640" Type="http://schemas.openxmlformats.org/officeDocument/2006/relationships/hyperlink" Target="https://www.accessnow.org/keepiton/" TargetMode="External"/><Relationship Id="rId882" Type="http://schemas.openxmlformats.org/officeDocument/2006/relationships/hyperlink" Target="https://www.accessnow.org/keepiton/" TargetMode="External"/><Relationship Id="rId881" Type="http://schemas.openxmlformats.org/officeDocument/2006/relationships/hyperlink" Target="https://ioda.caida.org/ioda/dashboard" TargetMode="External"/><Relationship Id="rId635" Type="http://schemas.openxmlformats.org/officeDocument/2006/relationships/hyperlink" Target="https://www.accessnow.org/keepiton/" TargetMode="External"/><Relationship Id="rId877" Type="http://schemas.openxmlformats.org/officeDocument/2006/relationships/hyperlink" Target="https://www.ft.com/content/df26e1d8-2221-46a1-9223-49df71302d57" TargetMode="External"/><Relationship Id="rId634" Type="http://schemas.openxmlformats.org/officeDocument/2006/relationships/hyperlink" Target="https://www.accessnow.org/keepiton/" TargetMode="External"/><Relationship Id="rId876" Type="http://schemas.openxmlformats.org/officeDocument/2006/relationships/hyperlink" Target="https://www.accessnow.org/keepiton/" TargetMode="External"/><Relationship Id="rId633" Type="http://schemas.openxmlformats.org/officeDocument/2006/relationships/hyperlink" Target="https://www.accessnow.org/keepiton/" TargetMode="External"/><Relationship Id="rId875" Type="http://schemas.openxmlformats.org/officeDocument/2006/relationships/hyperlink" Target="https://netblocks.org/reports/internet-disrupted-in-pakistan-as-ousted-pms-mass-rally-takes-to-streets-xAGKoxAz" TargetMode="External"/><Relationship Id="rId632" Type="http://schemas.openxmlformats.org/officeDocument/2006/relationships/hyperlink" Target="https://www.accessnow.org/keepiton/" TargetMode="External"/><Relationship Id="rId874" Type="http://schemas.openxmlformats.org/officeDocument/2006/relationships/hyperlink" Target="https://netblocks.org/reports/youtube-disrupted-in-pakistan-as-former-pm-khan-streams-speech-XADMq6Bg" TargetMode="External"/><Relationship Id="rId639" Type="http://schemas.openxmlformats.org/officeDocument/2006/relationships/hyperlink" Target="https://www.accessnow.org/keepiton/" TargetMode="External"/><Relationship Id="rId638" Type="http://schemas.openxmlformats.org/officeDocument/2006/relationships/hyperlink" Target="https://www.accessnow.org/keepiton/" TargetMode="External"/><Relationship Id="rId637" Type="http://schemas.openxmlformats.org/officeDocument/2006/relationships/hyperlink" Target="https://www.accessnow.org/keepiton/" TargetMode="External"/><Relationship Id="rId879" Type="http://schemas.openxmlformats.org/officeDocument/2006/relationships/hyperlink" Target="https://netblocks.org/reports/pakistan-twitter-periscope-zoom-disruption-98aMV68o" TargetMode="External"/><Relationship Id="rId636" Type="http://schemas.openxmlformats.org/officeDocument/2006/relationships/hyperlink" Target="https://www.accessnow.org/keepiton/" TargetMode="External"/><Relationship Id="rId878" Type="http://schemas.openxmlformats.org/officeDocument/2006/relationships/hyperlink" Target="https://twitter.com/usamakhilji/status/1382957348008824832" TargetMode="External"/><Relationship Id="rId631" Type="http://schemas.openxmlformats.org/officeDocument/2006/relationships/hyperlink" Target="https://www.accessnow.org/keepiton/" TargetMode="External"/><Relationship Id="rId873" Type="http://schemas.openxmlformats.org/officeDocument/2006/relationships/hyperlink" Target="https://netblocks.org/reports/youtube-disrupted-in-pakistan-as-former-pm-khan-streams-speech-XADMq6Bg" TargetMode="External"/><Relationship Id="rId630" Type="http://schemas.openxmlformats.org/officeDocument/2006/relationships/hyperlink" Target="https://www.accessnow.org/keepiton/" TargetMode="External"/><Relationship Id="rId872" Type="http://schemas.openxmlformats.org/officeDocument/2006/relationships/hyperlink" Target="https://netblocks.org/reports/internet-disrupted-in-pakistan-amid-arrest-of-former-pm-imran-khan-JA6RmrAQ" TargetMode="External"/><Relationship Id="rId871" Type="http://schemas.openxmlformats.org/officeDocument/2006/relationships/hyperlink" Target="https://ioda.inetintel.cc.gatech.edu/country/PK?from=1683320400&amp;until=1684011599" TargetMode="External"/><Relationship Id="rId870" Type="http://schemas.openxmlformats.org/officeDocument/2006/relationships/hyperlink" Target="https://netblocks.org/reports/internet-disrupted-in-pakistan-amid-arrest-of-former-pm-imran-khan-JA6RmrAQ" TargetMode="External"/><Relationship Id="rId829" Type="http://schemas.openxmlformats.org/officeDocument/2006/relationships/hyperlink" Target="https://netblocks.org/reports/internet-and-streaming-services-blocked-in-kazakhstan-on-election-day-dAmOP7y9" TargetMode="External"/><Relationship Id="rId828" Type="http://schemas.openxmlformats.org/officeDocument/2006/relationships/hyperlink" Target="https://netblocks.org/reports/internet-and-streaming-services-blocked-in-kazakhstan-on-election-day-dAmOP7y9" TargetMode="External"/><Relationship Id="rId827" Type="http://schemas.openxmlformats.org/officeDocument/2006/relationships/hyperlink" Target="https://www.accessnow.org/internet-shutdowns-kazakhstan-feb-28-protests/" TargetMode="External"/><Relationship Id="rId822" Type="http://schemas.openxmlformats.org/officeDocument/2006/relationships/hyperlink" Target="https://netblocks.org/reports/facebook-live-streams-restricted-in-jordan-during-teachers-syndicate-protests-XB7K1xB7" TargetMode="External"/><Relationship Id="rId821" Type="http://schemas.openxmlformats.org/officeDocument/2006/relationships/hyperlink" Target="https://www.7iber.com/technology/%D8%AD%D8%AC%D8%A8-%D8%A7%D9%84%D8%B4%D8%A8%D9%83%D8%A7%D8%AA-%D8%A7%D9%84%D8%A7%D9%81%D8%AA%D8%B1%D8%A7%D8%B6%D9%8A%D8%A9-%D8%A7%D9%84%D8%AE%D8%A7%D8%B5%D8%A9-vpn/" TargetMode="External"/><Relationship Id="rId820" Type="http://schemas.openxmlformats.org/officeDocument/2006/relationships/hyperlink" Target="https://freedomhouse.org/country/jordan/freedom-net/2021" TargetMode="External"/><Relationship Id="rId826" Type="http://schemas.openxmlformats.org/officeDocument/2006/relationships/hyperlink" Target="https://www.accessnow.org/keepiton/" TargetMode="External"/><Relationship Id="rId825" Type="http://schemas.openxmlformats.org/officeDocument/2006/relationships/hyperlink" Target="https://netblocks.org/reports/internet-disrupted-in-kazakhstan-amid-energy-price-protests-oy9YQgy3" TargetMode="External"/><Relationship Id="rId824" Type="http://schemas.openxmlformats.org/officeDocument/2006/relationships/hyperlink" Target="https://twitter.com/gatech_ioda/status/1597218011479683072?s=20&amp;t=tOHt1lIo0RQnKrSTPmk0fg" TargetMode="External"/><Relationship Id="rId823" Type="http://schemas.openxmlformats.org/officeDocument/2006/relationships/hyperlink" Target="https://freedomhouse.org/country/jordan/freedom-net/2019" TargetMode="External"/><Relationship Id="rId819" Type="http://schemas.openxmlformats.org/officeDocument/2006/relationships/hyperlink" Target="https://www.accessnow.org/keepiton/" TargetMode="External"/><Relationship Id="rId818" Type="http://schemas.openxmlformats.org/officeDocument/2006/relationships/hyperlink" Target="https://twitter.com/jo_osa/status/1527345585186959360" TargetMode="External"/><Relationship Id="rId817" Type="http://schemas.openxmlformats.org/officeDocument/2006/relationships/hyperlink" Target="https://twitter.com/netblocks/status/1527316868737822722?s=20&amp;t=csiQWBGBSMAhRsC3A8R2Jw" TargetMode="External"/><Relationship Id="rId816" Type="http://schemas.openxmlformats.org/officeDocument/2006/relationships/hyperlink" Target="https://www.jamaicaobserver.com/latest-news/tiktok-in-talks-with-jordan-to-lift-month-long-ban/" TargetMode="External"/><Relationship Id="rId811" Type="http://schemas.openxmlformats.org/officeDocument/2006/relationships/hyperlink" Target="https://www.accessnow.org/keepiton/" TargetMode="External"/><Relationship Id="rId810" Type="http://schemas.openxmlformats.org/officeDocument/2006/relationships/hyperlink" Target="https://www.accessnow.org/keepiton/" TargetMode="External"/><Relationship Id="rId815" Type="http://schemas.openxmlformats.org/officeDocument/2006/relationships/hyperlink" Target="https://netblocks.org/reports/tiktok-restricted-in-jordan-amid-fuel-price-protests-gBLJVp84" TargetMode="External"/><Relationship Id="rId814" Type="http://schemas.openxmlformats.org/officeDocument/2006/relationships/hyperlink" Target="https://www.accessnow.org/keepiton/" TargetMode="External"/><Relationship Id="rId813" Type="http://schemas.openxmlformats.org/officeDocument/2006/relationships/hyperlink" Target="https://www.accessnow.org/keepiton/" TargetMode="External"/><Relationship Id="rId812" Type="http://schemas.openxmlformats.org/officeDocument/2006/relationships/hyperlink" Target="https://www.accessnow.org/keepiton/" TargetMode="External"/><Relationship Id="rId609" Type="http://schemas.openxmlformats.org/officeDocument/2006/relationships/hyperlink" Target="https://www.accessnow.org/keepiton/" TargetMode="External"/><Relationship Id="rId608" Type="http://schemas.openxmlformats.org/officeDocument/2006/relationships/hyperlink" Target="https://www.accessnow.org/keepiton/" TargetMode="External"/><Relationship Id="rId607" Type="http://schemas.openxmlformats.org/officeDocument/2006/relationships/hyperlink" Target="https://www.accessnow.org/keepiton/" TargetMode="External"/><Relationship Id="rId849" Type="http://schemas.openxmlformats.org/officeDocument/2006/relationships/hyperlink" Target="https://www.reuters.com/article/uk-oman-clubhouse-idUSKBN2B607P" TargetMode="External"/><Relationship Id="rId602" Type="http://schemas.openxmlformats.org/officeDocument/2006/relationships/hyperlink" Target="https://www.accessnow.org/keepiton/" TargetMode="External"/><Relationship Id="rId844" Type="http://schemas.openxmlformats.org/officeDocument/2006/relationships/hyperlink" Target="https://netblocks.org/reports/internet-disrupted-in-myanmar-amid-apparent-military-uprising-JBZrmlB7" TargetMode="External"/><Relationship Id="rId601" Type="http://schemas.openxmlformats.org/officeDocument/2006/relationships/hyperlink" Target="https://www.accessnow.org/keepiton/" TargetMode="External"/><Relationship Id="rId843" Type="http://schemas.openxmlformats.org/officeDocument/2006/relationships/hyperlink" Target="https://ioda.caida.org/ioda/dashboard" TargetMode="External"/><Relationship Id="rId600" Type="http://schemas.openxmlformats.org/officeDocument/2006/relationships/hyperlink" Target="https://www.accessnow.org/keepiton/" TargetMode="External"/><Relationship Id="rId842" Type="http://schemas.openxmlformats.org/officeDocument/2006/relationships/hyperlink" Target="https://netblocks.org/reports/internet-disrupted-in-myanmar-amid-apparent-military-uprising-JBZrmlB7" TargetMode="External"/><Relationship Id="rId841" Type="http://schemas.openxmlformats.org/officeDocument/2006/relationships/hyperlink" Target="https://www.accessnow.org/update-internet-access-censorship-myanmar/" TargetMode="External"/><Relationship Id="rId606" Type="http://schemas.openxmlformats.org/officeDocument/2006/relationships/hyperlink" Target="https://www.accessnow.org/keepiton/" TargetMode="External"/><Relationship Id="rId848" Type="http://schemas.openxmlformats.org/officeDocument/2006/relationships/hyperlink" Target="https://www.accessnow.org/clubhouse/" TargetMode="External"/><Relationship Id="rId605" Type="http://schemas.openxmlformats.org/officeDocument/2006/relationships/hyperlink" Target="https://www.accessnow.org/keepiton/" TargetMode="External"/><Relationship Id="rId847" Type="http://schemas.openxmlformats.org/officeDocument/2006/relationships/hyperlink" Target="https://kr-asia.com/myanmar-ends-worlds-longest-internet-shutdown-in-the-rakhine-and-chin-states" TargetMode="External"/><Relationship Id="rId604" Type="http://schemas.openxmlformats.org/officeDocument/2006/relationships/hyperlink" Target="https://www.accessnow.org/keepiton/" TargetMode="External"/><Relationship Id="rId846" Type="http://schemas.openxmlformats.org/officeDocument/2006/relationships/hyperlink" Target="https://www.aljazeera.com/news/2020/6/21/internet-blackout-in-myanmars-rakhine-enters-its-second-year" TargetMode="External"/><Relationship Id="rId603" Type="http://schemas.openxmlformats.org/officeDocument/2006/relationships/hyperlink" Target="https://www.accessnow.org/keepiton/" TargetMode="External"/><Relationship Id="rId845" Type="http://schemas.openxmlformats.org/officeDocument/2006/relationships/hyperlink" Target="https://thediplomat.com/2020/07/myanmar-must-end-its-internet-shutdown/" TargetMode="External"/><Relationship Id="rId840" Type="http://schemas.openxmlformats.org/officeDocument/2006/relationships/hyperlink" Target="https://netblocks.org/reports/internet-disrupted-in-myanmar-amid-apparent-military-uprising-JBZrmlB7" TargetMode="External"/><Relationship Id="rId839" Type="http://schemas.openxmlformats.org/officeDocument/2006/relationships/hyperlink" Target="https://ioda.caida.org/ioda/dashboard" TargetMode="External"/><Relationship Id="rId838" Type="http://schemas.openxmlformats.org/officeDocument/2006/relationships/hyperlink" Target="https://www.accessnow.org/keepiton/" TargetMode="External"/><Relationship Id="rId833" Type="http://schemas.openxmlformats.org/officeDocument/2006/relationships/hyperlink" Target="https://advox.globalvoices.org/2016/12/16/social-media-sites-blocked-in-kazakhstan-on-25th-anniversary-of-independence/" TargetMode="External"/><Relationship Id="rId832" Type="http://schemas.openxmlformats.org/officeDocument/2006/relationships/hyperlink" Target="https://eurasianet.org/kazakhstan-is-throttling-the-internet-when-the-presidents-rival-is-online" TargetMode="External"/><Relationship Id="rId831" Type="http://schemas.openxmlformats.org/officeDocument/2006/relationships/hyperlink" Target="https://www.accessnow.org/keepiton/" TargetMode="External"/><Relationship Id="rId830" Type="http://schemas.openxmlformats.org/officeDocument/2006/relationships/hyperlink" Target="https://netblocks.org/reports/social-media-blocked-in-kazakhstan-on-victory-day-eBOg47BZ" TargetMode="External"/><Relationship Id="rId837" Type="http://schemas.openxmlformats.org/officeDocument/2006/relationships/hyperlink" Target="https://www.myanmar-now.org/en/news/military-cuts-off-internet-connection-in-11-more-townships-in-northwestern-myanmar" TargetMode="External"/><Relationship Id="rId836" Type="http://schemas.openxmlformats.org/officeDocument/2006/relationships/hyperlink" Target="http://rfa.rfa.org/english/news/myanmar/internet-09162021205144.html" TargetMode="External"/><Relationship Id="rId835" Type="http://schemas.openxmlformats.org/officeDocument/2006/relationships/hyperlink" Target="https://www.accessnow.org/keepiton/" TargetMode="External"/><Relationship Id="rId834" Type="http://schemas.openxmlformats.org/officeDocument/2006/relationships/hyperlink" Target="https://netblocks.org/reports/internet-disrupted-in-kyrgyzstan-as-protests-break-out-over-alleged-vote-rigging-JBQp0YAo" TargetMode="External"/><Relationship Id="rId1059" Type="http://schemas.openxmlformats.org/officeDocument/2006/relationships/hyperlink" Target="https://netblocks.org/reports/streaming-platforms-blocked-in-venezuela-as-pompeo-speaks-from-colombia-MYAEm7A3" TargetMode="External"/><Relationship Id="rId228" Type="http://schemas.openxmlformats.org/officeDocument/2006/relationships/hyperlink" Target="https://www.nytimes.com/2017/09/25/business/china-whatsapp-blocked.html" TargetMode="External"/><Relationship Id="rId227" Type="http://schemas.openxmlformats.org/officeDocument/2006/relationships/hyperlink" Target="https://hongkongfp.com/2015/07/13/china-blocks-telegram-messenger-blamed-for-aiding-human-rights-lawyers/" TargetMode="External"/><Relationship Id="rId469" Type="http://schemas.openxmlformats.org/officeDocument/2006/relationships/hyperlink" Target="https://internetshutdowns.in/static-page/jammu-kashmir/" TargetMode="External"/><Relationship Id="rId226" Type="http://schemas.openxmlformats.org/officeDocument/2006/relationships/hyperlink" Target="https://money.cnn.com/2014/09/29/technology/instagram-blocked-china/index.html" TargetMode="External"/><Relationship Id="rId468" Type="http://schemas.openxmlformats.org/officeDocument/2006/relationships/hyperlink" Target="https://www.thehindu.com/news/national/mobile-internet-suspended-in-jks-poonch-rajouri-amid-massive-anti-terrorist-operation/article67668388.ece" TargetMode="External"/><Relationship Id="rId225" Type="http://schemas.openxmlformats.org/officeDocument/2006/relationships/hyperlink" Target="https://techcrunch.com/2009/07/07/china-blocks-access-to-twitter-facebook-after-riots/" TargetMode="External"/><Relationship Id="rId467" Type="http://schemas.openxmlformats.org/officeDocument/2006/relationships/hyperlink" Target="https://www.greaterkashmir.com/front-page-2/mobile-internet-services-suspended-in-rajouri-poonch-2/" TargetMode="External"/><Relationship Id="rId229" Type="http://schemas.openxmlformats.org/officeDocument/2006/relationships/hyperlink" Target="https://www.nknews.org/2018/01/whatsapp-messaging-service-blocked-in-north-korea-users-say/" TargetMode="External"/><Relationship Id="rId1050" Type="http://schemas.openxmlformats.org/officeDocument/2006/relationships/hyperlink" Target="https://netblocks.org/reports/streaming-services-disrupted-in-venezuela-prior-to-guaido-speech-on-national-assembly-blockade-QAd2kRyl" TargetMode="External"/><Relationship Id="rId220" Type="http://schemas.openxmlformats.org/officeDocument/2006/relationships/hyperlink" Target="https://www.accessnow.org/sudan-bangladesh-drc-gabon-start-2019-with-major-digital-rights-violations/" TargetMode="External"/><Relationship Id="rId462" Type="http://schemas.openxmlformats.org/officeDocument/2006/relationships/hyperlink" Target="https://netblocks.org/reports/study-shows-extent-of-iraq-internet-shutdown-and-social-media-restrictions-during-protests-zPyXjzAE" TargetMode="External"/><Relationship Id="rId1051" Type="http://schemas.openxmlformats.org/officeDocument/2006/relationships/hyperlink" Target="https://netblocks.org/reports/streaming-services-disrupted-in-venezuela-as-guaido-speaks-from-las-mercedes-QAd26Ryl" TargetMode="External"/><Relationship Id="rId461" Type="http://schemas.openxmlformats.org/officeDocument/2006/relationships/hyperlink" Target="https://twitter.com/IN4SM/status/995023510518059008" TargetMode="External"/><Relationship Id="rId1052" Type="http://schemas.openxmlformats.org/officeDocument/2006/relationships/hyperlink" Target="https://netblocks.org/reports/streaming-services-disrupted-in-venezuela-as-guaido-national-assembly-members-give-press-conference-on-zambrano-detention-PAYYpEAe" TargetMode="External"/><Relationship Id="rId460" Type="http://schemas.openxmlformats.org/officeDocument/2006/relationships/hyperlink" Target="https://www.accessnow.org/keepiton/" TargetMode="External"/><Relationship Id="rId1053" Type="http://schemas.openxmlformats.org/officeDocument/2006/relationships/hyperlink" Target="https://netblocks.org/reports/venezuela-national-assembly-live-streams-disrupted-by-internet-restriction-GXADwq8g" TargetMode="External"/><Relationship Id="rId1054" Type="http://schemas.openxmlformats.org/officeDocument/2006/relationships/hyperlink" Target="https://netblocks.org/reports/streaming-services-disrupted-in-venezuela-as-guaido-speaks-from-caracas-pA2zKmAb" TargetMode="External"/><Relationship Id="rId224" Type="http://schemas.openxmlformats.org/officeDocument/2006/relationships/hyperlink" Target="https://cpj.org/reports/2019/09/10-most-censored-eritrea-north-korea-turkmenistan-journalist/" TargetMode="External"/><Relationship Id="rId466" Type="http://schemas.openxmlformats.org/officeDocument/2006/relationships/hyperlink" Target="https://twitter.com/netblocks/status/1790403473734869145" TargetMode="External"/><Relationship Id="rId1055" Type="http://schemas.openxmlformats.org/officeDocument/2006/relationships/hyperlink" Target="https://netblocks.org/reports/streaming-services-disrupted-in-venezuela-as-guaido-speaks-following-public-uprising-xyMGnbAZ" TargetMode="External"/><Relationship Id="rId223" Type="http://schemas.openxmlformats.org/officeDocument/2006/relationships/hyperlink" Target="https://www.ndtv.com/world-news/bangladesh-lifts-ban-on-all-social-media-1254935" TargetMode="External"/><Relationship Id="rId465" Type="http://schemas.openxmlformats.org/officeDocument/2006/relationships/hyperlink" Target="https://twitter.com/hashtag/Pakistan?src=hashtag_click" TargetMode="External"/><Relationship Id="rId1056" Type="http://schemas.openxmlformats.org/officeDocument/2006/relationships/hyperlink" Target="https://netblocks.org/reports/internet-services-restricted-in-venezuela-amid-military-uprising-xAG4RGBz" TargetMode="External"/><Relationship Id="rId222" Type="http://schemas.openxmlformats.org/officeDocument/2006/relationships/hyperlink" Target="https://www.bbc.co.uk/news/world-asia-34860667" TargetMode="External"/><Relationship Id="rId464" Type="http://schemas.openxmlformats.org/officeDocument/2006/relationships/hyperlink" Target="https://www.amnesty.org.uk/press-releases/iraq-internet-cut-stop-protesters-posting-images-security-force-attacks" TargetMode="External"/><Relationship Id="rId1057" Type="http://schemas.openxmlformats.org/officeDocument/2006/relationships/hyperlink" Target="https://netblocks.org/reports/instagram-and-periscope-restricted-in-venezuela-as-guaido-discusses-aid-committees-XADEDGBg" TargetMode="External"/><Relationship Id="rId221" Type="http://schemas.openxmlformats.org/officeDocument/2006/relationships/hyperlink" Target="https://netblocks.org/reports/bangladesh-internet-shutdown-student-protests-jDA37KAW" TargetMode="External"/><Relationship Id="rId463" Type="http://schemas.openxmlformats.org/officeDocument/2006/relationships/hyperlink" Target="https://www.accessnow.org/keepiton/" TargetMode="External"/><Relationship Id="rId1058" Type="http://schemas.openxmlformats.org/officeDocument/2006/relationships/hyperlink" Target="https://netblocks.org/reports/social-media-restricted-in-venezuela-as-guaido-speaks-from-caracas-0pA2X5yb" TargetMode="External"/><Relationship Id="rId1048" Type="http://schemas.openxmlformats.org/officeDocument/2006/relationships/hyperlink" Target="https://netblocks.org/reports/youtube-and-online-services-restricted-in-venezuela-as-guaido-speaks-from-guatire-zA4zDlyR" TargetMode="External"/><Relationship Id="rId1049" Type="http://schemas.openxmlformats.org/officeDocument/2006/relationships/hyperlink" Target="https://netblocks.org/reports/streaming-services-disrupted-in-venezuela-prior-to-guaido-meeting-with-professionals-and-technicians-nAgepMyp" TargetMode="External"/><Relationship Id="rId217" Type="http://schemas.openxmlformats.org/officeDocument/2006/relationships/hyperlink" Target="https://www.accessnow.org/keepiton/" TargetMode="External"/><Relationship Id="rId459" Type="http://schemas.openxmlformats.org/officeDocument/2006/relationships/hyperlink" Target="https://netblocks.org/reports/iraq-blocks-facebook-twitter-whatsapp-and-instagram-amid-civil-unrest-zA4zGlyR" TargetMode="External"/><Relationship Id="rId216" Type="http://schemas.openxmlformats.org/officeDocument/2006/relationships/hyperlink" Target="https://netblocks.org/reports/facebook-services-restricted-in-bangladesh-amid-anti-modi-protests-JA6pqEyQ" TargetMode="External"/><Relationship Id="rId458" Type="http://schemas.openxmlformats.org/officeDocument/2006/relationships/hyperlink" Target="https://netblocks.org/reports/iraq-blocks-facebook-twitter-whatsapp-and-instagram-amid-civil-unrest-zA4zGlyR" TargetMode="External"/><Relationship Id="rId215" Type="http://schemas.openxmlformats.org/officeDocument/2006/relationships/hyperlink" Target="https://twitter.com/netblocks/status/1813293423157555534" TargetMode="External"/><Relationship Id="rId457" Type="http://schemas.openxmlformats.org/officeDocument/2006/relationships/hyperlink" Target="https://netblocks.org/reports/iraq-shuts-down-internet-again-as-protests-intensify-Q8oOWz8n" TargetMode="External"/><Relationship Id="rId699" Type="http://schemas.openxmlformats.org/officeDocument/2006/relationships/hyperlink" Target="https://www.accessnow.org/keepiton/" TargetMode="External"/><Relationship Id="rId214" Type="http://schemas.openxmlformats.org/officeDocument/2006/relationships/hyperlink" Target="https://twitter.com/hashtag/Bangladesh?src=hashtag_click" TargetMode="External"/><Relationship Id="rId456" Type="http://schemas.openxmlformats.org/officeDocument/2006/relationships/hyperlink" Target="https://netblocks.org/reports/telegram-restricted-in-iraq-over-personal-data-leaks-9AkJ4o8D" TargetMode="External"/><Relationship Id="rId698" Type="http://schemas.openxmlformats.org/officeDocument/2006/relationships/hyperlink" Target="https://www.accessnow.org/keepiton/" TargetMode="External"/><Relationship Id="rId219" Type="http://schemas.openxmlformats.org/officeDocument/2006/relationships/hyperlink" Target="https://www.accessnow.org/sudan-bangladesh-drc-gabon-start-2019-with-major-digital-rights-violations/" TargetMode="External"/><Relationship Id="rId218" Type="http://schemas.openxmlformats.org/officeDocument/2006/relationships/hyperlink" Target="https://www.hrw.org/news/2019/09/13/bangladesh-internet-blackout-rohingya-refugees" TargetMode="External"/><Relationship Id="rId451" Type="http://schemas.openxmlformats.org/officeDocument/2006/relationships/hyperlink" Target="https://economictimes.indiatimes.com/tech/internet/mobile-phones-facebook-youtube-cut-in-iran/articleshow/4653915.cms?from=mdr" TargetMode="External"/><Relationship Id="rId693" Type="http://schemas.openxmlformats.org/officeDocument/2006/relationships/hyperlink" Target="https://www.accessnow.org/keepiton/" TargetMode="External"/><Relationship Id="rId1040" Type="http://schemas.openxmlformats.org/officeDocument/2006/relationships/hyperlink" Target="https://twitter.com/netblocks/status/1716271061287776611" TargetMode="External"/><Relationship Id="rId450" Type="http://schemas.openxmlformats.org/officeDocument/2006/relationships/hyperlink" Target="http://america.aljazeera.com/opinions/2014/4/iran-twitter-rouhaniinternetcensorship.html" TargetMode="External"/><Relationship Id="rId692" Type="http://schemas.openxmlformats.org/officeDocument/2006/relationships/hyperlink" Target="https://www.accessnow.org/keepiton/" TargetMode="External"/><Relationship Id="rId1041" Type="http://schemas.openxmlformats.org/officeDocument/2006/relationships/hyperlink" Target="https://netblocks.org/reports/social-media-restricted-in-venezuela-on-day-of-national-assembly-leadership-vote-3AnEVk82" TargetMode="External"/><Relationship Id="rId691" Type="http://schemas.openxmlformats.org/officeDocument/2006/relationships/hyperlink" Target="https://www.accessnow.org/keepiton/" TargetMode="External"/><Relationship Id="rId1042" Type="http://schemas.openxmlformats.org/officeDocument/2006/relationships/hyperlink" Target="https://netblocks.org/reports/twitter-facebook-and-instagram-restricted-in-venezuela-on-day-of-planned-protests-98aMZv8o" TargetMode="External"/><Relationship Id="rId690" Type="http://schemas.openxmlformats.org/officeDocument/2006/relationships/hyperlink" Target="https://www.accessnow.org/keepiton/" TargetMode="External"/><Relationship Id="rId1043" Type="http://schemas.openxmlformats.org/officeDocument/2006/relationships/hyperlink" Target="https://netblocks.org/reports/twitter-and-instagram-restricted-in-venezuela-during-national-assembly-session-XB7wk1B7" TargetMode="External"/><Relationship Id="rId213" Type="http://schemas.openxmlformats.org/officeDocument/2006/relationships/hyperlink" Target="https://twitter.com/netblocks/status/1813977740028301318" TargetMode="External"/><Relationship Id="rId455" Type="http://schemas.openxmlformats.org/officeDocument/2006/relationships/hyperlink" Target="https://www.nytimes.com/2018/05/01/world/middleeast/iran-telegram-app-russia.html" TargetMode="External"/><Relationship Id="rId697" Type="http://schemas.openxmlformats.org/officeDocument/2006/relationships/hyperlink" Target="https://www.accessnow.org/keepiton/" TargetMode="External"/><Relationship Id="rId1044" Type="http://schemas.openxmlformats.org/officeDocument/2006/relationships/hyperlink" Target="https://netblocks.org/reports/streaming-services-restricted-in-venezuela-as-guaido-holds-press-conference-in-caracas-xyMGQGAZ" TargetMode="External"/><Relationship Id="rId212" Type="http://schemas.openxmlformats.org/officeDocument/2006/relationships/hyperlink" Target="https://www.firstpost.com/world/bangladesh-blocks-instagram-facebook-tiktok-and-other-social-media-platforms-amid-protests-13800336.html" TargetMode="External"/><Relationship Id="rId454" Type="http://schemas.openxmlformats.org/officeDocument/2006/relationships/hyperlink" Target="https://www.aljazeera.com/news/2024/12/24/iran-to-lift-ban-on-whatsapp-google-play-state-media-report" TargetMode="External"/><Relationship Id="rId696" Type="http://schemas.openxmlformats.org/officeDocument/2006/relationships/hyperlink" Target="https://www.accessnow.org/keepiton/" TargetMode="External"/><Relationship Id="rId1045" Type="http://schemas.openxmlformats.org/officeDocument/2006/relationships/hyperlink" Target="https://netblocks.org/reports/streaming-services-restricted-in-venezuela-as-guaido-discusses-national-plan-from-andres-bello-catholic-university-PyXR1zAE" TargetMode="External"/><Relationship Id="rId211" Type="http://schemas.openxmlformats.org/officeDocument/2006/relationships/hyperlink" Target="https://www.thedailystar.net/tech-startup/news/facebook-whatsapp-reportedly-inaccessible-the-country-3669401" TargetMode="External"/><Relationship Id="rId453" Type="http://schemas.openxmlformats.org/officeDocument/2006/relationships/hyperlink" Target="https://netblocks.org/reports/internet-disrupted-in-iran-amid-protests-over-death-of-mahsa-amini-X8qVEwAD" TargetMode="External"/><Relationship Id="rId695" Type="http://schemas.openxmlformats.org/officeDocument/2006/relationships/hyperlink" Target="https://www.accessnow.org/keepiton/" TargetMode="External"/><Relationship Id="rId1046" Type="http://schemas.openxmlformats.org/officeDocument/2006/relationships/hyperlink" Target="https://netblocks.org/reports/youtube-and-online-services-restricted-in-venezuela-as-guaido-tours-los-teques-miranda-QAd2qPyl" TargetMode="External"/><Relationship Id="rId210" Type="http://schemas.openxmlformats.org/officeDocument/2006/relationships/hyperlink" Target="https://x.com/IODA_live/status/1820421131288887304" TargetMode="External"/><Relationship Id="rId452" Type="http://schemas.openxmlformats.org/officeDocument/2006/relationships/hyperlink" Target="https://twitter.com/netblocks/status/1573684979896303618" TargetMode="External"/><Relationship Id="rId694" Type="http://schemas.openxmlformats.org/officeDocument/2006/relationships/hyperlink" Target="https://www.accessnow.org/keepiton/" TargetMode="External"/><Relationship Id="rId1047" Type="http://schemas.openxmlformats.org/officeDocument/2006/relationships/hyperlink" Target="https://netblocks.org/reports/youtube-and-periscope-disrupted-in-venezuela-during-national-assembly-live-stream-JBQxZbAo" TargetMode="External"/><Relationship Id="rId491" Type="http://schemas.openxmlformats.org/officeDocument/2006/relationships/hyperlink" Target="https://internetshutdowns.in/static-page/jammu-kashmir/" TargetMode="External"/><Relationship Id="rId490" Type="http://schemas.openxmlformats.org/officeDocument/2006/relationships/hyperlink" Target="https://internetshutdowns.in/static-page/jammu-kashmir/" TargetMode="External"/><Relationship Id="rId249" Type="http://schemas.openxmlformats.org/officeDocument/2006/relationships/hyperlink" Target="https://internetshutdowns.in/" TargetMode="External"/><Relationship Id="rId248" Type="http://schemas.openxmlformats.org/officeDocument/2006/relationships/hyperlink" Target="https://www.ndtv.com/india-news/temporary-internet-shutdown-in-assam-tomorrow-to-stop-cheating-in-recruitment-exam-6566135" TargetMode="External"/><Relationship Id="rId247" Type="http://schemas.openxmlformats.org/officeDocument/2006/relationships/hyperlink" Target="https://www.deccanherald.com/india/manipur/fresh-manipur-government-order-says-internet-services-suspended-only-in-5-valley-districts-3184423" TargetMode="External"/><Relationship Id="rId489" Type="http://schemas.openxmlformats.org/officeDocument/2006/relationships/hyperlink" Target="https://internetshutdowns.in/static-page/jammu-kashmir/" TargetMode="External"/><Relationship Id="rId1070" Type="http://schemas.openxmlformats.org/officeDocument/2006/relationships/hyperlink" Target="https://netblocks.org/reports/venezuela-national-assembly-live-streams-disrupted-4M8JQvy0" TargetMode="External"/><Relationship Id="rId1071" Type="http://schemas.openxmlformats.org/officeDocument/2006/relationships/hyperlink" Target="https://netblocks.org/reports/venezuela-total-internet-blackouts-qr8VeYy5" TargetMode="External"/><Relationship Id="rId1072" Type="http://schemas.openxmlformats.org/officeDocument/2006/relationships/hyperlink" Target="https://netblocks.org/reports/venezuela-total-internet-blackouts-qr8VeYy5" TargetMode="External"/><Relationship Id="rId242" Type="http://schemas.openxmlformats.org/officeDocument/2006/relationships/hyperlink" Target="https://www.newindianexpress.com/nation/2024/Oct/16/ban-on-internet-as-tensions-erupt-in-tripura-district" TargetMode="External"/><Relationship Id="rId484" Type="http://schemas.openxmlformats.org/officeDocument/2006/relationships/hyperlink" Target="https://internetshutdowns.in/static-page/jammu-kashmir/" TargetMode="External"/><Relationship Id="rId1073" Type="http://schemas.openxmlformats.org/officeDocument/2006/relationships/hyperlink" Target="https://netblocks.org/reports/major-internet-disruptions-in-venezuela-amid-protests-4JBQ2kyo" TargetMode="External"/><Relationship Id="rId241" Type="http://schemas.openxmlformats.org/officeDocument/2006/relationships/hyperlink" Target="https://internetshutdowns.in/media/shutdown_order-compressed_b9e569c1-be93-4372-a706-5070e53525f8._c9eb12be-2f6d-4d44-b7b1-_rVyAzoZ.pdf" TargetMode="External"/><Relationship Id="rId483" Type="http://schemas.openxmlformats.org/officeDocument/2006/relationships/hyperlink" Target="https://internetshutdowns.in/static-page/jammu-kashmir/" TargetMode="External"/><Relationship Id="rId1074" Type="http://schemas.openxmlformats.org/officeDocument/2006/relationships/hyperlink" Target="https://netblocks.org/reports/venezuela-social-media-restricted-amid-caracas-incident-zgBLoXA4" TargetMode="External"/><Relationship Id="rId240" Type="http://schemas.openxmlformats.org/officeDocument/2006/relationships/hyperlink" Target="https://internetshutdowns.in/" TargetMode="External"/><Relationship Id="rId482" Type="http://schemas.openxmlformats.org/officeDocument/2006/relationships/hyperlink" Target="https://internetshutdowns.in/static-page/jammu-kashmir/" TargetMode="External"/><Relationship Id="rId1075" Type="http://schemas.openxmlformats.org/officeDocument/2006/relationships/drawing" Target="../drawings/drawing2.xml"/><Relationship Id="rId481" Type="http://schemas.openxmlformats.org/officeDocument/2006/relationships/hyperlink" Target="https://internetshutdowns.in/static-page/jammu-kashmir/" TargetMode="External"/><Relationship Id="rId246" Type="http://schemas.openxmlformats.org/officeDocument/2006/relationships/hyperlink" Target="https://www.news9live.com/state/telangana/internet-shutdown-in-jainoor-asifabad-after-clashes-erupt-between-two-communities-2682780" TargetMode="External"/><Relationship Id="rId488" Type="http://schemas.openxmlformats.org/officeDocument/2006/relationships/hyperlink" Target="https://internetshutdowns.in/static-page/jammu-kashmir/" TargetMode="External"/><Relationship Id="rId245" Type="http://schemas.openxmlformats.org/officeDocument/2006/relationships/hyperlink" Target="https://x.com/ANI/status/1837313165950079421" TargetMode="External"/><Relationship Id="rId487" Type="http://schemas.openxmlformats.org/officeDocument/2006/relationships/hyperlink" Target="https://internetshutdowns.in/static-page/jammu-kashmir/" TargetMode="External"/><Relationship Id="rId244" Type="http://schemas.openxmlformats.org/officeDocument/2006/relationships/hyperlink" Target="https://www.indiatoday.in/india/story/odisha-internet-shutdown-communal-clashes-police-personnel-injured-communal-clashes-bhadrak-2607884-2024-09-28" TargetMode="External"/><Relationship Id="rId486" Type="http://schemas.openxmlformats.org/officeDocument/2006/relationships/hyperlink" Target="https://internetshutdowns.in/static-page/jammu-kashmir/" TargetMode="External"/><Relationship Id="rId243" Type="http://schemas.openxmlformats.org/officeDocument/2006/relationships/hyperlink" Target="https://timesofindia.indiatimes.com/city/lucknow/30-detained-internet-shutdown-after-massive-violence-erupts-in-ups-bahraich/articleshow/114209150.cms" TargetMode="External"/><Relationship Id="rId485" Type="http://schemas.openxmlformats.org/officeDocument/2006/relationships/hyperlink" Target="https://internetshutdowns.in/static-page/jammu-kashmir/" TargetMode="External"/><Relationship Id="rId480" Type="http://schemas.openxmlformats.org/officeDocument/2006/relationships/hyperlink" Target="https://internetshutdowns.in/static-page/jammu-kashmir/" TargetMode="External"/><Relationship Id="rId239" Type="http://schemas.openxmlformats.org/officeDocument/2006/relationships/hyperlink" Target="https://www.hindustantimes.com/india-news/curfew-reimposed-in-imphal-valley-no-internet-in-7-districts-101731781639429.html" TargetMode="External"/><Relationship Id="rId238" Type="http://schemas.openxmlformats.org/officeDocument/2006/relationships/hyperlink" Target="https://internetshutdowns.in/" TargetMode="External"/><Relationship Id="rId237" Type="http://schemas.openxmlformats.org/officeDocument/2006/relationships/hyperlink" Target="https://internetshutdowns.in/" TargetMode="External"/><Relationship Id="rId479" Type="http://schemas.openxmlformats.org/officeDocument/2006/relationships/hyperlink" Target="https://internetshutdowns.in/static-page/jammu-kashmir/" TargetMode="External"/><Relationship Id="rId236" Type="http://schemas.openxmlformats.org/officeDocument/2006/relationships/hyperlink" Target="https://internetshutdowns.in/" TargetMode="External"/><Relationship Id="rId478" Type="http://schemas.openxmlformats.org/officeDocument/2006/relationships/hyperlink" Target="https://internetshutdowns.in/static-page/jammu-kashmir/" TargetMode="External"/><Relationship Id="rId1060" Type="http://schemas.openxmlformats.org/officeDocument/2006/relationships/hyperlink" Target="https://netblocks.org/reports/venezuela-internet-censorship-resumes-while-much-of-country-remains-offline-Pl8W20yO" TargetMode="External"/><Relationship Id="rId1061" Type="http://schemas.openxmlformats.org/officeDocument/2006/relationships/hyperlink" Target="https://netblocks.org/reports/new-targeted-youtube-restriction-in-venezuela-WRAe3Pyg" TargetMode="External"/><Relationship Id="rId231" Type="http://schemas.openxmlformats.org/officeDocument/2006/relationships/hyperlink" Target="https://www.reuters.com/article/us-usa-cyber-northkorea/north-koreas-elite-quitting-facebook-concealing-internet-activity-researcher-idUSKBN1HW1XC" TargetMode="External"/><Relationship Id="rId473" Type="http://schemas.openxmlformats.org/officeDocument/2006/relationships/hyperlink" Target="https://internetshutdowns.in/static-page/jammu-kashmir/" TargetMode="External"/><Relationship Id="rId1062" Type="http://schemas.openxmlformats.org/officeDocument/2006/relationships/hyperlink" Target="https://netblocks.org/reports/twitter-and-soundcloud-blocked-in-venezuela-as-guaido-returns-noy994y3" TargetMode="External"/><Relationship Id="rId230" Type="http://schemas.openxmlformats.org/officeDocument/2006/relationships/hyperlink" Target="https://www.theguardian.com/world/2016/apr/01/north-korea-announces-blocks-on-facebook-twitter-and-youtube" TargetMode="External"/><Relationship Id="rId472" Type="http://schemas.openxmlformats.org/officeDocument/2006/relationships/hyperlink" Target="https://jkhome.nic.in/pdf/01(TSTS)of2023.pdf" TargetMode="External"/><Relationship Id="rId1063" Type="http://schemas.openxmlformats.org/officeDocument/2006/relationships/hyperlink" Target="https://netblocks.org/reports/twitter-blocked-in-venezuela-noy9d4B3" TargetMode="External"/><Relationship Id="rId471" Type="http://schemas.openxmlformats.org/officeDocument/2006/relationships/hyperlink" Target="https://internetshutdowns.in/static-page/jammu-kashmir/" TargetMode="External"/><Relationship Id="rId1064" Type="http://schemas.openxmlformats.org/officeDocument/2006/relationships/hyperlink" Target="https://netblocks.org/reports/twitter-blocked-in-venezuela-noy9d4B3" TargetMode="External"/><Relationship Id="rId470" Type="http://schemas.openxmlformats.org/officeDocument/2006/relationships/hyperlink" Target="https://jkhome.nic.in/pdf/02(TSTS)of2023.pdf" TargetMode="External"/><Relationship Id="rId1065" Type="http://schemas.openxmlformats.org/officeDocument/2006/relationships/hyperlink" Target="https://netblocks.org/reports/web-platforms-blocked-in-venezuela-colombia-border-standoff-4JBQzYyo" TargetMode="External"/><Relationship Id="rId235" Type="http://schemas.openxmlformats.org/officeDocument/2006/relationships/hyperlink" Target="https://internetshutdowns.in/" TargetMode="External"/><Relationship Id="rId477" Type="http://schemas.openxmlformats.org/officeDocument/2006/relationships/hyperlink" Target="https://internetshutdowns.in/static-page/jammu-kashmir/" TargetMode="External"/><Relationship Id="rId1066" Type="http://schemas.openxmlformats.org/officeDocument/2006/relationships/hyperlink" Target="https://netblocks.org/reports/youtube-blocked-during-venezuela-aid-live-concert-3RyjdbAg" TargetMode="External"/><Relationship Id="rId234" Type="http://schemas.openxmlformats.org/officeDocument/2006/relationships/hyperlink" Target="https://freedomhouse.org/country/georgia/freedom-net/2018" TargetMode="External"/><Relationship Id="rId476" Type="http://schemas.openxmlformats.org/officeDocument/2006/relationships/hyperlink" Target="https://internetshutdowns.in/static-page/jammu-kashmir/" TargetMode="External"/><Relationship Id="rId1067" Type="http://schemas.openxmlformats.org/officeDocument/2006/relationships/hyperlink" Target="https://netblocks.org/reports/youtube-and-google-services-restricted-in-venezuela-as-guaido-speaks-v7yN4EAq" TargetMode="External"/><Relationship Id="rId233" Type="http://schemas.openxmlformats.org/officeDocument/2006/relationships/hyperlink" Target="https://freedomhouse.org/country/georgia/freedom-net/2018" TargetMode="External"/><Relationship Id="rId475" Type="http://schemas.openxmlformats.org/officeDocument/2006/relationships/hyperlink" Target="https://internetshutdowns.in/static-page/jammu-kashmir/" TargetMode="External"/><Relationship Id="rId1068" Type="http://schemas.openxmlformats.org/officeDocument/2006/relationships/hyperlink" Target="https://netblocks.org/reports/disruptions-in-venezuela-affecting-youtube-and-other-services-during-political-rally-WJBZda86" TargetMode="External"/><Relationship Id="rId232" Type="http://schemas.openxmlformats.org/officeDocument/2006/relationships/hyperlink" Target="https://www.theguardian.com/world/2015/jun/23/north-korea-blocks-photosharing-app" TargetMode="External"/><Relationship Id="rId474" Type="http://schemas.openxmlformats.org/officeDocument/2006/relationships/hyperlink" Target="https://internetshutdowns.in/static-page/jammu-kashmir/" TargetMode="External"/><Relationship Id="rId1069" Type="http://schemas.openxmlformats.org/officeDocument/2006/relationships/hyperlink" Target="https://netblocks.org/reports/new-internet-outages-in-venezuela-indicate-regional-digital-curfew-XaAw9qyM" TargetMode="External"/><Relationship Id="rId1015" Type="http://schemas.openxmlformats.org/officeDocument/2006/relationships/hyperlink" Target="https://latamjournalismreview.org/articles/cuba-sees-increase-of-124-in-violations-against-press-freedom-in-january-and-journalists-anticipate-trend-of-greater-repression/" TargetMode="External"/><Relationship Id="rId1016" Type="http://schemas.openxmlformats.org/officeDocument/2006/relationships/hyperlink" Target="https://cpj.org/2021/01/cuban-internet-access-cut-amid-free-expression-protest-journalist-harassed/" TargetMode="External"/><Relationship Id="rId1017" Type="http://schemas.openxmlformats.org/officeDocument/2006/relationships/hyperlink" Target="https://netblocks.org/reports/social-media-disrupted-in-cuba-amid-protests-for-artistic-freedom-aAwrqa8M" TargetMode="External"/><Relationship Id="rId1018" Type="http://schemas.openxmlformats.org/officeDocument/2006/relationships/hyperlink" Target="https://x.com/netblocks/status/1835290491094483100" TargetMode="External"/><Relationship Id="rId1019" Type="http://schemas.openxmlformats.org/officeDocument/2006/relationships/hyperlink" Target="https://x.com/hashtag/ElSalvador?src=hashtag_click" TargetMode="External"/><Relationship Id="rId426" Type="http://schemas.openxmlformats.org/officeDocument/2006/relationships/hyperlink" Target="https://ioda.inetintel.cc.gatech.edu/country/IR?from=1663880400&amp;until=1667339999" TargetMode="External"/><Relationship Id="rId668" Type="http://schemas.openxmlformats.org/officeDocument/2006/relationships/hyperlink" Target="https://www.accessnow.org/keepiton/" TargetMode="External"/><Relationship Id="rId425" Type="http://schemas.openxmlformats.org/officeDocument/2006/relationships/hyperlink" Target="https://twitter.com/netblocks" TargetMode="External"/><Relationship Id="rId667" Type="http://schemas.openxmlformats.org/officeDocument/2006/relationships/hyperlink" Target="https://www.accessnow.org/keepiton/" TargetMode="External"/><Relationship Id="rId424" Type="http://schemas.openxmlformats.org/officeDocument/2006/relationships/hyperlink" Target="https://netblocks.org/reports/internet-disrupted-in-iran-amid-protests-over-death-of-mahsa-amini-X8qVEwAD" TargetMode="External"/><Relationship Id="rId666" Type="http://schemas.openxmlformats.org/officeDocument/2006/relationships/hyperlink" Target="https://www.accessnow.org/keepiton/" TargetMode="External"/><Relationship Id="rId423" Type="http://schemas.openxmlformats.org/officeDocument/2006/relationships/hyperlink" Target="https://twitter.com/netblocks/status/1594861678583287810" TargetMode="External"/><Relationship Id="rId665" Type="http://schemas.openxmlformats.org/officeDocument/2006/relationships/hyperlink" Target="https://www.accessnow.org/keepiton/" TargetMode="External"/><Relationship Id="rId429" Type="http://schemas.openxmlformats.org/officeDocument/2006/relationships/hyperlink" Target="https://netblocks.org/reports/internet-disrupted-in-iran-amid-protests-over-death-of-mahsa-amini-X8qVEwAD" TargetMode="External"/><Relationship Id="rId428" Type="http://schemas.openxmlformats.org/officeDocument/2006/relationships/hyperlink" Target="https://netblocks.org/reports/internet-disrupted-in-iran-amid-protests-over-death-of-mahsa-amini-X8qVEwAD" TargetMode="External"/><Relationship Id="rId427" Type="http://schemas.openxmlformats.org/officeDocument/2006/relationships/hyperlink" Target="https://netblocks.org/reports/internet-disrupted-in-iran-amid-protests-over-death-of-mahsa-amini-X8qVEwAD" TargetMode="External"/><Relationship Id="rId669" Type="http://schemas.openxmlformats.org/officeDocument/2006/relationships/hyperlink" Target="https://www.accessnow.org/keepiton/" TargetMode="External"/><Relationship Id="rId660" Type="http://schemas.openxmlformats.org/officeDocument/2006/relationships/hyperlink" Target="https://www.accessnow.org/keepiton/" TargetMode="External"/><Relationship Id="rId1010" Type="http://schemas.openxmlformats.org/officeDocument/2006/relationships/hyperlink" Target="https://netblocks.org/reports/social-media-restricted-in-cuba-amid-widening-anti-government-protests-QAdrmwyl" TargetMode="External"/><Relationship Id="rId422" Type="http://schemas.openxmlformats.org/officeDocument/2006/relationships/hyperlink" Target="https://twitter.com/Netblocks/status/1601116005987913729" TargetMode="External"/><Relationship Id="rId664" Type="http://schemas.openxmlformats.org/officeDocument/2006/relationships/hyperlink" Target="https://www.accessnow.org/keepiton/" TargetMode="External"/><Relationship Id="rId1011" Type="http://schemas.openxmlformats.org/officeDocument/2006/relationships/hyperlink" Target="https://www.accessnow.org/patria-y-vida-cuba/" TargetMode="External"/><Relationship Id="rId421" Type="http://schemas.openxmlformats.org/officeDocument/2006/relationships/hyperlink" Target="https://twitter.com/gatech_ioda/status/1602381854329405461/photo/1" TargetMode="External"/><Relationship Id="rId663" Type="http://schemas.openxmlformats.org/officeDocument/2006/relationships/hyperlink" Target="https://www.accessnow.org/keepiton/" TargetMode="External"/><Relationship Id="rId1012" Type="http://schemas.openxmlformats.org/officeDocument/2006/relationships/hyperlink" Target="https://www.accessnow.org/patria-y-vida-cuba/" TargetMode="External"/><Relationship Id="rId420" Type="http://schemas.openxmlformats.org/officeDocument/2006/relationships/hyperlink" Target="https://ioda.inetintel.cc.gatech.edu/region/1846?from=1670623200&amp;until=1675115999" TargetMode="External"/><Relationship Id="rId662" Type="http://schemas.openxmlformats.org/officeDocument/2006/relationships/hyperlink" Target="https://www.accessnow.org/keepiton/" TargetMode="External"/><Relationship Id="rId1013" Type="http://schemas.openxmlformats.org/officeDocument/2006/relationships/hyperlink" Target="https://twitter.com/DougMadory/status/1414327987525275659" TargetMode="External"/><Relationship Id="rId661" Type="http://schemas.openxmlformats.org/officeDocument/2006/relationships/hyperlink" Target="https://www.accessnow.org/keepiton/" TargetMode="External"/><Relationship Id="rId1014" Type="http://schemas.openxmlformats.org/officeDocument/2006/relationships/hyperlink" Target="https://www.accessnow.org/keepiton/" TargetMode="External"/><Relationship Id="rId1004" Type="http://schemas.openxmlformats.org/officeDocument/2006/relationships/hyperlink" Target="https://www.courthousenews.com/ukraine-block-access-russias-social-media-websites/" TargetMode="External"/><Relationship Id="rId1005" Type="http://schemas.openxmlformats.org/officeDocument/2006/relationships/hyperlink" Target="https://twitter.com/netblocks/status/1655176842112913413" TargetMode="External"/><Relationship Id="rId1006" Type="http://schemas.openxmlformats.org/officeDocument/2006/relationships/hyperlink" Target="https://twitter.com/netblocks/status/1576008418963312640?s=20&amp;t=csiQWBGBSMAhRsC3A8R2Jw" TargetMode="External"/><Relationship Id="rId1007" Type="http://schemas.openxmlformats.org/officeDocument/2006/relationships/hyperlink" Target="https://www.accessnow.org/patria-y-vida-cuba/" TargetMode="External"/><Relationship Id="rId1008" Type="http://schemas.openxmlformats.org/officeDocument/2006/relationships/hyperlink" Target="https://twitter.com/netblocks/status/1575825655509692416?s=20&amp;t=csiQWBGBSMAhRsC3A8R2Jw" TargetMode="External"/><Relationship Id="rId1009" Type="http://schemas.openxmlformats.org/officeDocument/2006/relationships/hyperlink" Target="https://twitter.com/netblocks/status/1547871728705056768?s=20&amp;t=csiQWBGBSMAhRsC3A8R2Jw" TargetMode="External"/><Relationship Id="rId415" Type="http://schemas.openxmlformats.org/officeDocument/2006/relationships/hyperlink" Target="https://twitter.com/Netblocks/status/1639229358308204544" TargetMode="External"/><Relationship Id="rId657" Type="http://schemas.openxmlformats.org/officeDocument/2006/relationships/hyperlink" Target="https://www.accessnow.org/keepiton/" TargetMode="External"/><Relationship Id="rId899" Type="http://schemas.openxmlformats.org/officeDocument/2006/relationships/hyperlink" Target="https://www.accessnow.org/keepiton/" TargetMode="External"/><Relationship Id="rId414" Type="http://schemas.openxmlformats.org/officeDocument/2006/relationships/hyperlink" Target="https://twitter.com/netblocks/status/1641729462659170304" TargetMode="External"/><Relationship Id="rId656" Type="http://schemas.openxmlformats.org/officeDocument/2006/relationships/hyperlink" Target="https://www.accessnow.org/keepiton/" TargetMode="External"/><Relationship Id="rId898" Type="http://schemas.openxmlformats.org/officeDocument/2006/relationships/hyperlink" Target="https://cebudailynews.inquirer.net/118972/zero-signal-ntc-agrees-shutdown-signal-sinulog-grand-parade" TargetMode="External"/><Relationship Id="rId413" Type="http://schemas.openxmlformats.org/officeDocument/2006/relationships/hyperlink" Target="https://twitter.com/netblocks/status/1644258352807960576" TargetMode="External"/><Relationship Id="rId655" Type="http://schemas.openxmlformats.org/officeDocument/2006/relationships/hyperlink" Target="https://www.accessnow.org/keepiton/" TargetMode="External"/><Relationship Id="rId897" Type="http://schemas.openxmlformats.org/officeDocument/2006/relationships/hyperlink" Target="https://www.accessnow.org/keepiton/" TargetMode="External"/><Relationship Id="rId412" Type="http://schemas.openxmlformats.org/officeDocument/2006/relationships/hyperlink" Target="https://twitter.com/netblocks/status/1646855721651240961" TargetMode="External"/><Relationship Id="rId654" Type="http://schemas.openxmlformats.org/officeDocument/2006/relationships/hyperlink" Target="https://www.accessnow.org/keepiton/" TargetMode="External"/><Relationship Id="rId896" Type="http://schemas.openxmlformats.org/officeDocument/2006/relationships/hyperlink" Target="https://technology.inquirer.net/71126/globe-mobile-services-suspended-quiapo-january-9-black-nazarene-procession" TargetMode="External"/><Relationship Id="rId419" Type="http://schemas.openxmlformats.org/officeDocument/2006/relationships/hyperlink" Target="https://twitter.com/netblocks/status/1605253144279224321/photo/1" TargetMode="External"/><Relationship Id="rId418" Type="http://schemas.openxmlformats.org/officeDocument/2006/relationships/hyperlink" Target="https://twitter.com/Netblocks/status/1629068985214898176" TargetMode="External"/><Relationship Id="rId417" Type="http://schemas.openxmlformats.org/officeDocument/2006/relationships/hyperlink" Target="https://twitter.com/Netblocks/status/1631619345007747074" TargetMode="External"/><Relationship Id="rId659" Type="http://schemas.openxmlformats.org/officeDocument/2006/relationships/hyperlink" Target="https://www.accessnow.org/keepiton/" TargetMode="External"/><Relationship Id="rId416" Type="http://schemas.openxmlformats.org/officeDocument/2006/relationships/hyperlink" Target="https://twitter.com/netblocks/status/1634151232368459777?cxt=HHwWgoC2qej41a0tAAAA" TargetMode="External"/><Relationship Id="rId658" Type="http://schemas.openxmlformats.org/officeDocument/2006/relationships/hyperlink" Target="https://www.accessnow.org/keepiton/" TargetMode="External"/><Relationship Id="rId891" Type="http://schemas.openxmlformats.org/officeDocument/2006/relationships/hyperlink" Target="https://digitalrightsmonitor.pk/mobile-internet-restored-in-former-fatas-kurram-agency/" TargetMode="External"/><Relationship Id="rId890" Type="http://schemas.openxmlformats.org/officeDocument/2006/relationships/hyperlink" Target="https://bolobhi.org/bolo-bhi-statement-on-internet-access-in-fata/" TargetMode="External"/><Relationship Id="rId411" Type="http://schemas.openxmlformats.org/officeDocument/2006/relationships/hyperlink" Target="https://twitter.com/Netblocks/status/1649459558547423256" TargetMode="External"/><Relationship Id="rId653" Type="http://schemas.openxmlformats.org/officeDocument/2006/relationships/hyperlink" Target="https://www.accessnow.org/keepiton/" TargetMode="External"/><Relationship Id="rId895" Type="http://schemas.openxmlformats.org/officeDocument/2006/relationships/hyperlink" Target="https://www.accessnow.org/keepiton/" TargetMode="External"/><Relationship Id="rId1000" Type="http://schemas.openxmlformats.org/officeDocument/2006/relationships/hyperlink" Target="https://zona.media/news/2018/11/15/internet" TargetMode="External"/><Relationship Id="rId410" Type="http://schemas.openxmlformats.org/officeDocument/2006/relationships/hyperlink" Target="https://twitter.com/netblocks/status/1651937928120000600" TargetMode="External"/><Relationship Id="rId652" Type="http://schemas.openxmlformats.org/officeDocument/2006/relationships/hyperlink" Target="https://www.accessnow.org/keepiton/" TargetMode="External"/><Relationship Id="rId894" Type="http://schemas.openxmlformats.org/officeDocument/2006/relationships/hyperlink" Target="https://twitter.com/nicadoom/status/1021290855775186944/photo/1" TargetMode="External"/><Relationship Id="rId1001" Type="http://schemas.openxmlformats.org/officeDocument/2006/relationships/hyperlink" Target="https://www.theguardian.com/world/2018/apr/13/moscow-court-bans-telegram-messaging-app" TargetMode="External"/><Relationship Id="rId651" Type="http://schemas.openxmlformats.org/officeDocument/2006/relationships/hyperlink" Target="https://www.accessnow.org/keepiton/" TargetMode="External"/><Relationship Id="rId893" Type="http://schemas.openxmlformats.org/officeDocument/2006/relationships/hyperlink" Target="http://propakistani.pk/2016/03/31/telcos-customers-lost-millions-due-to-cellular-network-shutdown-in-islamabad/" TargetMode="External"/><Relationship Id="rId1002" Type="http://schemas.openxmlformats.org/officeDocument/2006/relationships/hyperlink" Target="https://www.reuters.com/article/us-russia-telegram-ban-idUSKBN23P2FT" TargetMode="External"/><Relationship Id="rId650" Type="http://schemas.openxmlformats.org/officeDocument/2006/relationships/hyperlink" Target="https://www.accessnow.org/keepiton/" TargetMode="External"/><Relationship Id="rId892" Type="http://schemas.openxmlformats.org/officeDocument/2006/relationships/hyperlink" Target="https://www.accessnow.org/keepiton/" TargetMode="External"/><Relationship Id="rId1003" Type="http://schemas.openxmlformats.org/officeDocument/2006/relationships/hyperlink" Target="https://techcrunch.com/2016/11/17/linkedin-is-now-officially-blocked-in-russia/?_ga=2.163089461.804062646.1651745612-1553641588.1651745612" TargetMode="External"/><Relationship Id="rId1037" Type="http://schemas.openxmlformats.org/officeDocument/2006/relationships/hyperlink" Target="https://netblocks.org/reports/evidence-of-social-media-disruptions-in-ecuador-as-crisis-deepens-oy9RN483" TargetMode="External"/><Relationship Id="rId1038" Type="http://schemas.openxmlformats.org/officeDocument/2006/relationships/hyperlink" Target="https://netblocks.org/reports/social-media-restricted-in-suriname-amid-cost-of-living-protests-QAdPQNAl" TargetMode="External"/><Relationship Id="rId1039" Type="http://schemas.openxmlformats.org/officeDocument/2006/relationships/hyperlink" Target="https://x.com/netblocks/status/1821710976745459883" TargetMode="External"/><Relationship Id="rId206" Type="http://schemas.openxmlformats.org/officeDocument/2006/relationships/hyperlink" Target="https://transparencyreport.google.com/traffic/overview?hl=en&amp;fraction_traffic=start:1593561600000;end:1606694399999;product:21;region:AZ&amp;lu=fraction_traffic" TargetMode="External"/><Relationship Id="rId448" Type="http://schemas.openxmlformats.org/officeDocument/2006/relationships/hyperlink" Target="https://www.ctvnews.ca/sci-tech/as-protests-wane-iran-lifts-ban-on-messaging-app-telegram-1.3758489" TargetMode="External"/><Relationship Id="rId205" Type="http://schemas.openxmlformats.org/officeDocument/2006/relationships/hyperlink" Target="https://netblocks.org/reports/social-media-restricted-in-azerbaijan-amid-clashes-with-armenia-over-nagorno-karabakh-pA5LMj87" TargetMode="External"/><Relationship Id="rId447" Type="http://schemas.openxmlformats.org/officeDocument/2006/relationships/hyperlink" Target="https://phys.org/news/2017-04-iran-blocks-telegram-app-voice.html" TargetMode="External"/><Relationship Id="rId689" Type="http://schemas.openxmlformats.org/officeDocument/2006/relationships/hyperlink" Target="https://www.accessnow.org/keepiton/" TargetMode="External"/><Relationship Id="rId204" Type="http://schemas.openxmlformats.org/officeDocument/2006/relationships/hyperlink" Target="https://eng.az24saat.org/2022/11/05/the-operation-of-tiktok-has-been-restored-in-azerbaijan/" TargetMode="External"/><Relationship Id="rId446" Type="http://schemas.openxmlformats.org/officeDocument/2006/relationships/hyperlink" Target="https://www.abc.net.au/news/2018-01-01/iran-protests-two-killed-social-media-shut-down/9295790" TargetMode="External"/><Relationship Id="rId688" Type="http://schemas.openxmlformats.org/officeDocument/2006/relationships/hyperlink" Target="https://www.accessnow.org/keepiton/" TargetMode="External"/><Relationship Id="rId203" Type="http://schemas.openxmlformats.org/officeDocument/2006/relationships/hyperlink" Target="https://netblocks.org/reports/tiktok-restricted-in-azerbaijan-and-armenia-amid-clashes-over-nagorno-karabakh-3An4pky2" TargetMode="External"/><Relationship Id="rId445" Type="http://schemas.openxmlformats.org/officeDocument/2006/relationships/hyperlink" Target="https://netblocks.org/reports/iran-internet-survey-shows-extent-of-telegram-blocks-and-censorship-amid-protests-Pryb4A7n" TargetMode="External"/><Relationship Id="rId687" Type="http://schemas.openxmlformats.org/officeDocument/2006/relationships/hyperlink" Target="https://www.accessnow.org/keepiton/" TargetMode="External"/><Relationship Id="rId209" Type="http://schemas.openxmlformats.org/officeDocument/2006/relationships/hyperlink" Target="https://freedomhouse.org/country/bahrain/freedom-net/2021" TargetMode="External"/><Relationship Id="rId208" Type="http://schemas.openxmlformats.org/officeDocument/2006/relationships/hyperlink" Target="https://freedomhouse.org/country/bahrain/freedom-net/2019" TargetMode="External"/><Relationship Id="rId207" Type="http://schemas.openxmlformats.org/officeDocument/2006/relationships/hyperlink" Target="https://transparency.fb.com/data/internet-disruptions/" TargetMode="External"/><Relationship Id="rId449" Type="http://schemas.openxmlformats.org/officeDocument/2006/relationships/hyperlink" Target="https://www.theguardian.com/world/2009/may/24/facebook-banned-iran" TargetMode="External"/><Relationship Id="rId440" Type="http://schemas.openxmlformats.org/officeDocument/2006/relationships/hyperlink" Target="https://netblocks.org/reports/internet-disrupted-in-iran-as-thousands-gather-to-mourn-singer-shajarian-Q8okW38n" TargetMode="External"/><Relationship Id="rId682" Type="http://schemas.openxmlformats.org/officeDocument/2006/relationships/hyperlink" Target="https://www.accessnow.org/keepiton/" TargetMode="External"/><Relationship Id="rId681" Type="http://schemas.openxmlformats.org/officeDocument/2006/relationships/hyperlink" Target="https://www.accessnow.org/keepiton/" TargetMode="External"/><Relationship Id="rId1030" Type="http://schemas.openxmlformats.org/officeDocument/2006/relationships/hyperlink" Target="https://policyreview.info/articles/analysis/disrupting-disruptive-making-sense-app-blocking-brazil" TargetMode="External"/><Relationship Id="rId680" Type="http://schemas.openxmlformats.org/officeDocument/2006/relationships/hyperlink" Target="https://www.accessnow.org/keepiton/" TargetMode="External"/><Relationship Id="rId1031" Type="http://schemas.openxmlformats.org/officeDocument/2006/relationships/hyperlink" Target="https://www.ft.com/content/7998974a-1e97-11e6-b286-cddde55ca122" TargetMode="External"/><Relationship Id="rId1032" Type="http://schemas.openxmlformats.org/officeDocument/2006/relationships/hyperlink" Target="https://edition.cnn.com/2016/05/02/world/whatsapp-suspended-brazil/index.html" TargetMode="External"/><Relationship Id="rId202" Type="http://schemas.openxmlformats.org/officeDocument/2006/relationships/hyperlink" Target="https://mashable.com/2016/07/17/facebook-armenia-blocked/?europe=true" TargetMode="External"/><Relationship Id="rId444" Type="http://schemas.openxmlformats.org/officeDocument/2006/relationships/hyperlink" Target="https://netblocks.org/reports/widespread-internet-disruption-in-iran-amid-geopolitical-crisis-3AnwGkB2" TargetMode="External"/><Relationship Id="rId686" Type="http://schemas.openxmlformats.org/officeDocument/2006/relationships/hyperlink" Target="https://www.accessnow.org/keepiton/" TargetMode="External"/><Relationship Id="rId1033" Type="http://schemas.openxmlformats.org/officeDocument/2006/relationships/hyperlink" Target="https://www.accessnow.org/access-now-condemns-blocking-whatsapp-brazil/" TargetMode="External"/><Relationship Id="rId201" Type="http://schemas.openxmlformats.org/officeDocument/2006/relationships/hyperlink" Target="https://netblocks.org/reports/internet-disrupted-in-armenia-amid-political-turmoil-and-alleged-coup-attempt-18lpVL8a" TargetMode="External"/><Relationship Id="rId443" Type="http://schemas.openxmlformats.org/officeDocument/2006/relationships/hyperlink" Target="https://netblocks.org/reports/internet-disrupted-in-iran-amid-fuel-protests-in-multiple-cities-pA25L18b" TargetMode="External"/><Relationship Id="rId685" Type="http://schemas.openxmlformats.org/officeDocument/2006/relationships/hyperlink" Target="https://www.accessnow.org/keepiton/" TargetMode="External"/><Relationship Id="rId1034" Type="http://schemas.openxmlformats.org/officeDocument/2006/relationships/hyperlink" Target="https://www.conjur.com.br/2015-dez-17/tj-sao-paulo-suspende-bloqueio-aplicativo-whatsapp" TargetMode="External"/><Relationship Id="rId200" Type="http://schemas.openxmlformats.org/officeDocument/2006/relationships/hyperlink" Target="https://www.az-netwatch.org/wp-content/uploads/2022/10/2022-09-OONI-Report-for-Azerbaijan-Internet-Watch.pdf" TargetMode="External"/><Relationship Id="rId442" Type="http://schemas.openxmlformats.org/officeDocument/2006/relationships/hyperlink" Target="https://netblocks.org/reports/partial-internet-disruption-registered-in-iran-oAvqX18Y" TargetMode="External"/><Relationship Id="rId684" Type="http://schemas.openxmlformats.org/officeDocument/2006/relationships/hyperlink" Target="https://www.accessnow.org/keepiton/" TargetMode="External"/><Relationship Id="rId1035" Type="http://schemas.openxmlformats.org/officeDocument/2006/relationships/hyperlink" Target="https://netblocks.org/reports/internet-disrupted-in-colombia-amid-anti-government-protests-YAEvMvB3" TargetMode="External"/><Relationship Id="rId441" Type="http://schemas.openxmlformats.org/officeDocument/2006/relationships/hyperlink" Target="https://netblocks.org/reports/internet-disrupted-in-iran-amid-regional-protests-xyMkjXAZ" TargetMode="External"/><Relationship Id="rId683" Type="http://schemas.openxmlformats.org/officeDocument/2006/relationships/hyperlink" Target="https://www.accessnow.org/keepiton/" TargetMode="External"/><Relationship Id="rId1036" Type="http://schemas.openxmlformats.org/officeDocument/2006/relationships/hyperlink" Target="https://netblocks.org/reports/mobile-internet-disrupted-in-quito-as-ecuador-political-crisis-escalates-eBOgkJBZ" TargetMode="External"/><Relationship Id="rId1026" Type="http://schemas.openxmlformats.org/officeDocument/2006/relationships/hyperlink" Target="https://www.nasdaq.com/articles/brazil-supreme-court-orders-suspension-of-telegram-app-in-the-country-reports" TargetMode="External"/><Relationship Id="rId1027" Type="http://schemas.openxmlformats.org/officeDocument/2006/relationships/hyperlink" Target="https://www.theverge.com/2022/3/20/22988183/telegrams-ban-brazil-lifted-president-bolsonaro" TargetMode="External"/><Relationship Id="rId1028" Type="http://schemas.openxmlformats.org/officeDocument/2006/relationships/hyperlink" Target="https://www.bbc.com/news/av/world-latin-america-36843111" TargetMode="External"/><Relationship Id="rId1029" Type="http://schemas.openxmlformats.org/officeDocument/2006/relationships/hyperlink" Target="https://m.folha.uol.com.br/mercado/2016/07/1793291-presidente-do-stf-suspende-bloqueio-do-whatsapp-no-brasil.shtml" TargetMode="External"/><Relationship Id="rId437" Type="http://schemas.openxmlformats.org/officeDocument/2006/relationships/hyperlink" Target="https://www.accessnow.org/iran-blackout-2021-internet-shutdowns-sistan-baluchistan/" TargetMode="External"/><Relationship Id="rId679" Type="http://schemas.openxmlformats.org/officeDocument/2006/relationships/hyperlink" Target="https://www.accessnow.org/keepiton/" TargetMode="External"/><Relationship Id="rId436" Type="http://schemas.openxmlformats.org/officeDocument/2006/relationships/hyperlink" Target="https://netblocks.org/reports/internet-disruption-registered-in-iran-following-days-of-outages-in-southeast-oy9Yvoy3" TargetMode="External"/><Relationship Id="rId678" Type="http://schemas.openxmlformats.org/officeDocument/2006/relationships/hyperlink" Target="https://www.accessnow.org/keepiton/" TargetMode="External"/><Relationship Id="rId435" Type="http://schemas.openxmlformats.org/officeDocument/2006/relationships/hyperlink" Target="https://twitter.com/Ammir/status/1407006823236972551" TargetMode="External"/><Relationship Id="rId677" Type="http://schemas.openxmlformats.org/officeDocument/2006/relationships/hyperlink" Target="https://www.accessnow.org/keepiton/" TargetMode="External"/><Relationship Id="rId434" Type="http://schemas.openxmlformats.org/officeDocument/2006/relationships/hyperlink" Target="https://www.accessnow.org/keepiton/" TargetMode="External"/><Relationship Id="rId676" Type="http://schemas.openxmlformats.org/officeDocument/2006/relationships/hyperlink" Target="https://www.accessnow.org/keepiton/" TargetMode="External"/><Relationship Id="rId439" Type="http://schemas.openxmlformats.org/officeDocument/2006/relationships/hyperlink" Target="https://netblocks.org/reports/internet-disrupted-in-iran-on-anniversary-of-fuel-protests-zA4nzlyR" TargetMode="External"/><Relationship Id="rId438" Type="http://schemas.openxmlformats.org/officeDocument/2006/relationships/hyperlink" Target="https://apnews.com/article/dubai-iran-united-arab-emirates-1976ed0f052e14a2bf73f3ad9c786fa1" TargetMode="External"/><Relationship Id="rId671" Type="http://schemas.openxmlformats.org/officeDocument/2006/relationships/hyperlink" Target="https://www.accessnow.org/keepiton/" TargetMode="External"/><Relationship Id="rId670" Type="http://schemas.openxmlformats.org/officeDocument/2006/relationships/hyperlink" Target="https://www.accessnow.org/keepiton/" TargetMode="External"/><Relationship Id="rId1020" Type="http://schemas.openxmlformats.org/officeDocument/2006/relationships/hyperlink" Target="https://x.com/netblocks/status/1796925350024249432" TargetMode="External"/><Relationship Id="rId1021" Type="http://schemas.openxmlformats.org/officeDocument/2006/relationships/hyperlink" Target="https://netblocks.org/reports/nicaragua-regional-internet-disruptions-amid-protests-gdAmMvA9" TargetMode="External"/><Relationship Id="rId433" Type="http://schemas.openxmlformats.org/officeDocument/2006/relationships/hyperlink" Target="https://netblocks.org/reports/mobile-internet-disrupted-in-iran-amid-khuzestan-water-protests-1yPjK9AQ" TargetMode="External"/><Relationship Id="rId675" Type="http://schemas.openxmlformats.org/officeDocument/2006/relationships/hyperlink" Target="https://www.accessnow.org/keepiton/" TargetMode="External"/><Relationship Id="rId1022" Type="http://schemas.openxmlformats.org/officeDocument/2006/relationships/hyperlink" Target="https://x.com/netblocks" TargetMode="External"/><Relationship Id="rId432" Type="http://schemas.openxmlformats.org/officeDocument/2006/relationships/hyperlink" Target="https://netblocks.org/reports/internet-disruption-registered-in-iran-amid-water-protests-RyjnQRyg" TargetMode="External"/><Relationship Id="rId674" Type="http://schemas.openxmlformats.org/officeDocument/2006/relationships/hyperlink" Target="https://www.accessnow.org/keepiton/" TargetMode="External"/><Relationship Id="rId1023" Type="http://schemas.openxmlformats.org/officeDocument/2006/relationships/hyperlink" Target="https://apnews.com/article/brazil-x-elon-musk-supreme-court-de-moraes-e32c4b4171e78cbe8994f53713a922f7" TargetMode="External"/><Relationship Id="rId431" Type="http://schemas.openxmlformats.org/officeDocument/2006/relationships/hyperlink" Target="https://twitter.com/netblocks/status/1525516691064737792?s=20&amp;t=Md34qHA72tQgWa3dAf6nkA" TargetMode="External"/><Relationship Id="rId673" Type="http://schemas.openxmlformats.org/officeDocument/2006/relationships/hyperlink" Target="https://www.accessnow.org/keepiton/" TargetMode="External"/><Relationship Id="rId1024" Type="http://schemas.openxmlformats.org/officeDocument/2006/relationships/hyperlink" Target="https://www.reuters.com/technology/brazil-court-suspends-telegram-not-complying-with-order-neo-nazi-groups-2023-04-26/" TargetMode="External"/><Relationship Id="rId430" Type="http://schemas.openxmlformats.org/officeDocument/2006/relationships/hyperlink" Target="https://ioda.inetintel.cc.gatech.edu/country/IR?from=1662757200&amp;until=1663707599" TargetMode="External"/><Relationship Id="rId672" Type="http://schemas.openxmlformats.org/officeDocument/2006/relationships/hyperlink" Target="https://www.accessnow.org/keepiton/" TargetMode="External"/><Relationship Id="rId1025" Type="http://schemas.openxmlformats.org/officeDocument/2006/relationships/hyperlink" Target="https://www.reuters.com/technology/brazil-court-lifts-telegram-suspension-not-complying-with-order-neo-nazi-groups-2023-04-2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etblocks.org/reports/russia-restricts-opposition-election-voting-app-from-apple-app-store-and-google-play-store-JBZrPaB6" TargetMode="External"/><Relationship Id="rId2" Type="http://schemas.openxmlformats.org/officeDocument/2006/relationships/hyperlink" Target="https://applecensorship.com/app-store-monitor/app/918148289" TargetMode="External"/><Relationship Id="rId3" Type="http://schemas.openxmlformats.org/officeDocument/2006/relationships/hyperlink" Target="https://russianfreepress.com/2021/10/09/google-restored-the-navalny-app-videos-and-smart-voting-documents/" TargetMode="External"/><Relationship Id="rId4" Type="http://schemas.openxmlformats.org/officeDocument/2006/relationships/hyperlink" Target="https://www.dexerto.com/entertainment/twitch-banned-in-slovakia-because-one-streamer-played-poker-1600542/" TargetMode="External"/><Relationship Id="rId9" Type="http://schemas.openxmlformats.org/officeDocument/2006/relationships/hyperlink" Target="https://ooni.org/post/venezuela-blocking-wikipedia-and-social-media-2019/" TargetMode="External"/><Relationship Id="rId5" Type="http://schemas.openxmlformats.org/officeDocument/2006/relationships/hyperlink" Target="https://guided.news/en/gaming/twitch-blocked-in-slovakia-because-of-a-single-streamer/" TargetMode="External"/><Relationship Id="rId6" Type="http://schemas.openxmlformats.org/officeDocument/2006/relationships/hyperlink" Target="https://www.independent.co.uk/news/uk/home-news/london-tube-wifi-down-internet-not-working-underground-protest-extinction-rebellion-a8873681.html" TargetMode="External"/><Relationship Id="rId7" Type="http://schemas.openxmlformats.org/officeDocument/2006/relationships/hyperlink" Target="https://netblocks.org/reports/wikipedia-blocked-in-venezuela-as-internet-controls-tighten-XaAwR08M" TargetMode="External"/><Relationship Id="rId8" Type="http://schemas.openxmlformats.org/officeDocument/2006/relationships/hyperlink" Target="https://ooni.org/post/venezuela-blocking-wikipedia-and-social-media-2019/" TargetMode="External"/><Relationship Id="rId40" Type="http://schemas.openxmlformats.org/officeDocument/2006/relationships/hyperlink" Target="https://netblocks.org/reports/indonesia-cracks-down-on-unlicensed-online-platforms-and-services-XB7JJQA7" TargetMode="External"/><Relationship Id="rId42" Type="http://schemas.openxmlformats.org/officeDocument/2006/relationships/hyperlink" Target="https://twitter.com/netblocks/status/1542598392844632066?s=20&amp;t=csiQWBGBSMAhRsC3A8R2Jw" TargetMode="External"/><Relationship Id="rId41" Type="http://schemas.openxmlformats.org/officeDocument/2006/relationships/hyperlink" Target="https://twitter.com/netblocks/status/1557477655133540352?s=20&amp;t=csiQWBGBSMAhRsC3A8R2Jw" TargetMode="External"/><Relationship Id="rId44" Type="http://schemas.openxmlformats.org/officeDocument/2006/relationships/hyperlink" Target="https://twitter.com/netblocks/status/1515008363066802176?s=20&amp;t=csiQWBGBSMAhRsC3A8R2Jw" TargetMode="External"/><Relationship Id="rId43" Type="http://schemas.openxmlformats.org/officeDocument/2006/relationships/hyperlink" Target="https://twitter.com/netblocks/status/1516432944998588425?s=20&amp;t=csiQWBGBSMAhRsC3A8R2Jw" TargetMode="External"/><Relationship Id="rId46" Type="http://schemas.openxmlformats.org/officeDocument/2006/relationships/hyperlink" Target="https://twitter.com/netblocks/status/1506040758872248321?s=20&amp;t=csiQWBGBSMAhRsC3A8R2Jw" TargetMode="External"/><Relationship Id="rId45" Type="http://schemas.openxmlformats.org/officeDocument/2006/relationships/hyperlink" Target="https://twitter.com/netblocks/status/1511705822988058629?s=20&amp;t=csiQWBGBSMAhRsC3A8R2Jw" TargetMode="External"/><Relationship Id="rId48" Type="http://schemas.openxmlformats.org/officeDocument/2006/relationships/hyperlink" Target="https://twitter.com/netblocks/status/1502629130189381640?s=20&amp;t=csiQWBGBSMAhRsC3A8R2Jw" TargetMode="External"/><Relationship Id="rId47" Type="http://schemas.openxmlformats.org/officeDocument/2006/relationships/hyperlink" Target="https://twitter.com/netblocks/status/1504081445643554824?s=20&amp;t=csiQWBGBSMAhRsC3A8R2Jw" TargetMode="External"/><Relationship Id="rId49" Type="http://schemas.openxmlformats.org/officeDocument/2006/relationships/hyperlink" Target="https://netblocks.org/reports/wikipedia-restricted-in-pakistan-over-alleged-sacrilegious-content-nAg35pAp" TargetMode="External"/><Relationship Id="rId31" Type="http://schemas.openxmlformats.org/officeDocument/2006/relationships/hyperlink" Target="https://netblocks.org/reports/wikipedia-farsi-blocked-in-iran-as-coronavirus-fears-spread-pA25OE8b" TargetMode="External"/><Relationship Id="rId30" Type="http://schemas.openxmlformats.org/officeDocument/2006/relationships/hyperlink" Target="https://netblocks.org/reports/pakistan-twitter-periscope-zoom-disruption-98aMV68o" TargetMode="External"/><Relationship Id="rId33" Type="http://schemas.openxmlformats.org/officeDocument/2006/relationships/hyperlink" Target="https://netblocks.org/reports/major-disruption-to-critical-infrastructure-across-tachira-venezuela-jDA3bO8W" TargetMode="External"/><Relationship Id="rId32" Type="http://schemas.openxmlformats.org/officeDocument/2006/relationships/hyperlink" Target="https://netblocks.org/reports/internet-disruptions-registered-across-iran-kArradAj" TargetMode="External"/><Relationship Id="rId35" Type="http://schemas.openxmlformats.org/officeDocument/2006/relationships/hyperlink" Target="https://netblocks.org/reports/new-nationwide-power-outage-detected-across-venezuela-OxAGaDyz" TargetMode="External"/><Relationship Id="rId34" Type="http://schemas.openxmlformats.org/officeDocument/2006/relationships/hyperlink" Target="https://netblocks.org/reports/venezuela-knocked-offline-amid-nationwide-power-outage-PW801YAK" TargetMode="External"/><Relationship Id="rId37" Type="http://schemas.openxmlformats.org/officeDocument/2006/relationships/hyperlink" Target="https://netblocks.org/reports/internet-connectivity-knocked-out-in-yemen-after-airstrike-PAYbNoBe" TargetMode="External"/><Relationship Id="rId36" Type="http://schemas.openxmlformats.org/officeDocument/2006/relationships/hyperlink" Target="https://netblocks.org/reports/connectivity-across-venezuela-drops-following-new-national-power-outage-gdAmbvB9" TargetMode="External"/><Relationship Id="rId39" Type="http://schemas.openxmlformats.org/officeDocument/2006/relationships/hyperlink" Target="https://netblocks.org/reports/internet-disruptions-registered-as-russia-moves-in-on-ukraine-W80p4k8K" TargetMode="External"/><Relationship Id="rId38" Type="http://schemas.openxmlformats.org/officeDocument/2006/relationships/hyperlink" Target="https://jordanopensource.org/blog/78/blocking-clubhouse-in-jordan-a-quick-analysis-of-internet-censorship-methods-in-use" TargetMode="External"/><Relationship Id="rId20" Type="http://schemas.openxmlformats.org/officeDocument/2006/relationships/hyperlink" Target="https://netblocks.org/reports/study-reveals-extent-of-awami-workers-political-party-website-block-in-pakistan-zgBLrk84" TargetMode="External"/><Relationship Id="rId22" Type="http://schemas.openxmlformats.org/officeDocument/2006/relationships/hyperlink" Target="https://netblocks.org/reports/wikipedia-blocked-in-venezuela-as-internet-controls-tighten-XaAwR08M" TargetMode="External"/><Relationship Id="rId21" Type="http://schemas.openxmlformats.org/officeDocument/2006/relationships/hyperlink" Target="https://netblocks.org/reports/venezuela-humanitarian-aid-platform-blocked-GnAgJk8p" TargetMode="External"/><Relationship Id="rId24" Type="http://schemas.openxmlformats.org/officeDocument/2006/relationships/hyperlink" Target="https://netblocks.org/reports/social-media-restricted-and-internet-cut-during-algeria-school-exams-xAGolxAz" TargetMode="External"/><Relationship Id="rId23" Type="http://schemas.openxmlformats.org/officeDocument/2006/relationships/hyperlink" Target="https://netblocks.org/reports/internet-disrupted-in-russia-as-regulator-imposes-new-measures-l8WxaQAO" TargetMode="External"/><Relationship Id="rId26" Type="http://schemas.openxmlformats.org/officeDocument/2006/relationships/hyperlink" Target="https://netblocks.org/reports/facebook-whatsapp-instagram-messenger-down-globally-WJBZvWB6" TargetMode="External"/><Relationship Id="rId25" Type="http://schemas.openxmlformats.org/officeDocument/2006/relationships/hyperlink" Target="https://www.independent.co.uk/life-style/gadgets-and-tech/news/facebook-twitter-banned-blocked-algeria-exams-3g-internet-a7091171.html" TargetMode="External"/><Relationship Id="rId28" Type="http://schemas.openxmlformats.org/officeDocument/2006/relationships/hyperlink" Target="https://netblocks.org/reports/egypt-filters-34000-domains-in-bid-to-block-opposition-campaign-platform-7eA1blBp" TargetMode="External"/><Relationship Id="rId27" Type="http://schemas.openxmlformats.org/officeDocument/2006/relationships/hyperlink" Target="https://netblocks.org/reports/internet-in-iran-disrupted-knock-on-effect-of-power-cut-in-armenia-RyjPQ1Ag" TargetMode="External"/><Relationship Id="rId29" Type="http://schemas.openxmlformats.org/officeDocument/2006/relationships/hyperlink" Target="https://netblocks.org/reports/bitly-link-shortener-blocked-in-egypt-018lRLBa" TargetMode="External"/><Relationship Id="rId11" Type="http://schemas.openxmlformats.org/officeDocument/2006/relationships/hyperlink" Target="https://venturebeat.com/2017/10/02/spains-internet-censorship-during-catalonian-referendum-was-completely-unjustified/" TargetMode="External"/><Relationship Id="rId10" Type="http://schemas.openxmlformats.org/officeDocument/2006/relationships/hyperlink" Target="https://en.wikipedia.org/wiki/Censorship_in_Spain" TargetMode="External"/><Relationship Id="rId13" Type="http://schemas.openxmlformats.org/officeDocument/2006/relationships/hyperlink" Target="https://freedomhouse.org/country/philippines/freedom-net/2020" TargetMode="External"/><Relationship Id="rId12" Type="http://schemas.openxmlformats.org/officeDocument/2006/relationships/hyperlink" Target="https://www.accessnow.org/cms/assets/uploads/2019/07/KeepItOn-2018-Report.pdf" TargetMode="External"/><Relationship Id="rId15" Type="http://schemas.openxmlformats.org/officeDocument/2006/relationships/hyperlink" Target="https://nordvpn.com/blog/why-is-skype-blocked-in-certain-countries/" TargetMode="External"/><Relationship Id="rId14" Type="http://schemas.openxmlformats.org/officeDocument/2006/relationships/hyperlink" Target="https://newsinfo.inquirer.net/963786/group-criticizes-govt-move-shutting-down-cellphone-signals-during-events-signal-jamming-cell-sites-fma-media-group-shutdown" TargetMode="External"/><Relationship Id="rId17" Type="http://schemas.openxmlformats.org/officeDocument/2006/relationships/hyperlink" Target="https://freegyvoip.wordpress.com/tag/voip-blocked-in-guyana/" TargetMode="External"/><Relationship Id="rId16" Type="http://schemas.openxmlformats.org/officeDocument/2006/relationships/hyperlink" Target="https://vpnoverview.com/unblocking/censorship/access-skype/" TargetMode="External"/><Relationship Id="rId19" Type="http://schemas.openxmlformats.org/officeDocument/2006/relationships/hyperlink" Target="https://netblocks.org/reports/slate-magazine-blocked-in-pakistan-qr8Vary5" TargetMode="External"/><Relationship Id="rId18" Type="http://schemas.openxmlformats.org/officeDocument/2006/relationships/hyperlink" Target="https://netblocks.org/reports/energy-crisis-in-lebanon-leads-to-widening-telecoms-blackouts-DA3ExKyW" TargetMode="External"/><Relationship Id="rId51" Type="http://schemas.openxmlformats.org/officeDocument/2006/relationships/drawing" Target="../drawings/drawing4.xml"/><Relationship Id="rId50" Type="http://schemas.openxmlformats.org/officeDocument/2006/relationships/hyperlink" Target="https://www.bbc.com/news/technology-6513940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ccessnow.org/keepiton/" TargetMode="External"/><Relationship Id="rId2" Type="http://schemas.openxmlformats.org/officeDocument/2006/relationships/hyperlink" Target="https://www.accessnow.org/keepiton/" TargetMode="External"/><Relationship Id="rId3" Type="http://schemas.openxmlformats.org/officeDocument/2006/relationships/hyperlink" Target="https://www.accessnow.org/keepiton/" TargetMode="External"/><Relationship Id="rId4" Type="http://schemas.openxmlformats.org/officeDocument/2006/relationships/hyperlink" Target="https://www.accessnow.org/keepiton/" TargetMode="External"/><Relationship Id="rId9" Type="http://schemas.openxmlformats.org/officeDocument/2006/relationships/hyperlink" Target="https://www.accessnow.org/keepiton/" TargetMode="External"/><Relationship Id="rId5" Type="http://schemas.openxmlformats.org/officeDocument/2006/relationships/hyperlink" Target="https://www.accessnow.org/keepiton/" TargetMode="External"/><Relationship Id="rId6" Type="http://schemas.openxmlformats.org/officeDocument/2006/relationships/hyperlink" Target="https://www.accessnow.org/keepiton/" TargetMode="External"/><Relationship Id="rId7" Type="http://schemas.openxmlformats.org/officeDocument/2006/relationships/hyperlink" Target="https://www.accessnow.org/keepiton/" TargetMode="External"/><Relationship Id="rId8" Type="http://schemas.openxmlformats.org/officeDocument/2006/relationships/hyperlink" Target="https://www.accessnow.org/keepiton/" TargetMode="External"/><Relationship Id="rId40" Type="http://schemas.openxmlformats.org/officeDocument/2006/relationships/hyperlink" Target="https://www.accessnow.org/keepiton/" TargetMode="External"/><Relationship Id="rId42" Type="http://schemas.openxmlformats.org/officeDocument/2006/relationships/hyperlink" Target="https://www.accessnow.org/keepiton/" TargetMode="External"/><Relationship Id="rId41" Type="http://schemas.openxmlformats.org/officeDocument/2006/relationships/hyperlink" Target="https://www.accessnow.org/keepiton/" TargetMode="External"/><Relationship Id="rId44" Type="http://schemas.openxmlformats.org/officeDocument/2006/relationships/hyperlink" Target="https://www.accessnow.org/keepiton/" TargetMode="External"/><Relationship Id="rId43" Type="http://schemas.openxmlformats.org/officeDocument/2006/relationships/hyperlink" Target="https://www.accessnow.org/keepiton/" TargetMode="External"/><Relationship Id="rId46" Type="http://schemas.openxmlformats.org/officeDocument/2006/relationships/hyperlink" Target="https://www.accessnow.org/keepiton/" TargetMode="External"/><Relationship Id="rId45" Type="http://schemas.openxmlformats.org/officeDocument/2006/relationships/hyperlink" Target="https://www.accessnow.org/keepiton/" TargetMode="External"/><Relationship Id="rId48" Type="http://schemas.openxmlformats.org/officeDocument/2006/relationships/hyperlink" Target="https://www.accessnow.org/keepiton/" TargetMode="External"/><Relationship Id="rId47" Type="http://schemas.openxmlformats.org/officeDocument/2006/relationships/hyperlink" Target="https://www.accessnow.org/keepiton/" TargetMode="External"/><Relationship Id="rId49" Type="http://schemas.openxmlformats.org/officeDocument/2006/relationships/hyperlink" Target="https://www.accessnow.org/keepiton/" TargetMode="External"/><Relationship Id="rId31" Type="http://schemas.openxmlformats.org/officeDocument/2006/relationships/hyperlink" Target="https://www.accessnow.org/keepiton/" TargetMode="External"/><Relationship Id="rId30" Type="http://schemas.openxmlformats.org/officeDocument/2006/relationships/hyperlink" Target="https://www.accessnow.org/keepiton/" TargetMode="External"/><Relationship Id="rId33" Type="http://schemas.openxmlformats.org/officeDocument/2006/relationships/hyperlink" Target="https://www.accessnow.org/keepiton/" TargetMode="External"/><Relationship Id="rId32" Type="http://schemas.openxmlformats.org/officeDocument/2006/relationships/hyperlink" Target="https://www.accessnow.org/keepiton/" TargetMode="External"/><Relationship Id="rId35" Type="http://schemas.openxmlformats.org/officeDocument/2006/relationships/hyperlink" Target="https://www.accessnow.org/keepiton/" TargetMode="External"/><Relationship Id="rId34" Type="http://schemas.openxmlformats.org/officeDocument/2006/relationships/hyperlink" Target="https://www.accessnow.org/keepiton/" TargetMode="External"/><Relationship Id="rId37" Type="http://schemas.openxmlformats.org/officeDocument/2006/relationships/hyperlink" Target="https://www.accessnow.org/keepiton/" TargetMode="External"/><Relationship Id="rId36" Type="http://schemas.openxmlformats.org/officeDocument/2006/relationships/hyperlink" Target="https://www.accessnow.org/keepiton/" TargetMode="External"/><Relationship Id="rId39" Type="http://schemas.openxmlformats.org/officeDocument/2006/relationships/hyperlink" Target="https://www.accessnow.org/keepiton/" TargetMode="External"/><Relationship Id="rId38" Type="http://schemas.openxmlformats.org/officeDocument/2006/relationships/hyperlink" Target="https://www.accessnow.org/keepiton/" TargetMode="External"/><Relationship Id="rId20" Type="http://schemas.openxmlformats.org/officeDocument/2006/relationships/hyperlink" Target="https://www.accessnow.org/keepiton/" TargetMode="External"/><Relationship Id="rId22" Type="http://schemas.openxmlformats.org/officeDocument/2006/relationships/hyperlink" Target="https://www.accessnow.org/keepiton/" TargetMode="External"/><Relationship Id="rId21" Type="http://schemas.openxmlformats.org/officeDocument/2006/relationships/hyperlink" Target="https://www.accessnow.org/keepiton/" TargetMode="External"/><Relationship Id="rId24" Type="http://schemas.openxmlformats.org/officeDocument/2006/relationships/hyperlink" Target="https://www.accessnow.org/keepiton/" TargetMode="External"/><Relationship Id="rId23" Type="http://schemas.openxmlformats.org/officeDocument/2006/relationships/hyperlink" Target="https://www.accessnow.org/keepiton/" TargetMode="External"/><Relationship Id="rId26" Type="http://schemas.openxmlformats.org/officeDocument/2006/relationships/hyperlink" Target="https://www.accessnow.org/keepiton/" TargetMode="External"/><Relationship Id="rId25" Type="http://schemas.openxmlformats.org/officeDocument/2006/relationships/hyperlink" Target="https://www.accessnow.org/keepiton/" TargetMode="External"/><Relationship Id="rId28" Type="http://schemas.openxmlformats.org/officeDocument/2006/relationships/hyperlink" Target="https://www.accessnow.org/keepiton/" TargetMode="External"/><Relationship Id="rId27" Type="http://schemas.openxmlformats.org/officeDocument/2006/relationships/hyperlink" Target="https://www.accessnow.org/keepiton/" TargetMode="External"/><Relationship Id="rId29" Type="http://schemas.openxmlformats.org/officeDocument/2006/relationships/hyperlink" Target="https://www.accessnow.org/keepiton/" TargetMode="External"/><Relationship Id="rId11" Type="http://schemas.openxmlformats.org/officeDocument/2006/relationships/hyperlink" Target="https://www.accessnow.org/keepiton/" TargetMode="External"/><Relationship Id="rId10" Type="http://schemas.openxmlformats.org/officeDocument/2006/relationships/hyperlink" Target="https://www.accessnow.org/keepiton/" TargetMode="External"/><Relationship Id="rId13" Type="http://schemas.openxmlformats.org/officeDocument/2006/relationships/hyperlink" Target="https://www.accessnow.org/keepiton/" TargetMode="External"/><Relationship Id="rId12" Type="http://schemas.openxmlformats.org/officeDocument/2006/relationships/hyperlink" Target="https://www.accessnow.org/keepiton/" TargetMode="External"/><Relationship Id="rId15" Type="http://schemas.openxmlformats.org/officeDocument/2006/relationships/hyperlink" Target="https://www.accessnow.org/keepiton/" TargetMode="External"/><Relationship Id="rId14" Type="http://schemas.openxmlformats.org/officeDocument/2006/relationships/hyperlink" Target="https://www.accessnow.org/keepiton/" TargetMode="External"/><Relationship Id="rId17" Type="http://schemas.openxmlformats.org/officeDocument/2006/relationships/hyperlink" Target="https://www.accessnow.org/keepiton/" TargetMode="External"/><Relationship Id="rId16" Type="http://schemas.openxmlformats.org/officeDocument/2006/relationships/hyperlink" Target="https://www.accessnow.org/keepiton/" TargetMode="External"/><Relationship Id="rId19" Type="http://schemas.openxmlformats.org/officeDocument/2006/relationships/hyperlink" Target="https://www.accessnow.org/keepiton/" TargetMode="External"/><Relationship Id="rId18" Type="http://schemas.openxmlformats.org/officeDocument/2006/relationships/hyperlink" Target="https://www.accessnow.org/keepiton/" TargetMode="External"/><Relationship Id="rId84" Type="http://schemas.openxmlformats.org/officeDocument/2006/relationships/hyperlink" Target="https://www.accessnow.org/keepiton/" TargetMode="External"/><Relationship Id="rId83" Type="http://schemas.openxmlformats.org/officeDocument/2006/relationships/hyperlink" Target="https://www.accessnow.org/keepiton/" TargetMode="External"/><Relationship Id="rId86" Type="http://schemas.openxmlformats.org/officeDocument/2006/relationships/hyperlink" Target="https://www.accessnow.org/keepiton/" TargetMode="External"/><Relationship Id="rId85" Type="http://schemas.openxmlformats.org/officeDocument/2006/relationships/hyperlink" Target="https://www.accessnow.org/keepiton/" TargetMode="External"/><Relationship Id="rId88" Type="http://schemas.openxmlformats.org/officeDocument/2006/relationships/hyperlink" Target="https://www.accessnow.org/keepiton/" TargetMode="External"/><Relationship Id="rId87" Type="http://schemas.openxmlformats.org/officeDocument/2006/relationships/hyperlink" Target="https://www.accessnow.org/keepiton/" TargetMode="External"/><Relationship Id="rId89" Type="http://schemas.openxmlformats.org/officeDocument/2006/relationships/hyperlink" Target="https://www.accessnow.org/keepiton/" TargetMode="External"/><Relationship Id="rId80" Type="http://schemas.openxmlformats.org/officeDocument/2006/relationships/hyperlink" Target="https://www.accessnow.org/keepiton/" TargetMode="External"/><Relationship Id="rId82" Type="http://schemas.openxmlformats.org/officeDocument/2006/relationships/hyperlink" Target="https://www.accessnow.org/keepiton/" TargetMode="External"/><Relationship Id="rId81" Type="http://schemas.openxmlformats.org/officeDocument/2006/relationships/hyperlink" Target="https://www.accessnow.org/keepiton/" TargetMode="External"/><Relationship Id="rId73" Type="http://schemas.openxmlformats.org/officeDocument/2006/relationships/hyperlink" Target="https://www.accessnow.org/keepiton/" TargetMode="External"/><Relationship Id="rId72" Type="http://schemas.openxmlformats.org/officeDocument/2006/relationships/hyperlink" Target="https://www.accessnow.org/keepiton/" TargetMode="External"/><Relationship Id="rId75" Type="http://schemas.openxmlformats.org/officeDocument/2006/relationships/hyperlink" Target="https://www.accessnow.org/keepiton/" TargetMode="External"/><Relationship Id="rId74" Type="http://schemas.openxmlformats.org/officeDocument/2006/relationships/hyperlink" Target="https://www.accessnow.org/keepiton/" TargetMode="External"/><Relationship Id="rId77" Type="http://schemas.openxmlformats.org/officeDocument/2006/relationships/hyperlink" Target="https://www.accessnow.org/keepiton/" TargetMode="External"/><Relationship Id="rId76" Type="http://schemas.openxmlformats.org/officeDocument/2006/relationships/hyperlink" Target="https://www.accessnow.org/keepiton/" TargetMode="External"/><Relationship Id="rId79" Type="http://schemas.openxmlformats.org/officeDocument/2006/relationships/hyperlink" Target="https://www.accessnow.org/keepiton/" TargetMode="External"/><Relationship Id="rId78" Type="http://schemas.openxmlformats.org/officeDocument/2006/relationships/hyperlink" Target="https://www.accessnow.org/keepiton/" TargetMode="External"/><Relationship Id="rId71" Type="http://schemas.openxmlformats.org/officeDocument/2006/relationships/hyperlink" Target="https://www.accessnow.org/keepiton/" TargetMode="External"/><Relationship Id="rId70" Type="http://schemas.openxmlformats.org/officeDocument/2006/relationships/hyperlink" Target="https://www.accessnow.org/keepiton/" TargetMode="External"/><Relationship Id="rId62" Type="http://schemas.openxmlformats.org/officeDocument/2006/relationships/hyperlink" Target="https://www.accessnow.org/keepiton/" TargetMode="External"/><Relationship Id="rId61" Type="http://schemas.openxmlformats.org/officeDocument/2006/relationships/hyperlink" Target="https://www.accessnow.org/keepiton/" TargetMode="External"/><Relationship Id="rId64" Type="http://schemas.openxmlformats.org/officeDocument/2006/relationships/hyperlink" Target="https://www.accessnow.org/keepiton/" TargetMode="External"/><Relationship Id="rId63" Type="http://schemas.openxmlformats.org/officeDocument/2006/relationships/hyperlink" Target="https://www.accessnow.org/keepiton/" TargetMode="External"/><Relationship Id="rId66" Type="http://schemas.openxmlformats.org/officeDocument/2006/relationships/hyperlink" Target="https://www.accessnow.org/keepiton/" TargetMode="External"/><Relationship Id="rId65" Type="http://schemas.openxmlformats.org/officeDocument/2006/relationships/hyperlink" Target="https://www.accessnow.org/keepiton/" TargetMode="External"/><Relationship Id="rId68" Type="http://schemas.openxmlformats.org/officeDocument/2006/relationships/hyperlink" Target="https://www.accessnow.org/keepiton/" TargetMode="External"/><Relationship Id="rId67" Type="http://schemas.openxmlformats.org/officeDocument/2006/relationships/hyperlink" Target="https://www.accessnow.org/keepiton/" TargetMode="External"/><Relationship Id="rId60" Type="http://schemas.openxmlformats.org/officeDocument/2006/relationships/hyperlink" Target="https://www.accessnow.org/keepiton/" TargetMode="External"/><Relationship Id="rId69" Type="http://schemas.openxmlformats.org/officeDocument/2006/relationships/hyperlink" Target="https://www.accessnow.org/keepiton/" TargetMode="External"/><Relationship Id="rId51" Type="http://schemas.openxmlformats.org/officeDocument/2006/relationships/hyperlink" Target="https://www.accessnow.org/keepiton/" TargetMode="External"/><Relationship Id="rId50" Type="http://schemas.openxmlformats.org/officeDocument/2006/relationships/hyperlink" Target="https://www.accessnow.org/keepiton/" TargetMode="External"/><Relationship Id="rId53" Type="http://schemas.openxmlformats.org/officeDocument/2006/relationships/hyperlink" Target="https://www.accessnow.org/keepiton/" TargetMode="External"/><Relationship Id="rId52" Type="http://schemas.openxmlformats.org/officeDocument/2006/relationships/hyperlink" Target="https://www.accessnow.org/keepiton/" TargetMode="External"/><Relationship Id="rId55" Type="http://schemas.openxmlformats.org/officeDocument/2006/relationships/hyperlink" Target="https://www.accessnow.org/keepiton/" TargetMode="External"/><Relationship Id="rId54" Type="http://schemas.openxmlformats.org/officeDocument/2006/relationships/hyperlink" Target="https://www.accessnow.org/keepiton/" TargetMode="External"/><Relationship Id="rId57" Type="http://schemas.openxmlformats.org/officeDocument/2006/relationships/hyperlink" Target="https://www.accessnow.org/keepiton/" TargetMode="External"/><Relationship Id="rId56" Type="http://schemas.openxmlformats.org/officeDocument/2006/relationships/hyperlink" Target="https://www.accessnow.org/keepiton/" TargetMode="External"/><Relationship Id="rId59" Type="http://schemas.openxmlformats.org/officeDocument/2006/relationships/hyperlink" Target="https://www.accessnow.org/keepiton/" TargetMode="External"/><Relationship Id="rId58" Type="http://schemas.openxmlformats.org/officeDocument/2006/relationships/hyperlink" Target="https://www.accessnow.org/keepiton/" TargetMode="External"/><Relationship Id="rId90"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13"/>
  </cols>
  <sheetData>
    <row r="1">
      <c r="A1" s="1" t="s">
        <v>0</v>
      </c>
    </row>
    <row r="2">
      <c r="A2" s="2"/>
      <c r="B2" s="3" t="s">
        <v>1</v>
      </c>
    </row>
    <row r="3">
      <c r="A3" s="2"/>
      <c r="B3" s="3" t="s">
        <v>2</v>
      </c>
    </row>
    <row r="4">
      <c r="A4" s="2"/>
      <c r="B4" s="3" t="s">
        <v>3</v>
      </c>
    </row>
    <row r="5">
      <c r="A5" s="2"/>
      <c r="B5" s="3" t="s">
        <v>4</v>
      </c>
    </row>
    <row r="6">
      <c r="A6" s="4" t="s">
        <v>5</v>
      </c>
    </row>
  </sheetData>
  <mergeCells count="6">
    <mergeCell ref="A1:H1"/>
    <mergeCell ref="B2:H2"/>
    <mergeCell ref="B3:H3"/>
    <mergeCell ref="B4:H4"/>
    <mergeCell ref="B5:H5"/>
    <mergeCell ref="A6:H6"/>
  </mergeCells>
  <hyperlinks>
    <hyperlink r:id="rId1" ref="A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8" width="11.0"/>
    <col customWidth="1" min="11" max="11" width="10.88"/>
    <col customWidth="1" min="12" max="12" width="28.0"/>
  </cols>
  <sheetData>
    <row r="1">
      <c r="A1" s="5"/>
      <c r="B1" s="6" t="s">
        <v>6</v>
      </c>
      <c r="C1" s="6" t="s">
        <v>7</v>
      </c>
      <c r="D1" s="6" t="s">
        <v>8</v>
      </c>
      <c r="E1" s="6" t="s">
        <v>9</v>
      </c>
      <c r="F1" s="6" t="s">
        <v>10</v>
      </c>
      <c r="G1" s="6" t="s">
        <v>11</v>
      </c>
      <c r="H1" s="6" t="s">
        <v>12</v>
      </c>
      <c r="I1" s="7" t="s">
        <v>13</v>
      </c>
      <c r="J1" s="7" t="s">
        <v>14</v>
      </c>
      <c r="K1" s="8" t="s">
        <v>15</v>
      </c>
      <c r="L1" s="6" t="s">
        <v>16</v>
      </c>
      <c r="M1" s="9" t="s">
        <v>17</v>
      </c>
      <c r="N1" s="6" t="s">
        <v>18</v>
      </c>
      <c r="O1" s="10" t="s">
        <v>19</v>
      </c>
      <c r="P1" s="8" t="s">
        <v>20</v>
      </c>
      <c r="Q1" s="10" t="s">
        <v>21</v>
      </c>
      <c r="R1" s="10" t="s">
        <v>22</v>
      </c>
      <c r="S1" s="10" t="s">
        <v>23</v>
      </c>
      <c r="T1" s="10" t="s">
        <v>24</v>
      </c>
      <c r="U1" s="6" t="s">
        <v>25</v>
      </c>
      <c r="V1" s="6" t="s">
        <v>26</v>
      </c>
      <c r="W1" s="11" t="s">
        <v>27</v>
      </c>
      <c r="Z1" s="11"/>
    </row>
    <row r="2">
      <c r="A2" s="12" t="s">
        <v>28</v>
      </c>
      <c r="C2" s="13"/>
      <c r="D2" s="13"/>
      <c r="E2" s="13"/>
      <c r="F2" s="13"/>
      <c r="G2" s="13"/>
      <c r="H2" s="13"/>
      <c r="I2" s="13"/>
      <c r="J2" s="13"/>
      <c r="K2" s="13"/>
      <c r="L2" s="13"/>
      <c r="M2" s="13"/>
      <c r="N2" s="13"/>
      <c r="O2" s="13"/>
      <c r="P2" s="13"/>
      <c r="Q2" s="13"/>
      <c r="R2" s="13"/>
      <c r="S2" s="13"/>
      <c r="T2" s="13"/>
      <c r="U2" s="13"/>
      <c r="V2" s="13"/>
      <c r="W2" s="14"/>
      <c r="Z2" s="14"/>
    </row>
    <row r="3">
      <c r="A3" s="15" t="s">
        <v>29</v>
      </c>
      <c r="C3" s="13"/>
      <c r="D3" s="13"/>
      <c r="E3" s="13"/>
      <c r="F3" s="13"/>
      <c r="G3" s="13"/>
      <c r="H3" s="13"/>
      <c r="I3" s="13"/>
      <c r="J3" s="13"/>
      <c r="K3" s="13"/>
      <c r="L3" s="13"/>
      <c r="M3" s="13"/>
      <c r="N3" s="13"/>
      <c r="O3" s="13"/>
      <c r="P3" s="13"/>
      <c r="Q3" s="13"/>
      <c r="R3" s="13"/>
      <c r="S3" s="13"/>
      <c r="T3" s="13"/>
      <c r="U3" s="13"/>
      <c r="V3" s="13"/>
      <c r="Z3" s="14"/>
    </row>
    <row r="4">
      <c r="A4" s="16" t="s">
        <v>30</v>
      </c>
      <c r="C4" s="13"/>
      <c r="D4" s="13"/>
      <c r="E4" s="13"/>
      <c r="F4" s="13"/>
      <c r="G4" s="13"/>
      <c r="H4" s="13"/>
      <c r="I4" s="13"/>
      <c r="J4" s="13"/>
      <c r="K4" s="13"/>
      <c r="L4" s="13"/>
      <c r="M4" s="13"/>
      <c r="N4" s="13"/>
      <c r="O4" s="13"/>
      <c r="P4" s="13"/>
      <c r="Q4" s="13"/>
      <c r="R4" s="13"/>
      <c r="S4" s="13"/>
      <c r="T4" s="13"/>
      <c r="U4" s="13"/>
      <c r="V4" s="13"/>
      <c r="Z4" s="14"/>
    </row>
    <row r="5">
      <c r="A5" s="17" t="s">
        <v>31</v>
      </c>
      <c r="C5" s="13"/>
      <c r="D5" s="13"/>
      <c r="E5" s="13"/>
      <c r="F5" s="13"/>
      <c r="G5" s="13"/>
      <c r="H5" s="13"/>
      <c r="I5" s="13"/>
      <c r="J5" s="13"/>
      <c r="K5" s="13"/>
      <c r="L5" s="13"/>
      <c r="M5" s="13"/>
      <c r="N5" s="13"/>
      <c r="O5" s="13"/>
      <c r="P5" s="13"/>
      <c r="Q5" s="13"/>
      <c r="R5" s="13"/>
      <c r="S5" s="13"/>
      <c r="T5" s="13"/>
      <c r="U5" s="13"/>
      <c r="V5" s="13"/>
      <c r="Z5" s="14"/>
    </row>
    <row r="6">
      <c r="A6" s="18" t="s">
        <v>32</v>
      </c>
      <c r="C6" s="13"/>
      <c r="D6" s="13"/>
      <c r="E6" s="13"/>
      <c r="F6" s="13"/>
      <c r="G6" s="13"/>
      <c r="H6" s="13"/>
      <c r="I6" s="13"/>
      <c r="J6" s="13"/>
      <c r="K6" s="13"/>
      <c r="L6" s="13"/>
      <c r="M6" s="13"/>
      <c r="N6" s="13"/>
      <c r="O6" s="13"/>
      <c r="P6" s="13"/>
      <c r="Q6" s="13"/>
      <c r="R6" s="13"/>
      <c r="S6" s="13"/>
      <c r="T6" s="13"/>
      <c r="U6" s="13"/>
      <c r="V6" s="13"/>
      <c r="Z6" s="14"/>
    </row>
    <row r="7">
      <c r="A7" s="19" t="s">
        <v>33</v>
      </c>
      <c r="B7" s="19"/>
      <c r="C7" s="19"/>
      <c r="D7" s="19"/>
      <c r="E7" s="19"/>
      <c r="F7" s="19"/>
      <c r="G7" s="19"/>
      <c r="H7" s="19"/>
      <c r="I7" s="19"/>
      <c r="J7" s="19"/>
      <c r="K7" s="19"/>
      <c r="L7" s="19"/>
      <c r="M7" s="19"/>
      <c r="N7" s="20"/>
      <c r="Z7" s="20"/>
    </row>
    <row r="8">
      <c r="A8" s="21">
        <v>1.0</v>
      </c>
      <c r="B8" s="22" t="s">
        <v>34</v>
      </c>
      <c r="C8" s="23" t="s">
        <v>35</v>
      </c>
      <c r="D8" s="24" t="s">
        <v>36</v>
      </c>
      <c r="E8" s="25" t="b">
        <v>1</v>
      </c>
      <c r="F8" s="26" t="b">
        <v>0</v>
      </c>
      <c r="G8" s="26" t="b">
        <v>0</v>
      </c>
      <c r="H8" s="26" t="b">
        <v>0</v>
      </c>
      <c r="I8" s="27">
        <v>43722.0</v>
      </c>
      <c r="J8" s="27">
        <v>43722.0</v>
      </c>
      <c r="K8" s="28">
        <v>1.0</v>
      </c>
      <c r="L8" s="29" t="s">
        <v>37</v>
      </c>
      <c r="M8" s="30" t="s">
        <v>38</v>
      </c>
      <c r="N8" s="31" t="b">
        <v>0</v>
      </c>
      <c r="O8" s="32" t="b">
        <v>0</v>
      </c>
      <c r="P8" s="32" t="b">
        <v>0</v>
      </c>
      <c r="Q8" s="32" t="b">
        <v>0</v>
      </c>
      <c r="R8" s="32" t="b">
        <v>0</v>
      </c>
      <c r="S8" s="32" t="b">
        <v>0</v>
      </c>
      <c r="T8" s="32" t="b">
        <v>0</v>
      </c>
      <c r="U8" s="32" t="b">
        <v>0</v>
      </c>
      <c r="V8" s="32" t="b">
        <v>0</v>
      </c>
      <c r="W8" s="33" t="s">
        <v>39</v>
      </c>
      <c r="X8" s="34"/>
      <c r="Y8" s="34"/>
      <c r="Z8" s="34"/>
    </row>
    <row r="9">
      <c r="E9" s="25" t="b">
        <v>0</v>
      </c>
      <c r="F9" s="25" t="b">
        <v>0</v>
      </c>
      <c r="G9" s="25" t="b">
        <v>1</v>
      </c>
      <c r="H9" s="25" t="b">
        <v>0</v>
      </c>
      <c r="I9" s="27">
        <v>43685.0</v>
      </c>
      <c r="J9" s="27">
        <v>43685.0</v>
      </c>
      <c r="K9" s="28">
        <v>3.0</v>
      </c>
      <c r="L9" s="29" t="s">
        <v>40</v>
      </c>
      <c r="M9" s="30" t="s">
        <v>38</v>
      </c>
      <c r="N9" s="31" t="b">
        <v>1</v>
      </c>
      <c r="O9" s="32" t="b">
        <v>0</v>
      </c>
      <c r="P9" s="32" t="b">
        <v>0</v>
      </c>
      <c r="Q9" s="32" t="b">
        <v>1</v>
      </c>
      <c r="R9" s="32" t="b">
        <v>0</v>
      </c>
      <c r="S9" s="32" t="b">
        <v>0</v>
      </c>
      <c r="T9" s="32" t="b">
        <v>0</v>
      </c>
      <c r="U9" s="32" t="b">
        <v>1</v>
      </c>
      <c r="V9" s="32" t="b">
        <v>0</v>
      </c>
      <c r="W9" s="33" t="s">
        <v>41</v>
      </c>
      <c r="X9" s="34"/>
      <c r="Y9" s="34"/>
      <c r="Z9" s="34"/>
    </row>
    <row r="10">
      <c r="E10" s="25" t="b">
        <v>1</v>
      </c>
      <c r="F10" s="25" t="b">
        <v>0</v>
      </c>
      <c r="G10" s="25" t="b">
        <v>0</v>
      </c>
      <c r="H10" s="25" t="b">
        <v>0</v>
      </c>
      <c r="I10" s="27">
        <v>43632.0</v>
      </c>
      <c r="J10" s="27">
        <v>43636.0</v>
      </c>
      <c r="K10" s="28">
        <v>120.0</v>
      </c>
      <c r="L10" s="29" t="s">
        <v>42</v>
      </c>
      <c r="M10" s="30" t="s">
        <v>38</v>
      </c>
      <c r="N10" s="31" t="b">
        <v>1</v>
      </c>
      <c r="O10" s="32" t="b">
        <v>1</v>
      </c>
      <c r="P10" s="32" t="b">
        <v>1</v>
      </c>
      <c r="Q10" s="32" t="b">
        <v>0</v>
      </c>
      <c r="R10" s="32" t="b">
        <v>1</v>
      </c>
      <c r="S10" s="32" t="b">
        <v>1</v>
      </c>
      <c r="T10" s="32" t="b">
        <v>1</v>
      </c>
      <c r="U10" s="32" t="b">
        <v>1</v>
      </c>
      <c r="V10" s="32" t="b">
        <v>1</v>
      </c>
      <c r="W10" s="33" t="s">
        <v>41</v>
      </c>
      <c r="X10" s="34"/>
      <c r="Y10" s="34"/>
      <c r="Z10" s="34"/>
    </row>
    <row r="11">
      <c r="E11" s="25" t="b">
        <v>1</v>
      </c>
      <c r="F11" s="25" t="b">
        <v>0</v>
      </c>
      <c r="G11" s="25" t="b">
        <v>0</v>
      </c>
      <c r="H11" s="25" t="b">
        <v>0</v>
      </c>
      <c r="I11" s="27">
        <v>43525.0</v>
      </c>
      <c r="J11" s="27">
        <v>43525.0</v>
      </c>
      <c r="K11" s="28">
        <v>3.0</v>
      </c>
      <c r="L11" s="29" t="s">
        <v>43</v>
      </c>
      <c r="M11" s="30" t="s">
        <v>38</v>
      </c>
      <c r="N11" s="31" t="b">
        <v>0</v>
      </c>
      <c r="O11" s="32" t="b">
        <v>0</v>
      </c>
      <c r="P11" s="32" t="b">
        <v>0</v>
      </c>
      <c r="Q11" s="32" t="b">
        <v>0</v>
      </c>
      <c r="R11" s="32" t="b">
        <v>0</v>
      </c>
      <c r="S11" s="32" t="b">
        <v>0</v>
      </c>
      <c r="T11" s="32" t="b">
        <v>0</v>
      </c>
      <c r="U11" s="32" t="b">
        <v>0</v>
      </c>
      <c r="V11" s="32" t="b">
        <v>0</v>
      </c>
      <c r="W11" s="33" t="s">
        <v>41</v>
      </c>
      <c r="X11" s="34"/>
      <c r="Y11" s="34"/>
      <c r="Z11" s="34"/>
    </row>
    <row r="12">
      <c r="E12" s="25" t="b">
        <v>1</v>
      </c>
      <c r="F12" s="25" t="b">
        <v>0</v>
      </c>
      <c r="G12" s="25" t="b">
        <v>0</v>
      </c>
      <c r="H12" s="25" t="b">
        <v>0</v>
      </c>
      <c r="I12" s="27">
        <v>43518.0</v>
      </c>
      <c r="J12" s="27">
        <v>43521.0</v>
      </c>
      <c r="K12" s="28">
        <v>69.0</v>
      </c>
      <c r="L12" s="29" t="s">
        <v>44</v>
      </c>
      <c r="M12" s="30" t="s">
        <v>38</v>
      </c>
      <c r="N12" s="31" t="b">
        <v>0</v>
      </c>
      <c r="O12" s="32" t="b">
        <v>0</v>
      </c>
      <c r="P12" s="32" t="b">
        <v>0</v>
      </c>
      <c r="Q12" s="32" t="b">
        <v>0</v>
      </c>
      <c r="R12" s="32" t="b">
        <v>0</v>
      </c>
      <c r="S12" s="32" t="b">
        <v>0</v>
      </c>
      <c r="T12" s="32" t="b">
        <v>0</v>
      </c>
      <c r="U12" s="32" t="b">
        <v>0</v>
      </c>
      <c r="V12" s="32" t="b">
        <v>0</v>
      </c>
      <c r="W12" s="33" t="s">
        <v>41</v>
      </c>
      <c r="X12" s="34"/>
      <c r="Y12" s="34"/>
      <c r="Z12" s="34"/>
    </row>
    <row r="13">
      <c r="A13" s="21">
        <v>2.0</v>
      </c>
      <c r="B13" s="22" t="s">
        <v>45</v>
      </c>
      <c r="C13" s="23" t="s">
        <v>46</v>
      </c>
      <c r="D13" s="35" t="s">
        <v>29</v>
      </c>
      <c r="E13" s="25" t="b">
        <v>0</v>
      </c>
      <c r="F13" s="25" t="b">
        <v>0</v>
      </c>
      <c r="G13" s="25" t="b">
        <v>0</v>
      </c>
      <c r="H13" s="25" t="b">
        <v>0</v>
      </c>
      <c r="I13" s="36" t="s">
        <v>47</v>
      </c>
      <c r="J13" s="36" t="s">
        <v>47</v>
      </c>
      <c r="K13" s="28" t="s">
        <v>47</v>
      </c>
      <c r="L13" s="37" t="s">
        <v>47</v>
      </c>
      <c r="M13" s="27" t="s">
        <v>47</v>
      </c>
      <c r="N13" s="31" t="b">
        <v>0</v>
      </c>
      <c r="O13" s="32" t="b">
        <v>0</v>
      </c>
      <c r="P13" s="32" t="b">
        <v>0</v>
      </c>
      <c r="Q13" s="32" t="b">
        <v>0</v>
      </c>
      <c r="R13" s="32" t="b">
        <v>0</v>
      </c>
      <c r="S13" s="32" t="b">
        <v>0</v>
      </c>
      <c r="T13" s="32" t="b">
        <v>0</v>
      </c>
      <c r="U13" s="32" t="b">
        <v>0</v>
      </c>
      <c r="V13" s="32" t="b">
        <v>0</v>
      </c>
      <c r="W13" s="34"/>
      <c r="X13" s="34"/>
      <c r="Y13" s="34"/>
      <c r="Z13" s="34"/>
    </row>
    <row r="14">
      <c r="A14" s="21">
        <v>3.0</v>
      </c>
      <c r="B14" s="22" t="s">
        <v>48</v>
      </c>
      <c r="C14" s="23" t="s">
        <v>49</v>
      </c>
      <c r="D14" s="24" t="s">
        <v>36</v>
      </c>
      <c r="E14" s="25" t="b">
        <v>0</v>
      </c>
      <c r="F14" s="25" t="b">
        <v>1</v>
      </c>
      <c r="G14" s="25" t="b">
        <v>0</v>
      </c>
      <c r="H14" s="25" t="b">
        <v>0</v>
      </c>
      <c r="I14" s="27">
        <v>43586.0</v>
      </c>
      <c r="J14" s="27">
        <v>43586.0</v>
      </c>
      <c r="K14" s="28">
        <v>15.0</v>
      </c>
      <c r="L14" s="29" t="s">
        <v>50</v>
      </c>
      <c r="M14" s="30" t="s">
        <v>38</v>
      </c>
      <c r="N14" s="31" t="b">
        <v>0</v>
      </c>
      <c r="O14" s="32" t="b">
        <v>0</v>
      </c>
      <c r="P14" s="32" t="b">
        <v>0</v>
      </c>
      <c r="Q14" s="32" t="b">
        <v>0</v>
      </c>
      <c r="R14" s="32" t="b">
        <v>0</v>
      </c>
      <c r="S14" s="32" t="b">
        <v>0</v>
      </c>
      <c r="T14" s="32" t="b">
        <v>0</v>
      </c>
      <c r="U14" s="32" t="b">
        <v>0</v>
      </c>
      <c r="V14" s="32" t="b">
        <v>0</v>
      </c>
      <c r="W14" s="33" t="s">
        <v>41</v>
      </c>
      <c r="X14" s="33"/>
      <c r="Y14" s="34"/>
      <c r="Z14" s="34"/>
    </row>
    <row r="15">
      <c r="E15" s="25" t="b">
        <v>1</v>
      </c>
      <c r="F15" s="25" t="b">
        <v>0</v>
      </c>
      <c r="G15" s="25" t="b">
        <v>0</v>
      </c>
      <c r="H15" s="25" t="b">
        <v>0</v>
      </c>
      <c r="I15" s="27">
        <v>43583.0</v>
      </c>
      <c r="J15" s="27">
        <v>43583.0</v>
      </c>
      <c r="K15" s="28">
        <v>1.0</v>
      </c>
      <c r="L15" s="29" t="s">
        <v>51</v>
      </c>
      <c r="M15" s="30" t="s">
        <v>38</v>
      </c>
      <c r="N15" s="31" t="b">
        <v>1</v>
      </c>
      <c r="O15" s="32" t="b">
        <v>1</v>
      </c>
      <c r="P15" s="32" t="b">
        <v>1</v>
      </c>
      <c r="Q15" s="32" t="b">
        <v>0</v>
      </c>
      <c r="R15" s="32" t="b">
        <v>1</v>
      </c>
      <c r="S15" s="32" t="b">
        <v>1</v>
      </c>
      <c r="T15" s="32" t="b">
        <v>1</v>
      </c>
      <c r="U15" s="32" t="b">
        <v>1</v>
      </c>
      <c r="V15" s="32" t="b">
        <v>0</v>
      </c>
      <c r="W15" s="33" t="s">
        <v>41</v>
      </c>
      <c r="X15" s="33" t="s">
        <v>52</v>
      </c>
      <c r="Y15" s="34"/>
      <c r="Z15" s="34"/>
    </row>
    <row r="16">
      <c r="A16" s="21">
        <v>4.0</v>
      </c>
      <c r="B16" s="22" t="s">
        <v>53</v>
      </c>
      <c r="C16" s="23" t="s">
        <v>54</v>
      </c>
      <c r="D16" s="35" t="s">
        <v>29</v>
      </c>
      <c r="E16" s="25" t="b">
        <v>0</v>
      </c>
      <c r="F16" s="25" t="b">
        <v>0</v>
      </c>
      <c r="G16" s="25" t="b">
        <v>0</v>
      </c>
      <c r="H16" s="25" t="b">
        <v>0</v>
      </c>
      <c r="I16" s="36" t="s">
        <v>47</v>
      </c>
      <c r="J16" s="36" t="s">
        <v>47</v>
      </c>
      <c r="K16" s="28" t="s">
        <v>47</v>
      </c>
      <c r="L16" s="37" t="s">
        <v>47</v>
      </c>
      <c r="M16" s="27" t="s">
        <v>47</v>
      </c>
      <c r="N16" s="31" t="b">
        <v>0</v>
      </c>
      <c r="O16" s="32" t="b">
        <v>0</v>
      </c>
      <c r="P16" s="32" t="b">
        <v>0</v>
      </c>
      <c r="Q16" s="32" t="b">
        <v>0</v>
      </c>
      <c r="R16" s="32" t="b">
        <v>0</v>
      </c>
      <c r="S16" s="32" t="b">
        <v>0</v>
      </c>
      <c r="T16" s="32" t="b">
        <v>0</v>
      </c>
      <c r="U16" s="32" t="b">
        <v>0</v>
      </c>
      <c r="V16" s="32" t="b">
        <v>0</v>
      </c>
      <c r="W16" s="34"/>
      <c r="X16" s="34"/>
      <c r="Y16" s="34"/>
      <c r="Z16" s="34"/>
    </row>
    <row r="17">
      <c r="A17" s="21">
        <v>5.0</v>
      </c>
      <c r="B17" s="22" t="s">
        <v>55</v>
      </c>
      <c r="C17" s="23" t="s">
        <v>56</v>
      </c>
      <c r="D17" s="16" t="s">
        <v>30</v>
      </c>
      <c r="E17" s="25" t="b">
        <v>0</v>
      </c>
      <c r="F17" s="25" t="b">
        <v>0</v>
      </c>
      <c r="G17" s="25" t="b">
        <v>1</v>
      </c>
      <c r="H17" s="25" t="b">
        <v>0</v>
      </c>
      <c r="I17" s="36">
        <v>44584.0</v>
      </c>
      <c r="J17" s="36">
        <v>44585.0</v>
      </c>
      <c r="K17" s="28">
        <v>35.0</v>
      </c>
      <c r="L17" s="29" t="s">
        <v>57</v>
      </c>
      <c r="M17" s="30" t="s">
        <v>38</v>
      </c>
      <c r="N17" s="31" t="b">
        <v>0</v>
      </c>
      <c r="O17" s="32" t="b">
        <v>0</v>
      </c>
      <c r="P17" s="32" t="b">
        <v>0</v>
      </c>
      <c r="Q17" s="32" t="b">
        <v>0</v>
      </c>
      <c r="R17" s="32" t="b">
        <v>0</v>
      </c>
      <c r="S17" s="32" t="b">
        <v>0</v>
      </c>
      <c r="T17" s="32" t="b">
        <v>0</v>
      </c>
      <c r="U17" s="32" t="b">
        <v>0</v>
      </c>
      <c r="V17" s="32" t="b">
        <v>0</v>
      </c>
      <c r="W17" s="33" t="s">
        <v>39</v>
      </c>
      <c r="X17" s="34"/>
      <c r="Y17" s="34"/>
      <c r="Z17" s="34"/>
    </row>
    <row r="18">
      <c r="E18" s="25" t="b">
        <v>0</v>
      </c>
      <c r="F18" s="25" t="b">
        <v>0</v>
      </c>
      <c r="G18" s="25" t="b">
        <v>1</v>
      </c>
      <c r="H18" s="25" t="b">
        <v>0</v>
      </c>
      <c r="I18" s="36">
        <v>44572.0</v>
      </c>
      <c r="J18" s="36" t="s">
        <v>58</v>
      </c>
      <c r="K18" s="28">
        <f>(updateDate!B$1-date(year(I18),month(I18),day(I18)+1))*24</f>
        <v>26016</v>
      </c>
      <c r="L18" s="29" t="s">
        <v>59</v>
      </c>
      <c r="M18" s="30" t="s">
        <v>38</v>
      </c>
      <c r="N18" s="31" t="b">
        <v>1</v>
      </c>
      <c r="O18" s="32" t="b">
        <v>1</v>
      </c>
      <c r="P18" s="32" t="b">
        <v>0</v>
      </c>
      <c r="Q18" s="32" t="b">
        <v>0</v>
      </c>
      <c r="R18" s="32" t="b">
        <v>0</v>
      </c>
      <c r="S18" s="32" t="b">
        <v>0</v>
      </c>
      <c r="T18" s="32" t="b">
        <v>0</v>
      </c>
      <c r="U18" s="32" t="b">
        <v>0</v>
      </c>
      <c r="V18" s="32" t="b">
        <v>0</v>
      </c>
      <c r="W18" s="33" t="s">
        <v>39</v>
      </c>
      <c r="X18" s="33" t="s">
        <v>39</v>
      </c>
      <c r="Y18" s="34"/>
      <c r="Z18" s="34"/>
    </row>
    <row r="19">
      <c r="E19" s="25" t="b">
        <v>0</v>
      </c>
      <c r="F19" s="25" t="b">
        <v>0</v>
      </c>
      <c r="G19" s="25" t="b">
        <v>1</v>
      </c>
      <c r="H19" s="25" t="b">
        <v>0</v>
      </c>
      <c r="I19" s="36">
        <v>44571.0</v>
      </c>
      <c r="J19" s="36">
        <v>44572.0</v>
      </c>
      <c r="K19" s="28">
        <v>15.0</v>
      </c>
      <c r="L19" s="29" t="s">
        <v>60</v>
      </c>
      <c r="M19" s="30" t="s">
        <v>38</v>
      </c>
      <c r="N19" s="31" t="b">
        <v>0</v>
      </c>
      <c r="O19" s="32" t="b">
        <v>0</v>
      </c>
      <c r="P19" s="32" t="b">
        <v>0</v>
      </c>
      <c r="Q19" s="32" t="b">
        <v>0</v>
      </c>
      <c r="R19" s="32" t="b">
        <v>0</v>
      </c>
      <c r="S19" s="32" t="b">
        <v>0</v>
      </c>
      <c r="T19" s="32" t="b">
        <v>0</v>
      </c>
      <c r="U19" s="32" t="b">
        <v>0</v>
      </c>
      <c r="V19" s="32" t="b">
        <v>0</v>
      </c>
      <c r="W19" s="33" t="s">
        <v>39</v>
      </c>
      <c r="X19" s="34"/>
      <c r="Y19" s="34"/>
      <c r="Z19" s="34"/>
    </row>
    <row r="20">
      <c r="E20" s="25" t="b">
        <v>1</v>
      </c>
      <c r="F20" s="25" t="b">
        <v>0</v>
      </c>
      <c r="G20" s="25" t="b">
        <v>0</v>
      </c>
      <c r="H20" s="25" t="b">
        <v>0</v>
      </c>
      <c r="I20" s="36">
        <v>44520.0</v>
      </c>
      <c r="J20" s="36">
        <v>44528.0</v>
      </c>
      <c r="K20" s="28">
        <v>193.0</v>
      </c>
      <c r="L20" s="29" t="s">
        <v>61</v>
      </c>
      <c r="M20" s="30" t="s">
        <v>38</v>
      </c>
      <c r="N20" s="31" t="b">
        <v>0</v>
      </c>
      <c r="O20" s="32" t="b">
        <v>0</v>
      </c>
      <c r="P20" s="32" t="b">
        <v>0</v>
      </c>
      <c r="Q20" s="32" t="b">
        <v>0</v>
      </c>
      <c r="R20" s="32" t="b">
        <v>0</v>
      </c>
      <c r="S20" s="32" t="b">
        <v>0</v>
      </c>
      <c r="T20" s="32" t="b">
        <v>0</v>
      </c>
      <c r="U20" s="32" t="b">
        <v>0</v>
      </c>
      <c r="V20" s="32" t="b">
        <v>0</v>
      </c>
      <c r="W20" s="33" t="s">
        <v>39</v>
      </c>
      <c r="X20" s="34"/>
      <c r="Y20" s="34"/>
      <c r="Z20" s="34"/>
    </row>
    <row r="21">
      <c r="A21" s="21">
        <v>6.0</v>
      </c>
      <c r="B21" s="22" t="s">
        <v>62</v>
      </c>
      <c r="C21" s="23" t="s">
        <v>63</v>
      </c>
      <c r="D21" s="24" t="s">
        <v>36</v>
      </c>
      <c r="E21" s="25" t="b">
        <v>0</v>
      </c>
      <c r="F21" s="25" t="b">
        <v>1</v>
      </c>
      <c r="G21" s="25" t="b">
        <v>0</v>
      </c>
      <c r="H21" s="25" t="b">
        <v>0</v>
      </c>
      <c r="I21" s="38">
        <v>43971.0</v>
      </c>
      <c r="J21" s="38">
        <v>43972.0</v>
      </c>
      <c r="K21" s="28">
        <v>36.0</v>
      </c>
      <c r="L21" s="39" t="s">
        <v>64</v>
      </c>
      <c r="M21" s="40" t="s">
        <v>38</v>
      </c>
      <c r="N21" s="31" t="b">
        <v>1</v>
      </c>
      <c r="O21" s="32" t="b">
        <v>1</v>
      </c>
      <c r="P21" s="32" t="b">
        <v>1</v>
      </c>
      <c r="Q21" s="32" t="b">
        <v>1</v>
      </c>
      <c r="R21" s="32" t="b">
        <v>1</v>
      </c>
      <c r="S21" s="32" t="b">
        <v>1</v>
      </c>
      <c r="T21" s="32" t="b">
        <v>1</v>
      </c>
      <c r="U21" s="32" t="b">
        <v>0</v>
      </c>
      <c r="V21" s="32" t="b">
        <v>0</v>
      </c>
      <c r="W21" s="33" t="s">
        <v>65</v>
      </c>
      <c r="X21" s="33" t="s">
        <v>39</v>
      </c>
      <c r="Y21" s="34"/>
      <c r="Z21" s="34"/>
    </row>
    <row r="22">
      <c r="A22" s="21">
        <v>7.0</v>
      </c>
      <c r="B22" s="22" t="s">
        <v>66</v>
      </c>
      <c r="C22" s="23" t="s">
        <v>67</v>
      </c>
      <c r="D22" s="24" t="s">
        <v>36</v>
      </c>
      <c r="E22" s="25" t="b">
        <v>0</v>
      </c>
      <c r="F22" s="25" t="b">
        <v>1</v>
      </c>
      <c r="G22" s="25" t="b">
        <v>0</v>
      </c>
      <c r="H22" s="25" t="b">
        <v>0</v>
      </c>
      <c r="I22" s="27">
        <v>43394.0</v>
      </c>
      <c r="J22" s="27">
        <v>43394.0</v>
      </c>
      <c r="K22" s="28">
        <v>12.0</v>
      </c>
      <c r="L22" s="29" t="s">
        <v>68</v>
      </c>
      <c r="M22" s="30" t="s">
        <v>38</v>
      </c>
      <c r="N22" s="31" t="b">
        <v>1</v>
      </c>
      <c r="O22" s="32" t="b">
        <v>1</v>
      </c>
      <c r="P22" s="32" t="b">
        <v>0</v>
      </c>
      <c r="Q22" s="32" t="b">
        <v>0</v>
      </c>
      <c r="R22" s="32" t="b">
        <v>0</v>
      </c>
      <c r="S22" s="32" t="b">
        <v>0</v>
      </c>
      <c r="T22" s="32" t="b">
        <v>1</v>
      </c>
      <c r="U22" s="32" t="b">
        <v>0</v>
      </c>
      <c r="V22" s="32" t="b">
        <v>0</v>
      </c>
      <c r="W22" s="33" t="s">
        <v>39</v>
      </c>
      <c r="X22" s="34"/>
      <c r="Y22" s="34"/>
      <c r="Z22" s="34"/>
    </row>
    <row r="23">
      <c r="E23" s="25" t="b">
        <v>1</v>
      </c>
      <c r="F23" s="25" t="b">
        <v>0</v>
      </c>
      <c r="G23" s="25" t="b">
        <v>0</v>
      </c>
      <c r="H23" s="25" t="b">
        <v>0</v>
      </c>
      <c r="I23" s="27">
        <v>43009.0</v>
      </c>
      <c r="J23" s="27">
        <v>43160.0</v>
      </c>
      <c r="K23" s="28">
        <v>3600.0</v>
      </c>
      <c r="L23" s="29" t="s">
        <v>69</v>
      </c>
      <c r="M23" s="30" t="s">
        <v>70</v>
      </c>
      <c r="N23" s="31" t="b">
        <v>0</v>
      </c>
      <c r="O23" s="32" t="b">
        <v>0</v>
      </c>
      <c r="P23" s="32" t="b">
        <v>0</v>
      </c>
      <c r="Q23" s="32" t="b">
        <v>0</v>
      </c>
      <c r="R23" s="32" t="b">
        <v>0</v>
      </c>
      <c r="S23" s="32" t="b">
        <v>0</v>
      </c>
      <c r="T23" s="32" t="b">
        <v>0</v>
      </c>
      <c r="U23" s="32" t="b">
        <v>0</v>
      </c>
      <c r="V23" s="32" t="b">
        <v>0</v>
      </c>
      <c r="W23" s="33" t="s">
        <v>52</v>
      </c>
      <c r="X23" s="33" t="s">
        <v>52</v>
      </c>
      <c r="Y23" s="34"/>
      <c r="Z23" s="34"/>
    </row>
    <row r="24">
      <c r="E24" s="25" t="b">
        <v>1</v>
      </c>
      <c r="F24" s="25" t="b">
        <v>0</v>
      </c>
      <c r="G24" s="25" t="b">
        <v>0</v>
      </c>
      <c r="H24" s="25" t="b">
        <v>0</v>
      </c>
      <c r="I24" s="27">
        <v>42753.0</v>
      </c>
      <c r="J24" s="27">
        <v>42845.0</v>
      </c>
      <c r="K24" s="28">
        <v>2332.0</v>
      </c>
      <c r="L24" s="29" t="s">
        <v>71</v>
      </c>
      <c r="M24" s="30" t="s">
        <v>70</v>
      </c>
      <c r="N24" s="31" t="b">
        <v>0</v>
      </c>
      <c r="O24" s="32" t="b">
        <v>0</v>
      </c>
      <c r="P24" s="32" t="b">
        <v>0</v>
      </c>
      <c r="Q24" s="32" t="b">
        <v>0</v>
      </c>
      <c r="R24" s="32" t="b">
        <v>0</v>
      </c>
      <c r="S24" s="32" t="b">
        <v>0</v>
      </c>
      <c r="T24" s="32" t="b">
        <v>0</v>
      </c>
      <c r="U24" s="32" t="b">
        <v>0</v>
      </c>
      <c r="V24" s="32" t="b">
        <v>0</v>
      </c>
      <c r="W24" s="33" t="s">
        <v>72</v>
      </c>
      <c r="X24" s="33" t="s">
        <v>73</v>
      </c>
      <c r="Y24" s="34"/>
      <c r="Z24" s="34"/>
    </row>
    <row r="25">
      <c r="A25" s="21">
        <v>8.0</v>
      </c>
      <c r="B25" s="22" t="s">
        <v>74</v>
      </c>
      <c r="C25" s="23" t="s">
        <v>75</v>
      </c>
      <c r="D25" s="35" t="s">
        <v>29</v>
      </c>
      <c r="E25" s="25" t="b">
        <v>0</v>
      </c>
      <c r="F25" s="25" t="b">
        <v>0</v>
      </c>
      <c r="G25" s="25" t="b">
        <v>0</v>
      </c>
      <c r="H25" s="25" t="b">
        <v>0</v>
      </c>
      <c r="I25" s="36" t="s">
        <v>47</v>
      </c>
      <c r="J25" s="36" t="s">
        <v>47</v>
      </c>
      <c r="K25" s="28" t="s">
        <v>47</v>
      </c>
      <c r="L25" s="37" t="s">
        <v>47</v>
      </c>
      <c r="M25" s="27" t="s">
        <v>47</v>
      </c>
      <c r="N25" s="31" t="b">
        <v>0</v>
      </c>
      <c r="O25" s="32" t="b">
        <v>0</v>
      </c>
      <c r="P25" s="32" t="b">
        <v>0</v>
      </c>
      <c r="Q25" s="32" t="b">
        <v>0</v>
      </c>
      <c r="R25" s="32" t="b">
        <v>0</v>
      </c>
      <c r="S25" s="32" t="b">
        <v>0</v>
      </c>
      <c r="T25" s="32" t="b">
        <v>0</v>
      </c>
      <c r="U25" s="32" t="b">
        <v>0</v>
      </c>
      <c r="V25" s="32" t="b">
        <v>0</v>
      </c>
      <c r="W25" s="34"/>
      <c r="X25" s="34"/>
      <c r="Y25" s="34"/>
      <c r="Z25" s="34"/>
    </row>
    <row r="26">
      <c r="A26" s="21">
        <v>9.0</v>
      </c>
      <c r="B26" s="22" t="s">
        <v>76</v>
      </c>
      <c r="C26" s="23" t="s">
        <v>77</v>
      </c>
      <c r="D26" s="35" t="s">
        <v>29</v>
      </c>
      <c r="E26" s="25" t="b">
        <v>0</v>
      </c>
      <c r="F26" s="25" t="b">
        <v>0</v>
      </c>
      <c r="G26" s="25" t="b">
        <v>0</v>
      </c>
      <c r="H26" s="25" t="b">
        <v>0</v>
      </c>
      <c r="I26" s="36" t="s">
        <v>47</v>
      </c>
      <c r="J26" s="36" t="s">
        <v>47</v>
      </c>
      <c r="K26" s="28" t="s">
        <v>47</v>
      </c>
      <c r="L26" s="37" t="s">
        <v>47</v>
      </c>
      <c r="M26" s="27" t="s">
        <v>47</v>
      </c>
      <c r="N26" s="31" t="b">
        <v>0</v>
      </c>
      <c r="O26" s="32" t="b">
        <v>0</v>
      </c>
      <c r="P26" s="32" t="b">
        <v>0</v>
      </c>
      <c r="Q26" s="32" t="b">
        <v>0</v>
      </c>
      <c r="R26" s="32" t="b">
        <v>0</v>
      </c>
      <c r="S26" s="32" t="b">
        <v>0</v>
      </c>
      <c r="T26" s="32" t="b">
        <v>0</v>
      </c>
      <c r="U26" s="32" t="b">
        <v>0</v>
      </c>
      <c r="V26" s="32" t="b">
        <v>0</v>
      </c>
      <c r="W26" s="34"/>
      <c r="X26" s="34"/>
      <c r="Y26" s="34"/>
      <c r="Z26" s="34"/>
    </row>
    <row r="27">
      <c r="A27" s="41">
        <v>10.0</v>
      </c>
      <c r="B27" s="22" t="s">
        <v>78</v>
      </c>
      <c r="C27" s="23" t="s">
        <v>79</v>
      </c>
      <c r="D27" s="12" t="s">
        <v>36</v>
      </c>
      <c r="E27" s="42" t="b">
        <v>0</v>
      </c>
      <c r="F27" s="43" t="b">
        <v>0</v>
      </c>
      <c r="G27" s="43" t="b">
        <v>1</v>
      </c>
      <c r="H27" s="42" t="b">
        <v>0</v>
      </c>
      <c r="I27" s="44">
        <v>45350.0</v>
      </c>
      <c r="J27" s="44">
        <v>45358.0</v>
      </c>
      <c r="K27" s="45">
        <v>38.0</v>
      </c>
      <c r="L27" s="46" t="s">
        <v>80</v>
      </c>
      <c r="M27" s="47" t="s">
        <v>38</v>
      </c>
      <c r="N27" s="48" t="b">
        <v>0</v>
      </c>
      <c r="O27" s="42" t="b">
        <v>0</v>
      </c>
      <c r="P27" s="42" t="b">
        <v>0</v>
      </c>
      <c r="Q27" s="42" t="b">
        <v>0</v>
      </c>
      <c r="R27" s="42" t="b">
        <v>0</v>
      </c>
      <c r="S27" s="42" t="b">
        <v>0</v>
      </c>
      <c r="T27" s="42" t="b">
        <v>0</v>
      </c>
      <c r="U27" s="42" t="b">
        <v>0</v>
      </c>
      <c r="V27" s="42" t="b">
        <v>0</v>
      </c>
      <c r="W27" s="49" t="s">
        <v>41</v>
      </c>
      <c r="X27" s="50"/>
      <c r="Y27" s="51"/>
      <c r="Z27" s="51"/>
    </row>
    <row r="28">
      <c r="E28" s="42" t="b">
        <v>0</v>
      </c>
      <c r="F28" s="42" t="b">
        <v>1</v>
      </c>
      <c r="G28" s="42" t="b">
        <v>0</v>
      </c>
      <c r="H28" s="42" t="b">
        <v>0</v>
      </c>
      <c r="I28" s="52">
        <v>45267.0</v>
      </c>
      <c r="J28" s="52">
        <v>45268.0</v>
      </c>
      <c r="K28" s="28">
        <v>14.0</v>
      </c>
      <c r="L28" s="53" t="s">
        <v>81</v>
      </c>
      <c r="M28" s="47" t="s">
        <v>38</v>
      </c>
      <c r="N28" s="48" t="b">
        <v>0</v>
      </c>
      <c r="O28" s="42" t="b">
        <v>0</v>
      </c>
      <c r="P28" s="42" t="b">
        <v>0</v>
      </c>
      <c r="Q28" s="42" t="b">
        <v>0</v>
      </c>
      <c r="R28" s="42" t="b">
        <v>0</v>
      </c>
      <c r="S28" s="42" t="b">
        <v>0</v>
      </c>
      <c r="T28" s="42" t="b">
        <v>0</v>
      </c>
      <c r="U28" s="42" t="b">
        <v>0</v>
      </c>
      <c r="V28" s="42" t="b">
        <v>0</v>
      </c>
      <c r="W28" s="54" t="s">
        <v>41</v>
      </c>
      <c r="X28" s="50"/>
      <c r="Y28" s="51"/>
      <c r="Z28" s="51"/>
    </row>
    <row r="29">
      <c r="E29" s="25" t="b">
        <v>0</v>
      </c>
      <c r="F29" s="25" t="b">
        <v>0</v>
      </c>
      <c r="G29" s="25" t="b">
        <v>1</v>
      </c>
      <c r="H29" s="25" t="b">
        <v>0</v>
      </c>
      <c r="I29" s="27">
        <v>44255.0</v>
      </c>
      <c r="J29" s="27">
        <v>44256.0</v>
      </c>
      <c r="K29" s="28">
        <v>32.0</v>
      </c>
      <c r="L29" s="29" t="s">
        <v>82</v>
      </c>
      <c r="M29" s="30" t="s">
        <v>38</v>
      </c>
      <c r="N29" s="31" t="b">
        <v>0</v>
      </c>
      <c r="O29" s="32" t="b">
        <v>0</v>
      </c>
      <c r="P29" s="32" t="b">
        <v>0</v>
      </c>
      <c r="Q29" s="32" t="b">
        <v>0</v>
      </c>
      <c r="R29" s="32" t="b">
        <v>0</v>
      </c>
      <c r="S29" s="32" t="b">
        <v>0</v>
      </c>
      <c r="T29" s="32" t="b">
        <v>0</v>
      </c>
      <c r="U29" s="32" t="b">
        <v>0</v>
      </c>
      <c r="V29" s="32" t="b">
        <v>0</v>
      </c>
      <c r="W29" s="33" t="s">
        <v>39</v>
      </c>
      <c r="X29" s="33"/>
      <c r="Y29" s="33"/>
      <c r="Z29" s="33"/>
    </row>
    <row r="30">
      <c r="E30" s="25" t="b">
        <v>0</v>
      </c>
      <c r="F30" s="25" t="b">
        <v>0</v>
      </c>
      <c r="G30" s="25" t="b">
        <v>1</v>
      </c>
      <c r="H30" s="25" t="b">
        <v>0</v>
      </c>
      <c r="I30" s="27">
        <v>44034.0</v>
      </c>
      <c r="J30" s="27">
        <v>44116.0</v>
      </c>
      <c r="K30" s="28">
        <v>1961.0</v>
      </c>
      <c r="L30" s="55" t="s">
        <v>83</v>
      </c>
      <c r="M30" s="30" t="s">
        <v>38</v>
      </c>
      <c r="N30" s="31" t="b">
        <v>1</v>
      </c>
      <c r="O30" s="32" t="b">
        <v>0</v>
      </c>
      <c r="P30" s="32" t="b">
        <v>0</v>
      </c>
      <c r="Q30" s="32" t="b">
        <v>0</v>
      </c>
      <c r="R30" s="32" t="b">
        <v>0</v>
      </c>
      <c r="S30" s="32" t="b">
        <v>0</v>
      </c>
      <c r="T30" s="32" t="b">
        <v>1</v>
      </c>
      <c r="U30" s="32" t="b">
        <v>0</v>
      </c>
      <c r="V30" s="32" t="b">
        <v>0</v>
      </c>
      <c r="W30" s="33" t="s">
        <v>39</v>
      </c>
      <c r="X30" s="33"/>
      <c r="Y30" s="33"/>
      <c r="Z30" s="33"/>
    </row>
    <row r="31">
      <c r="E31" s="25" t="b">
        <v>1</v>
      </c>
      <c r="F31" s="25" t="b">
        <v>0</v>
      </c>
      <c r="G31" s="25" t="b">
        <v>0</v>
      </c>
      <c r="H31" s="25" t="b">
        <v>0</v>
      </c>
      <c r="I31" s="27">
        <v>43187.0</v>
      </c>
      <c r="J31" s="27">
        <v>43659.0</v>
      </c>
      <c r="K31" s="28">
        <v>11359.0</v>
      </c>
      <c r="L31" s="29" t="s">
        <v>84</v>
      </c>
      <c r="M31" s="30" t="s">
        <v>38</v>
      </c>
      <c r="N31" s="31" t="b">
        <v>1</v>
      </c>
      <c r="O31" s="32" t="b">
        <v>1</v>
      </c>
      <c r="P31" s="32" t="b">
        <v>1</v>
      </c>
      <c r="Q31" s="32" t="b">
        <v>1</v>
      </c>
      <c r="R31" s="32" t="b">
        <v>1</v>
      </c>
      <c r="S31" s="32" t="b">
        <v>0</v>
      </c>
      <c r="T31" s="32" t="b">
        <v>1</v>
      </c>
      <c r="U31" s="32" t="b">
        <v>0</v>
      </c>
      <c r="V31" s="32" t="b">
        <v>0</v>
      </c>
      <c r="W31" s="33" t="s">
        <v>85</v>
      </c>
      <c r="X31" s="33"/>
      <c r="Y31" s="33"/>
      <c r="Z31" s="33"/>
    </row>
    <row r="32">
      <c r="E32" s="25" t="b">
        <v>1</v>
      </c>
      <c r="F32" s="25" t="b">
        <v>0</v>
      </c>
      <c r="G32" s="25" t="b">
        <v>0</v>
      </c>
      <c r="H32" s="25" t="b">
        <v>0</v>
      </c>
      <c r="I32" s="27">
        <v>43125.0</v>
      </c>
      <c r="J32" s="27">
        <v>43126.0</v>
      </c>
      <c r="K32" s="28">
        <v>20.0</v>
      </c>
      <c r="L32" s="29" t="s">
        <v>86</v>
      </c>
      <c r="M32" s="30" t="s">
        <v>38</v>
      </c>
      <c r="N32" s="31" t="b">
        <v>0</v>
      </c>
      <c r="O32" s="32" t="b">
        <v>0</v>
      </c>
      <c r="P32" s="32" t="b">
        <v>0</v>
      </c>
      <c r="Q32" s="32" t="b">
        <v>0</v>
      </c>
      <c r="R32" s="32" t="b">
        <v>0</v>
      </c>
      <c r="S32" s="32" t="b">
        <v>0</v>
      </c>
      <c r="T32" s="32" t="b">
        <v>0</v>
      </c>
      <c r="U32" s="32" t="b">
        <v>0</v>
      </c>
      <c r="V32" s="32" t="b">
        <v>0</v>
      </c>
      <c r="W32" s="33" t="s">
        <v>52</v>
      </c>
      <c r="X32" s="33" t="s">
        <v>87</v>
      </c>
      <c r="Y32" s="33"/>
      <c r="Z32" s="33"/>
    </row>
    <row r="33">
      <c r="E33" s="25" t="b">
        <v>0</v>
      </c>
      <c r="F33" s="25" t="b">
        <v>1</v>
      </c>
      <c r="G33" s="25" t="b">
        <v>0</v>
      </c>
      <c r="H33" s="25" t="b">
        <v>0</v>
      </c>
      <c r="I33" s="27">
        <v>42469.0</v>
      </c>
      <c r="J33" s="27">
        <v>42473.0</v>
      </c>
      <c r="K33" s="28">
        <v>96.0</v>
      </c>
      <c r="L33" s="29" t="s">
        <v>88</v>
      </c>
      <c r="M33" s="30" t="s">
        <v>38</v>
      </c>
      <c r="N33" s="31" t="b">
        <v>0</v>
      </c>
      <c r="O33" s="32" t="b">
        <v>0</v>
      </c>
      <c r="P33" s="32" t="b">
        <v>0</v>
      </c>
      <c r="Q33" s="32" t="b">
        <v>0</v>
      </c>
      <c r="R33" s="32" t="b">
        <v>0</v>
      </c>
      <c r="S33" s="32" t="b">
        <v>0</v>
      </c>
      <c r="T33" s="32" t="b">
        <v>0</v>
      </c>
      <c r="U33" s="32" t="b">
        <v>0</v>
      </c>
      <c r="V33" s="32" t="b">
        <v>0</v>
      </c>
      <c r="W33" s="33" t="s">
        <v>52</v>
      </c>
      <c r="X33" s="33" t="s">
        <v>89</v>
      </c>
      <c r="Y33" s="33"/>
      <c r="Z33" s="33"/>
    </row>
    <row r="34">
      <c r="A34" s="56">
        <v>11.0</v>
      </c>
      <c r="B34" s="57" t="s">
        <v>90</v>
      </c>
      <c r="C34" s="58" t="s">
        <v>91</v>
      </c>
      <c r="D34" s="59" t="s">
        <v>36</v>
      </c>
      <c r="E34" s="26" t="b">
        <v>1</v>
      </c>
      <c r="F34" s="25" t="b">
        <v>0</v>
      </c>
      <c r="G34" s="25" t="b">
        <v>0</v>
      </c>
      <c r="H34" s="25" t="b">
        <v>0</v>
      </c>
      <c r="I34" s="60">
        <v>45308.0</v>
      </c>
      <c r="J34" s="60">
        <v>45309.0</v>
      </c>
      <c r="K34" s="45">
        <v>24.0</v>
      </c>
      <c r="L34" s="55" t="s">
        <v>92</v>
      </c>
      <c r="M34" s="30" t="s">
        <v>38</v>
      </c>
      <c r="N34" s="31" t="b">
        <v>0</v>
      </c>
      <c r="O34" s="32" t="b">
        <v>0</v>
      </c>
      <c r="P34" s="32" t="b">
        <v>0</v>
      </c>
      <c r="Q34" s="32" t="b">
        <v>0</v>
      </c>
      <c r="R34" s="32" t="b">
        <v>0</v>
      </c>
      <c r="S34" s="32" t="b">
        <v>0</v>
      </c>
      <c r="T34" s="32" t="b">
        <v>0</v>
      </c>
      <c r="U34" s="32" t="b">
        <v>0</v>
      </c>
      <c r="V34" s="32" t="b">
        <v>0</v>
      </c>
      <c r="W34" s="61" t="s">
        <v>93</v>
      </c>
      <c r="X34" s="34"/>
      <c r="Y34" s="34"/>
      <c r="Z34" s="34"/>
    </row>
    <row r="35">
      <c r="A35" s="21">
        <v>12.0</v>
      </c>
      <c r="B35" s="22" t="s">
        <v>94</v>
      </c>
      <c r="C35" s="23" t="s">
        <v>95</v>
      </c>
      <c r="D35" s="62" t="s">
        <v>36</v>
      </c>
      <c r="E35" s="25" t="b">
        <v>0</v>
      </c>
      <c r="F35" s="25" t="b">
        <v>1</v>
      </c>
      <c r="G35" s="25" t="b">
        <v>0</v>
      </c>
      <c r="H35" s="25" t="b">
        <v>0</v>
      </c>
      <c r="I35" s="27">
        <v>44276.0</v>
      </c>
      <c r="J35" s="27">
        <v>44278.0</v>
      </c>
      <c r="K35" s="28">
        <v>72.0</v>
      </c>
      <c r="L35" s="29" t="s">
        <v>96</v>
      </c>
      <c r="M35" s="30" t="s">
        <v>38</v>
      </c>
      <c r="N35" s="31" t="b">
        <v>0</v>
      </c>
      <c r="O35" s="32" t="b">
        <v>0</v>
      </c>
      <c r="P35" s="32" t="b">
        <v>0</v>
      </c>
      <c r="Q35" s="32" t="b">
        <v>0</v>
      </c>
      <c r="R35" s="32" t="b">
        <v>0</v>
      </c>
      <c r="S35" s="32" t="b">
        <v>0</v>
      </c>
      <c r="T35" s="32" t="b">
        <v>0</v>
      </c>
      <c r="U35" s="32" t="b">
        <v>0</v>
      </c>
      <c r="V35" s="32" t="b">
        <v>0</v>
      </c>
      <c r="W35" s="33" t="s">
        <v>39</v>
      </c>
      <c r="X35" s="34"/>
      <c r="Y35" s="34"/>
      <c r="Z35" s="34"/>
    </row>
    <row r="36">
      <c r="E36" s="25" t="b">
        <v>0</v>
      </c>
      <c r="F36" s="25" t="b">
        <v>1</v>
      </c>
      <c r="G36" s="25" t="b">
        <v>0</v>
      </c>
      <c r="H36" s="25" t="b">
        <v>0</v>
      </c>
      <c r="I36" s="27">
        <v>42449.0</v>
      </c>
      <c r="J36" s="27">
        <v>42453.0</v>
      </c>
      <c r="K36" s="28">
        <v>96.0</v>
      </c>
      <c r="L36" s="29" t="s">
        <v>96</v>
      </c>
      <c r="M36" s="30" t="s">
        <v>38</v>
      </c>
      <c r="N36" s="31" t="b">
        <v>0</v>
      </c>
      <c r="O36" s="32" t="b">
        <v>0</v>
      </c>
      <c r="P36" s="32" t="b">
        <v>0</v>
      </c>
      <c r="Q36" s="32" t="b">
        <v>0</v>
      </c>
      <c r="R36" s="32" t="b">
        <v>0</v>
      </c>
      <c r="S36" s="32" t="b">
        <v>0</v>
      </c>
      <c r="T36" s="32" t="b">
        <v>0</v>
      </c>
      <c r="U36" s="32" t="b">
        <v>0</v>
      </c>
      <c r="V36" s="32" t="b">
        <v>0</v>
      </c>
      <c r="W36" s="34" t="s">
        <v>97</v>
      </c>
      <c r="X36" s="33" t="s">
        <v>98</v>
      </c>
      <c r="Y36" s="34"/>
      <c r="Z36" s="34"/>
    </row>
    <row r="37">
      <c r="E37" s="25" t="b">
        <v>0</v>
      </c>
      <c r="F37" s="25" t="b">
        <v>0</v>
      </c>
      <c r="G37" s="25" t="b">
        <v>1</v>
      </c>
      <c r="H37" s="25" t="b">
        <v>0</v>
      </c>
      <c r="I37" s="27">
        <v>42297.0</v>
      </c>
      <c r="J37" s="27">
        <v>42297.0</v>
      </c>
      <c r="K37" s="28">
        <v>18.0</v>
      </c>
      <c r="L37" s="29" t="s">
        <v>99</v>
      </c>
      <c r="M37" s="30" t="s">
        <v>38</v>
      </c>
      <c r="N37" s="31" t="b">
        <v>0</v>
      </c>
      <c r="O37" s="32" t="b">
        <v>0</v>
      </c>
      <c r="P37" s="32" t="b">
        <v>0</v>
      </c>
      <c r="Q37" s="32" t="b">
        <v>0</v>
      </c>
      <c r="R37" s="32" t="b">
        <v>0</v>
      </c>
      <c r="S37" s="32" t="b">
        <v>0</v>
      </c>
      <c r="T37" s="32" t="b">
        <v>0</v>
      </c>
      <c r="U37" s="32" t="b">
        <v>0</v>
      </c>
      <c r="V37" s="32" t="b">
        <v>0</v>
      </c>
      <c r="W37" s="33" t="s">
        <v>100</v>
      </c>
      <c r="X37" s="33" t="s">
        <v>101</v>
      </c>
      <c r="Y37" s="34"/>
      <c r="Z37" s="34"/>
    </row>
    <row r="38">
      <c r="A38" s="21">
        <v>13.0</v>
      </c>
      <c r="B38" s="22" t="s">
        <v>102</v>
      </c>
      <c r="C38" s="23" t="s">
        <v>103</v>
      </c>
      <c r="D38" s="35" t="s">
        <v>29</v>
      </c>
      <c r="E38" s="25" t="b">
        <v>0</v>
      </c>
      <c r="F38" s="25" t="b">
        <v>0</v>
      </c>
      <c r="G38" s="25" t="b">
        <v>0</v>
      </c>
      <c r="H38" s="25" t="b">
        <v>0</v>
      </c>
      <c r="I38" s="36" t="s">
        <v>47</v>
      </c>
      <c r="J38" s="36" t="s">
        <v>47</v>
      </c>
      <c r="K38" s="28" t="s">
        <v>47</v>
      </c>
      <c r="L38" s="37" t="s">
        <v>47</v>
      </c>
      <c r="M38" s="27" t="s">
        <v>47</v>
      </c>
      <c r="N38" s="31" t="b">
        <v>0</v>
      </c>
      <c r="O38" s="32" t="b">
        <v>0</v>
      </c>
      <c r="P38" s="32" t="b">
        <v>0</v>
      </c>
      <c r="Q38" s="32" t="b">
        <v>0</v>
      </c>
      <c r="R38" s="32" t="b">
        <v>0</v>
      </c>
      <c r="S38" s="32" t="b">
        <v>0</v>
      </c>
      <c r="T38" s="32" t="b">
        <v>0</v>
      </c>
      <c r="U38" s="32" t="b">
        <v>0</v>
      </c>
      <c r="V38" s="32" t="b">
        <v>0</v>
      </c>
      <c r="W38" s="34"/>
      <c r="X38" s="34"/>
      <c r="Y38" s="34"/>
      <c r="Z38" s="34"/>
    </row>
    <row r="39">
      <c r="A39" s="21">
        <v>14.0</v>
      </c>
      <c r="B39" s="22" t="s">
        <v>104</v>
      </c>
      <c r="C39" s="23" t="s">
        <v>105</v>
      </c>
      <c r="D39" s="24" t="s">
        <v>36</v>
      </c>
      <c r="E39" s="25" t="b">
        <v>0</v>
      </c>
      <c r="F39" s="25" t="b">
        <v>1</v>
      </c>
      <c r="G39" s="25" t="b">
        <v>0</v>
      </c>
      <c r="H39" s="25" t="b">
        <v>0</v>
      </c>
      <c r="I39" s="27">
        <v>43465.0</v>
      </c>
      <c r="J39" s="27">
        <v>43465.0</v>
      </c>
      <c r="K39" s="28">
        <v>480.0</v>
      </c>
      <c r="L39" s="29" t="s">
        <v>106</v>
      </c>
      <c r="M39" s="30" t="s">
        <v>38</v>
      </c>
      <c r="N39" s="31" t="b">
        <v>0</v>
      </c>
      <c r="O39" s="32" t="b">
        <v>0</v>
      </c>
      <c r="P39" s="32" t="b">
        <v>0</v>
      </c>
      <c r="Q39" s="32" t="b">
        <v>0</v>
      </c>
      <c r="R39" s="32" t="b">
        <v>0</v>
      </c>
      <c r="S39" s="32" t="b">
        <v>0</v>
      </c>
      <c r="T39" s="32" t="b">
        <v>0</v>
      </c>
      <c r="U39" s="32" t="b">
        <v>0</v>
      </c>
      <c r="V39" s="32" t="b">
        <v>0</v>
      </c>
      <c r="W39" s="33" t="s">
        <v>39</v>
      </c>
      <c r="X39" s="33" t="s">
        <v>72</v>
      </c>
      <c r="Y39" s="34"/>
      <c r="Z39" s="34"/>
    </row>
    <row r="40">
      <c r="E40" s="25" t="b">
        <v>1</v>
      </c>
      <c r="F40" s="25" t="b">
        <v>0</v>
      </c>
      <c r="G40" s="25" t="b">
        <v>0</v>
      </c>
      <c r="H40" s="25" t="b">
        <v>0</v>
      </c>
      <c r="I40" s="27">
        <v>43156.0</v>
      </c>
      <c r="J40" s="27">
        <v>43156.0</v>
      </c>
      <c r="K40" s="28">
        <v>10.0</v>
      </c>
      <c r="L40" s="29" t="s">
        <v>107</v>
      </c>
      <c r="M40" s="30" t="s">
        <v>38</v>
      </c>
      <c r="N40" s="31" t="b">
        <v>0</v>
      </c>
      <c r="O40" s="32" t="b">
        <v>0</v>
      </c>
      <c r="P40" s="32" t="b">
        <v>0</v>
      </c>
      <c r="Q40" s="32" t="b">
        <v>0</v>
      </c>
      <c r="R40" s="32" t="b">
        <v>0</v>
      </c>
      <c r="S40" s="32" t="b">
        <v>0</v>
      </c>
      <c r="T40" s="32" t="b">
        <v>0</v>
      </c>
      <c r="U40" s="32" t="b">
        <v>0</v>
      </c>
      <c r="V40" s="32" t="b">
        <v>0</v>
      </c>
      <c r="W40" s="33" t="s">
        <v>65</v>
      </c>
      <c r="X40" s="33"/>
      <c r="Y40" s="33"/>
      <c r="Z40" s="33"/>
    </row>
    <row r="41">
      <c r="E41" s="25" t="b">
        <v>1</v>
      </c>
      <c r="F41" s="25" t="b">
        <v>0</v>
      </c>
      <c r="G41" s="25" t="b">
        <v>0</v>
      </c>
      <c r="H41" s="25" t="b">
        <v>0</v>
      </c>
      <c r="I41" s="27">
        <v>43121.0</v>
      </c>
      <c r="J41" s="27">
        <v>43124.0</v>
      </c>
      <c r="K41" s="28">
        <v>84.0</v>
      </c>
      <c r="L41" s="29" t="s">
        <v>108</v>
      </c>
      <c r="M41" s="30" t="s">
        <v>38</v>
      </c>
      <c r="N41" s="31" t="b">
        <v>0</v>
      </c>
      <c r="O41" s="32" t="b">
        <v>0</v>
      </c>
      <c r="P41" s="32" t="b">
        <v>0</v>
      </c>
      <c r="Q41" s="32" t="b">
        <v>0</v>
      </c>
      <c r="R41" s="32" t="b">
        <v>0</v>
      </c>
      <c r="S41" s="32" t="b">
        <v>0</v>
      </c>
      <c r="T41" s="32" t="b">
        <v>0</v>
      </c>
      <c r="U41" s="32" t="b">
        <v>0</v>
      </c>
      <c r="V41" s="32" t="b">
        <v>0</v>
      </c>
      <c r="W41" s="33" t="s">
        <v>52</v>
      </c>
      <c r="X41" s="33" t="s">
        <v>109</v>
      </c>
      <c r="Y41" s="33"/>
      <c r="Z41" s="33"/>
    </row>
    <row r="42">
      <c r="E42" s="25" t="b">
        <v>1</v>
      </c>
      <c r="F42" s="25" t="b">
        <v>0</v>
      </c>
      <c r="G42" s="25" t="b">
        <v>0</v>
      </c>
      <c r="H42" s="25" t="b">
        <v>0</v>
      </c>
      <c r="I42" s="27">
        <v>43099.0</v>
      </c>
      <c r="J42" s="27">
        <v>43105.0</v>
      </c>
      <c r="K42" s="28">
        <v>144.0</v>
      </c>
      <c r="L42" s="29" t="s">
        <v>110</v>
      </c>
      <c r="M42" s="30" t="s">
        <v>38</v>
      </c>
      <c r="N42" s="31" t="b">
        <v>0</v>
      </c>
      <c r="O42" s="32" t="b">
        <v>0</v>
      </c>
      <c r="P42" s="32" t="b">
        <v>0</v>
      </c>
      <c r="Q42" s="32" t="b">
        <v>0</v>
      </c>
      <c r="R42" s="32" t="b">
        <v>0</v>
      </c>
      <c r="S42" s="32" t="b">
        <v>0</v>
      </c>
      <c r="T42" s="32" t="b">
        <v>0</v>
      </c>
      <c r="U42" s="32" t="b">
        <v>0</v>
      </c>
      <c r="V42" s="32" t="b">
        <v>0</v>
      </c>
      <c r="W42" s="33" t="s">
        <v>72</v>
      </c>
      <c r="X42" s="33"/>
      <c r="Y42" s="33"/>
      <c r="Z42" s="33"/>
    </row>
    <row r="43">
      <c r="E43" s="25" t="b">
        <v>1</v>
      </c>
      <c r="F43" s="25" t="b">
        <v>0</v>
      </c>
      <c r="G43" s="25" t="b">
        <v>0</v>
      </c>
      <c r="H43" s="25" t="b">
        <v>0</v>
      </c>
      <c r="I43" s="27">
        <v>42954.0</v>
      </c>
      <c r="J43" s="27">
        <v>42958.0</v>
      </c>
      <c r="K43" s="28">
        <v>93.0</v>
      </c>
      <c r="L43" s="29" t="s">
        <v>111</v>
      </c>
      <c r="M43" s="30" t="s">
        <v>38</v>
      </c>
      <c r="N43" s="31" t="b">
        <v>1</v>
      </c>
      <c r="O43" s="32" t="b">
        <v>1</v>
      </c>
      <c r="P43" s="32" t="b">
        <v>1</v>
      </c>
      <c r="Q43" s="32" t="b">
        <v>0</v>
      </c>
      <c r="R43" s="32" t="b">
        <v>1</v>
      </c>
      <c r="S43" s="32" t="b">
        <v>0</v>
      </c>
      <c r="T43" s="32" t="b">
        <v>1</v>
      </c>
      <c r="U43" s="32" t="b">
        <v>0</v>
      </c>
      <c r="V43" s="32" t="b">
        <v>0</v>
      </c>
      <c r="W43" s="33" t="s">
        <v>52</v>
      </c>
      <c r="X43" s="33"/>
      <c r="Y43" s="33"/>
      <c r="Z43" s="33"/>
    </row>
    <row r="44">
      <c r="E44" s="25" t="b">
        <v>1</v>
      </c>
      <c r="F44" s="25" t="b">
        <v>0</v>
      </c>
      <c r="G44" s="25" t="b">
        <v>0</v>
      </c>
      <c r="H44" s="25" t="b">
        <v>0</v>
      </c>
      <c r="I44" s="27">
        <v>42723.0</v>
      </c>
      <c r="J44" s="27">
        <v>42723.0</v>
      </c>
      <c r="K44" s="28">
        <v>12.0</v>
      </c>
      <c r="L44" s="29" t="s">
        <v>112</v>
      </c>
      <c r="M44" s="30" t="s">
        <v>38</v>
      </c>
      <c r="N44" s="31" t="b">
        <v>1</v>
      </c>
      <c r="O44" s="32" t="b">
        <v>1</v>
      </c>
      <c r="P44" s="32" t="b">
        <v>1</v>
      </c>
      <c r="Q44" s="32" t="b">
        <v>0</v>
      </c>
      <c r="R44" s="32" t="b">
        <v>0</v>
      </c>
      <c r="S44" s="32" t="b">
        <v>0</v>
      </c>
      <c r="T44" s="32" t="b">
        <v>1</v>
      </c>
      <c r="U44" s="32" t="b">
        <v>0</v>
      </c>
      <c r="V44" s="32" t="b">
        <v>0</v>
      </c>
      <c r="W44" s="33" t="s">
        <v>113</v>
      </c>
      <c r="X44" s="33" t="s">
        <v>52</v>
      </c>
      <c r="Y44" s="33"/>
      <c r="Z44" s="33"/>
    </row>
    <row r="45">
      <c r="A45" s="21">
        <v>15.0</v>
      </c>
      <c r="B45" s="22" t="s">
        <v>114</v>
      </c>
      <c r="C45" s="23" t="s">
        <v>115</v>
      </c>
      <c r="D45" s="35" t="s">
        <v>29</v>
      </c>
      <c r="E45" s="25" t="b">
        <v>0</v>
      </c>
      <c r="F45" s="25" t="b">
        <v>0</v>
      </c>
      <c r="G45" s="25" t="b">
        <v>0</v>
      </c>
      <c r="H45" s="25" t="b">
        <v>0</v>
      </c>
      <c r="I45" s="36" t="s">
        <v>47</v>
      </c>
      <c r="J45" s="36" t="s">
        <v>47</v>
      </c>
      <c r="K45" s="28" t="s">
        <v>47</v>
      </c>
      <c r="L45" s="37" t="s">
        <v>47</v>
      </c>
      <c r="M45" s="27" t="s">
        <v>47</v>
      </c>
      <c r="N45" s="31" t="b">
        <v>0</v>
      </c>
      <c r="O45" s="32" t="b">
        <v>0</v>
      </c>
      <c r="P45" s="32" t="b">
        <v>0</v>
      </c>
      <c r="Q45" s="32" t="b">
        <v>0</v>
      </c>
      <c r="R45" s="32" t="b">
        <v>0</v>
      </c>
      <c r="S45" s="32" t="b">
        <v>0</v>
      </c>
      <c r="T45" s="32" t="b">
        <v>0</v>
      </c>
      <c r="U45" s="32" t="b">
        <v>0</v>
      </c>
      <c r="V45" s="32" t="b">
        <v>0</v>
      </c>
      <c r="W45" s="34"/>
      <c r="X45" s="34"/>
      <c r="Y45" s="34"/>
      <c r="Z45" s="34"/>
    </row>
    <row r="46">
      <c r="A46" s="21">
        <v>16.0</v>
      </c>
      <c r="B46" s="22" t="s">
        <v>116</v>
      </c>
      <c r="C46" s="23" t="s">
        <v>117</v>
      </c>
      <c r="D46" s="24" t="s">
        <v>36</v>
      </c>
      <c r="E46" s="25" t="b">
        <v>1</v>
      </c>
      <c r="F46" s="25" t="b">
        <v>0</v>
      </c>
      <c r="G46" s="25" t="b">
        <v>0</v>
      </c>
      <c r="H46" s="25" t="b">
        <v>0</v>
      </c>
      <c r="I46" s="27">
        <v>43730.0</v>
      </c>
      <c r="J46" s="27">
        <v>43732.0</v>
      </c>
      <c r="K46" s="28">
        <v>54.0</v>
      </c>
      <c r="L46" s="29" t="s">
        <v>118</v>
      </c>
      <c r="M46" s="30" t="s">
        <v>38</v>
      </c>
      <c r="N46" s="31" t="b">
        <v>1</v>
      </c>
      <c r="O46" s="32" t="b">
        <v>1</v>
      </c>
      <c r="P46" s="32" t="b">
        <v>1</v>
      </c>
      <c r="Q46" s="32" t="b">
        <v>0</v>
      </c>
      <c r="R46" s="32" t="b">
        <v>0</v>
      </c>
      <c r="S46" s="32" t="b">
        <v>0</v>
      </c>
      <c r="T46" s="32" t="b">
        <v>0</v>
      </c>
      <c r="U46" s="32" t="b">
        <v>0</v>
      </c>
      <c r="V46" s="63" t="b">
        <v>1</v>
      </c>
      <c r="W46" s="33" t="s">
        <v>41</v>
      </c>
      <c r="X46" s="34"/>
      <c r="Y46" s="34"/>
      <c r="Z46" s="34"/>
    </row>
    <row r="47">
      <c r="A47" s="21">
        <v>17.0</v>
      </c>
      <c r="B47" s="22" t="s">
        <v>119</v>
      </c>
      <c r="C47" s="23" t="s">
        <v>120</v>
      </c>
      <c r="D47" s="24" t="s">
        <v>36</v>
      </c>
      <c r="E47" s="25" t="b">
        <v>0</v>
      </c>
      <c r="F47" s="25" t="b">
        <v>1</v>
      </c>
      <c r="G47" s="25" t="b">
        <v>0</v>
      </c>
      <c r="H47" s="25" t="b">
        <v>0</v>
      </c>
      <c r="I47" s="38">
        <v>43035.0</v>
      </c>
      <c r="J47" s="38">
        <v>43051.0</v>
      </c>
      <c r="K47" s="28">
        <v>240.0</v>
      </c>
      <c r="L47" s="39" t="s">
        <v>121</v>
      </c>
      <c r="M47" s="30" t="s">
        <v>38</v>
      </c>
      <c r="N47" s="31" t="b">
        <v>0</v>
      </c>
      <c r="O47" s="32" t="b">
        <v>0</v>
      </c>
      <c r="P47" s="32" t="b">
        <v>0</v>
      </c>
      <c r="Q47" s="32" t="b">
        <v>0</v>
      </c>
      <c r="R47" s="32" t="b">
        <v>0</v>
      </c>
      <c r="S47" s="32" t="b">
        <v>0</v>
      </c>
      <c r="T47" s="32" t="b">
        <v>0</v>
      </c>
      <c r="U47" s="32" t="b">
        <v>0</v>
      </c>
      <c r="V47" s="32" t="b">
        <v>0</v>
      </c>
      <c r="W47" s="33" t="s">
        <v>122</v>
      </c>
      <c r="X47" s="33" t="s">
        <v>123</v>
      </c>
      <c r="Y47" s="34"/>
      <c r="Z47" s="34"/>
    </row>
    <row r="48">
      <c r="E48" s="25" t="b">
        <v>0</v>
      </c>
      <c r="F48" s="25" t="b">
        <v>1</v>
      </c>
      <c r="G48" s="25" t="b">
        <v>0</v>
      </c>
      <c r="H48" s="25" t="b">
        <v>0</v>
      </c>
      <c r="I48" s="38">
        <v>43051.0</v>
      </c>
      <c r="J48" s="38">
        <v>43051.0</v>
      </c>
      <c r="K48" s="28">
        <v>144.0</v>
      </c>
      <c r="L48" s="39" t="s">
        <v>124</v>
      </c>
      <c r="M48" s="30" t="s">
        <v>38</v>
      </c>
      <c r="N48" s="31" t="b">
        <v>0</v>
      </c>
      <c r="O48" s="32" t="b">
        <v>0</v>
      </c>
      <c r="P48" s="32" t="b">
        <v>0</v>
      </c>
      <c r="Q48" s="32" t="b">
        <v>0</v>
      </c>
      <c r="R48" s="32" t="b">
        <v>0</v>
      </c>
      <c r="S48" s="32" t="b">
        <v>0</v>
      </c>
      <c r="T48" s="32" t="b">
        <v>0</v>
      </c>
      <c r="U48" s="32" t="b">
        <v>0</v>
      </c>
      <c r="V48" s="32" t="b">
        <v>0</v>
      </c>
      <c r="W48" s="33" t="s">
        <v>122</v>
      </c>
      <c r="X48" s="33" t="s">
        <v>125</v>
      </c>
      <c r="Y48" s="34"/>
      <c r="Z48" s="34"/>
    </row>
    <row r="49">
      <c r="A49" s="21">
        <v>18.0</v>
      </c>
      <c r="B49" s="22" t="s">
        <v>126</v>
      </c>
      <c r="C49" s="23" t="s">
        <v>127</v>
      </c>
      <c r="D49" s="16" t="s">
        <v>30</v>
      </c>
      <c r="E49" s="25" t="b">
        <v>1</v>
      </c>
      <c r="F49" s="25" t="b">
        <v>0</v>
      </c>
      <c r="G49" s="25" t="b">
        <v>0</v>
      </c>
      <c r="H49" s="25" t="b">
        <v>0</v>
      </c>
      <c r="I49" s="38">
        <v>43600.0</v>
      </c>
      <c r="J49" s="38">
        <v>43609.0</v>
      </c>
      <c r="K49" s="28">
        <v>240.0</v>
      </c>
      <c r="L49" s="39" t="s">
        <v>128</v>
      </c>
      <c r="M49" s="30" t="s">
        <v>38</v>
      </c>
      <c r="N49" s="31" t="b">
        <v>1</v>
      </c>
      <c r="O49" s="32" t="b">
        <v>1</v>
      </c>
      <c r="P49" s="32" t="b">
        <v>1</v>
      </c>
      <c r="Q49" s="32" t="b">
        <v>0</v>
      </c>
      <c r="R49" s="32" t="b">
        <v>1</v>
      </c>
      <c r="S49" s="32" t="b">
        <v>0</v>
      </c>
      <c r="T49" s="32" t="b">
        <v>0</v>
      </c>
      <c r="U49" s="32" t="b">
        <v>0</v>
      </c>
      <c r="V49" s="32" t="b">
        <v>0</v>
      </c>
      <c r="W49" s="33" t="s">
        <v>129</v>
      </c>
      <c r="X49" s="33" t="s">
        <v>130</v>
      </c>
      <c r="Y49" s="33" t="s">
        <v>131</v>
      </c>
      <c r="Z49" s="33"/>
    </row>
    <row r="50">
      <c r="E50" s="25" t="b">
        <v>0</v>
      </c>
      <c r="F50" s="25" t="b">
        <v>0</v>
      </c>
      <c r="G50" s="25" t="b">
        <v>1</v>
      </c>
      <c r="H50" s="25" t="b">
        <v>0</v>
      </c>
      <c r="I50" s="38">
        <v>40544.0</v>
      </c>
      <c r="J50" s="38" t="s">
        <v>58</v>
      </c>
      <c r="K50" s="28">
        <f>(updateDate!B$1-date(year(I50),month(I50),day(I50)+1))*24</f>
        <v>122688</v>
      </c>
      <c r="L50" s="39" t="s">
        <v>132</v>
      </c>
      <c r="M50" s="30" t="s">
        <v>38</v>
      </c>
      <c r="N50" s="31" t="b">
        <v>1</v>
      </c>
      <c r="O50" s="32" t="b">
        <v>0</v>
      </c>
      <c r="P50" s="32" t="b">
        <v>0</v>
      </c>
      <c r="Q50" s="32" t="b">
        <v>1</v>
      </c>
      <c r="R50" s="32" t="b">
        <v>0</v>
      </c>
      <c r="S50" s="32" t="b">
        <v>0</v>
      </c>
      <c r="T50" s="32" t="b">
        <v>0</v>
      </c>
      <c r="U50" s="32" t="b">
        <v>0</v>
      </c>
      <c r="V50" s="32" t="b">
        <v>0</v>
      </c>
      <c r="W50" s="33" t="s">
        <v>133</v>
      </c>
      <c r="X50" s="33"/>
      <c r="Y50" s="34"/>
      <c r="Z50" s="34"/>
    </row>
    <row r="51">
      <c r="A51" s="21">
        <v>19.0</v>
      </c>
      <c r="B51" s="22" t="s">
        <v>134</v>
      </c>
      <c r="C51" s="23" t="s">
        <v>135</v>
      </c>
      <c r="D51" s="62" t="s">
        <v>36</v>
      </c>
      <c r="E51" s="25" t="b">
        <v>1</v>
      </c>
      <c r="F51" s="25" t="b">
        <v>0</v>
      </c>
      <c r="G51" s="25" t="b">
        <v>0</v>
      </c>
      <c r="H51" s="25" t="b">
        <v>0</v>
      </c>
      <c r="I51" s="36">
        <v>44484.0</v>
      </c>
      <c r="J51" s="36">
        <v>44484.0</v>
      </c>
      <c r="K51" s="28">
        <v>2.0</v>
      </c>
      <c r="L51" s="55" t="s">
        <v>136</v>
      </c>
      <c r="M51" s="30" t="s">
        <v>38</v>
      </c>
      <c r="N51" s="31" t="b">
        <v>1</v>
      </c>
      <c r="O51" s="32" t="b">
        <v>1</v>
      </c>
      <c r="P51" s="32" t="b">
        <v>1</v>
      </c>
      <c r="Q51" s="32" t="b">
        <v>0</v>
      </c>
      <c r="R51" s="32" t="b">
        <v>0</v>
      </c>
      <c r="S51" s="32" t="b">
        <v>0</v>
      </c>
      <c r="T51" s="32" t="b">
        <v>1</v>
      </c>
      <c r="U51" s="32" t="b">
        <v>0</v>
      </c>
      <c r="V51" s="32" t="b">
        <v>0</v>
      </c>
      <c r="W51" s="33" t="s">
        <v>52</v>
      </c>
      <c r="X51" s="34"/>
      <c r="Y51" s="34"/>
      <c r="Z51" s="34"/>
    </row>
    <row r="52">
      <c r="E52" s="25" t="b">
        <v>1</v>
      </c>
      <c r="F52" s="25" t="b">
        <v>0</v>
      </c>
      <c r="G52" s="25" t="b">
        <v>0</v>
      </c>
      <c r="H52" s="25" t="b">
        <v>0</v>
      </c>
      <c r="I52" s="36">
        <v>44376.0</v>
      </c>
      <c r="J52" s="36">
        <v>44380.0</v>
      </c>
      <c r="K52" s="28">
        <v>89.0</v>
      </c>
      <c r="L52" s="29" t="s">
        <v>137</v>
      </c>
      <c r="M52" s="30" t="s">
        <v>38</v>
      </c>
      <c r="N52" s="31" t="b">
        <v>0</v>
      </c>
      <c r="O52" s="32" t="b">
        <v>0</v>
      </c>
      <c r="P52" s="32" t="b">
        <v>0</v>
      </c>
      <c r="Q52" s="32" t="b">
        <v>0</v>
      </c>
      <c r="R52" s="32" t="b">
        <v>0</v>
      </c>
      <c r="S52" s="32" t="b">
        <v>0</v>
      </c>
      <c r="T52" s="32" t="b">
        <v>0</v>
      </c>
      <c r="U52" s="32" t="b">
        <v>0</v>
      </c>
      <c r="V52" s="32" t="b">
        <v>0</v>
      </c>
      <c r="W52" s="33" t="s">
        <v>52</v>
      </c>
      <c r="X52" s="34"/>
      <c r="Y52" s="34"/>
      <c r="Z52" s="34"/>
    </row>
    <row r="53">
      <c r="A53" s="21">
        <v>20.0</v>
      </c>
      <c r="B53" s="22" t="s">
        <v>138</v>
      </c>
      <c r="C53" s="23" t="s">
        <v>139</v>
      </c>
      <c r="D53" s="24" t="s">
        <v>36</v>
      </c>
      <c r="E53" s="26" t="b">
        <v>1</v>
      </c>
      <c r="F53" s="25" t="b">
        <v>0</v>
      </c>
      <c r="G53" s="25" t="b">
        <v>0</v>
      </c>
      <c r="H53" s="25" t="b">
        <v>0</v>
      </c>
      <c r="I53" s="60">
        <v>44967.0</v>
      </c>
      <c r="J53" s="64" t="s">
        <v>58</v>
      </c>
      <c r="K53" s="28">
        <f>(updateDate!B$1-date(year(I53),month(I53),day(I53)+1))*24</f>
        <v>16536</v>
      </c>
      <c r="L53" s="55" t="s">
        <v>140</v>
      </c>
      <c r="M53" s="30" t="s">
        <v>38</v>
      </c>
      <c r="N53" s="65" t="b">
        <v>1</v>
      </c>
      <c r="O53" s="63" t="b">
        <v>0</v>
      </c>
      <c r="P53" s="32" t="b">
        <v>0</v>
      </c>
      <c r="Q53" s="63" t="b">
        <v>1</v>
      </c>
      <c r="R53" s="32" t="b">
        <v>0</v>
      </c>
      <c r="S53" s="63" t="b">
        <v>0</v>
      </c>
      <c r="T53" s="32" t="b">
        <v>0</v>
      </c>
      <c r="U53" s="63" t="b">
        <v>0</v>
      </c>
      <c r="V53" s="32" t="b">
        <v>0</v>
      </c>
      <c r="W53" s="61" t="s">
        <v>39</v>
      </c>
      <c r="X53" s="33"/>
      <c r="Y53" s="33"/>
      <c r="Z53" s="33"/>
    </row>
    <row r="54">
      <c r="E54" s="26" t="b">
        <v>1</v>
      </c>
      <c r="F54" s="25" t="b">
        <v>0</v>
      </c>
      <c r="G54" s="25" t="b">
        <v>0</v>
      </c>
      <c r="H54" s="25" t="b">
        <v>0</v>
      </c>
      <c r="I54" s="60">
        <v>44966.0</v>
      </c>
      <c r="J54" s="64" t="s">
        <v>58</v>
      </c>
      <c r="K54" s="28">
        <f>(updateDate!B$1-date(year(I54),month(I54),day(I54)+1))*24</f>
        <v>16560</v>
      </c>
      <c r="L54" s="55" t="s">
        <v>141</v>
      </c>
      <c r="M54" s="30" t="s">
        <v>38</v>
      </c>
      <c r="N54" s="65" t="b">
        <v>1</v>
      </c>
      <c r="O54" s="63" t="b">
        <v>1</v>
      </c>
      <c r="P54" s="32" t="b">
        <v>0</v>
      </c>
      <c r="Q54" s="32" t="b">
        <v>0</v>
      </c>
      <c r="R54" s="32" t="b">
        <v>0</v>
      </c>
      <c r="S54" s="63" t="b">
        <v>1</v>
      </c>
      <c r="T54" s="32" t="b">
        <v>0</v>
      </c>
      <c r="U54" s="63" t="b">
        <v>1</v>
      </c>
      <c r="V54" s="32" t="b">
        <v>0</v>
      </c>
      <c r="W54" s="33" t="s">
        <v>39</v>
      </c>
      <c r="X54" s="33"/>
      <c r="Y54" s="33"/>
      <c r="Z54" s="33"/>
    </row>
    <row r="55">
      <c r="E55" s="25" t="b">
        <v>1</v>
      </c>
      <c r="F55" s="25" t="b">
        <v>0</v>
      </c>
      <c r="G55" s="25" t="b">
        <v>0</v>
      </c>
      <c r="H55" s="25" t="b">
        <v>0</v>
      </c>
      <c r="I55" s="27">
        <v>44012.0</v>
      </c>
      <c r="J55" s="27">
        <v>44035.0</v>
      </c>
      <c r="K55" s="28">
        <v>552.0</v>
      </c>
      <c r="L55" s="29" t="s">
        <v>142</v>
      </c>
      <c r="M55" s="30" t="s">
        <v>38</v>
      </c>
      <c r="N55" s="31" t="b">
        <v>0</v>
      </c>
      <c r="O55" s="32" t="b">
        <v>0</v>
      </c>
      <c r="P55" s="32" t="b">
        <v>0</v>
      </c>
      <c r="Q55" s="32" t="b">
        <v>0</v>
      </c>
      <c r="R55" s="32" t="b">
        <v>0</v>
      </c>
      <c r="S55" s="32" t="b">
        <v>0</v>
      </c>
      <c r="T55" s="32" t="b">
        <v>0</v>
      </c>
      <c r="U55" s="32" t="b">
        <v>0</v>
      </c>
      <c r="V55" s="32" t="b">
        <v>0</v>
      </c>
      <c r="W55" s="33" t="s">
        <v>143</v>
      </c>
      <c r="X55" s="33" t="s">
        <v>39</v>
      </c>
      <c r="Y55" s="33"/>
      <c r="Z55" s="33"/>
    </row>
    <row r="56">
      <c r="E56" s="25" t="b">
        <v>0</v>
      </c>
      <c r="F56" s="25" t="b">
        <v>0</v>
      </c>
      <c r="G56" s="25" t="b">
        <v>1</v>
      </c>
      <c r="H56" s="25" t="b">
        <v>0</v>
      </c>
      <c r="I56" s="27">
        <v>44139.0</v>
      </c>
      <c r="J56" s="27" t="s">
        <v>58</v>
      </c>
      <c r="K56" s="28">
        <f>(updateDate!B$1-date(year(I56),month(I56),day(I56)+1))*24</f>
        <v>36408</v>
      </c>
      <c r="L56" s="55" t="s">
        <v>144</v>
      </c>
      <c r="M56" s="30" t="s">
        <v>145</v>
      </c>
      <c r="N56" s="31" t="b">
        <v>0</v>
      </c>
      <c r="O56" s="32" t="b">
        <v>0</v>
      </c>
      <c r="P56" s="32" t="b">
        <v>0</v>
      </c>
      <c r="Q56" s="32" t="b">
        <v>0</v>
      </c>
      <c r="R56" s="32" t="b">
        <v>0</v>
      </c>
      <c r="S56" s="32" t="b">
        <v>0</v>
      </c>
      <c r="T56" s="32" t="b">
        <v>0</v>
      </c>
      <c r="U56" s="32" t="b">
        <v>0</v>
      </c>
      <c r="V56" s="32" t="b">
        <v>0</v>
      </c>
      <c r="W56" s="33" t="s">
        <v>146</v>
      </c>
      <c r="X56" s="33"/>
      <c r="Y56" s="33"/>
      <c r="Z56" s="33"/>
    </row>
    <row r="57">
      <c r="E57" s="25" t="b">
        <v>0</v>
      </c>
      <c r="F57" s="25" t="b">
        <v>0</v>
      </c>
      <c r="G57" s="25" t="b">
        <v>1</v>
      </c>
      <c r="H57" s="25" t="b">
        <v>0</v>
      </c>
      <c r="I57" s="27">
        <v>43833.0</v>
      </c>
      <c r="J57" s="27">
        <v>43922.0</v>
      </c>
      <c r="K57" s="28">
        <v>2136.0</v>
      </c>
      <c r="L57" s="29" t="s">
        <v>147</v>
      </c>
      <c r="M57" s="30" t="s">
        <v>148</v>
      </c>
      <c r="N57" s="31" t="b">
        <v>0</v>
      </c>
      <c r="O57" s="32" t="b">
        <v>0</v>
      </c>
      <c r="P57" s="32" t="b">
        <v>0</v>
      </c>
      <c r="Q57" s="32" t="b">
        <v>0</v>
      </c>
      <c r="R57" s="32" t="b">
        <v>0</v>
      </c>
      <c r="S57" s="32" t="b">
        <v>0</v>
      </c>
      <c r="T57" s="32" t="b">
        <v>0</v>
      </c>
      <c r="U57" s="32" t="b">
        <v>0</v>
      </c>
      <c r="V57" s="32" t="b">
        <v>0</v>
      </c>
      <c r="W57" s="33" t="s">
        <v>52</v>
      </c>
      <c r="X57" s="33" t="s">
        <v>149</v>
      </c>
      <c r="Y57" s="33"/>
      <c r="Z57" s="33"/>
    </row>
    <row r="58">
      <c r="E58" s="25" t="b">
        <v>0</v>
      </c>
      <c r="F58" s="25" t="b">
        <v>0</v>
      </c>
      <c r="G58" s="25" t="b">
        <v>1</v>
      </c>
      <c r="H58" s="25" t="b">
        <v>0</v>
      </c>
      <c r="I58" s="27">
        <v>43643.0</v>
      </c>
      <c r="J58" s="27">
        <v>43699.0</v>
      </c>
      <c r="K58" s="28">
        <v>1368.0</v>
      </c>
      <c r="L58" s="29" t="s">
        <v>150</v>
      </c>
      <c r="M58" s="30" t="s">
        <v>38</v>
      </c>
      <c r="N58" s="31" t="b">
        <v>1</v>
      </c>
      <c r="O58" s="32" t="b">
        <v>1</v>
      </c>
      <c r="P58" s="32" t="b">
        <v>0</v>
      </c>
      <c r="Q58" s="32" t="b">
        <v>0</v>
      </c>
      <c r="R58" s="32" t="b">
        <v>1</v>
      </c>
      <c r="S58" s="32" t="b">
        <v>1</v>
      </c>
      <c r="T58" s="32" t="b">
        <v>1</v>
      </c>
      <c r="U58" s="32" t="b">
        <v>0</v>
      </c>
      <c r="V58" s="32" t="b">
        <v>0</v>
      </c>
      <c r="W58" s="33" t="s">
        <v>151</v>
      </c>
      <c r="X58" s="33" t="s">
        <v>41</v>
      </c>
      <c r="Y58" s="33"/>
      <c r="Z58" s="33"/>
    </row>
    <row r="59">
      <c r="E59" s="25" t="b">
        <v>0</v>
      </c>
      <c r="F59" s="25" t="b">
        <v>0</v>
      </c>
      <c r="G59" s="25" t="b">
        <v>1</v>
      </c>
      <c r="H59" s="25" t="b">
        <v>0</v>
      </c>
      <c r="I59" s="27">
        <v>43643.0</v>
      </c>
      <c r="J59" s="27">
        <v>43648.0</v>
      </c>
      <c r="K59" s="28">
        <v>144.0</v>
      </c>
      <c r="L59" s="29" t="s">
        <v>150</v>
      </c>
      <c r="M59" s="30" t="s">
        <v>38</v>
      </c>
      <c r="N59" s="31" t="b">
        <v>1</v>
      </c>
      <c r="O59" s="32" t="b">
        <v>0</v>
      </c>
      <c r="P59" s="32" t="b">
        <v>0</v>
      </c>
      <c r="Q59" s="32" t="b">
        <v>1</v>
      </c>
      <c r="R59" s="32" t="b">
        <v>0</v>
      </c>
      <c r="S59" s="32" t="b">
        <v>0</v>
      </c>
      <c r="T59" s="32" t="b">
        <v>0</v>
      </c>
      <c r="U59" s="32" t="b">
        <v>0</v>
      </c>
      <c r="V59" s="32" t="b">
        <v>0</v>
      </c>
      <c r="W59" s="33" t="s">
        <v>151</v>
      </c>
      <c r="X59" s="33" t="s">
        <v>41</v>
      </c>
      <c r="Y59" s="33"/>
      <c r="Z59" s="33"/>
    </row>
    <row r="60">
      <c r="E60" s="25" t="b">
        <v>0</v>
      </c>
      <c r="F60" s="25" t="b">
        <v>0</v>
      </c>
      <c r="G60" s="25" t="b">
        <v>1</v>
      </c>
      <c r="H60" s="25" t="b">
        <v>0</v>
      </c>
      <c r="I60" s="27">
        <v>43639.0</v>
      </c>
      <c r="J60" s="27">
        <v>43643.0</v>
      </c>
      <c r="K60" s="28">
        <v>108.0</v>
      </c>
      <c r="L60" s="29" t="s">
        <v>152</v>
      </c>
      <c r="M60" s="30" t="s">
        <v>38</v>
      </c>
      <c r="N60" s="31" t="b">
        <v>0</v>
      </c>
      <c r="O60" s="32" t="b">
        <v>0</v>
      </c>
      <c r="P60" s="32" t="b">
        <v>0</v>
      </c>
      <c r="Q60" s="32" t="b">
        <v>0</v>
      </c>
      <c r="R60" s="32" t="b">
        <v>0</v>
      </c>
      <c r="S60" s="32" t="b">
        <v>0</v>
      </c>
      <c r="T60" s="32" t="b">
        <v>0</v>
      </c>
      <c r="U60" s="32" t="b">
        <v>0</v>
      </c>
      <c r="V60" s="32" t="b">
        <v>0</v>
      </c>
      <c r="W60" s="33" t="s">
        <v>41</v>
      </c>
      <c r="X60" s="33" t="s">
        <v>41</v>
      </c>
      <c r="Y60" s="34"/>
      <c r="Z60" s="34"/>
    </row>
    <row r="61">
      <c r="E61" s="25" t="b">
        <v>1</v>
      </c>
      <c r="F61" s="25" t="b">
        <v>0</v>
      </c>
      <c r="G61" s="25" t="b">
        <v>0</v>
      </c>
      <c r="H61" s="25" t="b">
        <v>0</v>
      </c>
      <c r="I61" s="27">
        <v>43360.0</v>
      </c>
      <c r="J61" s="27">
        <v>43362.0</v>
      </c>
      <c r="K61" s="28">
        <v>36.0</v>
      </c>
      <c r="L61" s="29" t="s">
        <v>153</v>
      </c>
      <c r="M61" s="30" t="s">
        <v>154</v>
      </c>
      <c r="N61" s="31" t="b">
        <v>0</v>
      </c>
      <c r="O61" s="32" t="b">
        <v>0</v>
      </c>
      <c r="P61" s="32" t="b">
        <v>0</v>
      </c>
      <c r="Q61" s="32" t="b">
        <v>0</v>
      </c>
      <c r="R61" s="32" t="b">
        <v>0</v>
      </c>
      <c r="S61" s="32" t="b">
        <v>0</v>
      </c>
      <c r="T61" s="32" t="b">
        <v>0</v>
      </c>
      <c r="U61" s="32" t="b">
        <v>0</v>
      </c>
      <c r="V61" s="32" t="b">
        <v>0</v>
      </c>
      <c r="W61" s="33" t="s">
        <v>52</v>
      </c>
      <c r="X61" s="33" t="s">
        <v>65</v>
      </c>
      <c r="Y61" s="34"/>
      <c r="Z61" s="34"/>
    </row>
    <row r="62">
      <c r="E62" s="25" t="b">
        <v>0</v>
      </c>
      <c r="F62" s="25" t="b">
        <v>0</v>
      </c>
      <c r="G62" s="25" t="b">
        <v>1</v>
      </c>
      <c r="H62" s="25" t="b">
        <v>0</v>
      </c>
      <c r="I62" s="27">
        <v>43316.0</v>
      </c>
      <c r="J62" s="27">
        <v>43336.0</v>
      </c>
      <c r="K62" s="28">
        <v>480.0</v>
      </c>
      <c r="L62" s="29" t="s">
        <v>155</v>
      </c>
      <c r="M62" s="30" t="s">
        <v>156</v>
      </c>
      <c r="N62" s="31" t="b">
        <v>0</v>
      </c>
      <c r="O62" s="32" t="b">
        <v>0</v>
      </c>
      <c r="P62" s="32" t="b">
        <v>0</v>
      </c>
      <c r="Q62" s="32" t="b">
        <v>0</v>
      </c>
      <c r="R62" s="32" t="b">
        <v>0</v>
      </c>
      <c r="S62" s="32" t="b">
        <v>0</v>
      </c>
      <c r="T62" s="32" t="b">
        <v>0</v>
      </c>
      <c r="U62" s="32" t="b">
        <v>0</v>
      </c>
      <c r="V62" s="32" t="b">
        <v>0</v>
      </c>
      <c r="W62" s="33" t="s">
        <v>52</v>
      </c>
      <c r="X62" s="33"/>
      <c r="Y62" s="34"/>
      <c r="Z62" s="34"/>
    </row>
    <row r="63">
      <c r="E63" s="25" t="b">
        <v>1</v>
      </c>
      <c r="F63" s="25" t="b">
        <v>0</v>
      </c>
      <c r="G63" s="25" t="b">
        <v>0</v>
      </c>
      <c r="H63" s="25" t="b">
        <v>0</v>
      </c>
      <c r="I63" s="27">
        <v>43081.0</v>
      </c>
      <c r="J63" s="27">
        <v>43206.0</v>
      </c>
      <c r="K63" s="28">
        <v>2952.0</v>
      </c>
      <c r="L63" s="29" t="s">
        <v>157</v>
      </c>
      <c r="M63" s="30" t="s">
        <v>38</v>
      </c>
      <c r="N63" s="31" t="b">
        <v>0</v>
      </c>
      <c r="O63" s="32" t="b">
        <v>0</v>
      </c>
      <c r="P63" s="32" t="b">
        <v>0</v>
      </c>
      <c r="Q63" s="32" t="b">
        <v>0</v>
      </c>
      <c r="R63" s="32" t="b">
        <v>0</v>
      </c>
      <c r="S63" s="32" t="b">
        <v>0</v>
      </c>
      <c r="T63" s="32" t="b">
        <v>0</v>
      </c>
      <c r="U63" s="32" t="b">
        <v>0</v>
      </c>
      <c r="V63" s="32" t="b">
        <v>0</v>
      </c>
      <c r="W63" s="33" t="s">
        <v>52</v>
      </c>
      <c r="X63" s="33" t="s">
        <v>158</v>
      </c>
      <c r="Y63" s="33" t="s">
        <v>98</v>
      </c>
      <c r="Z63" s="33"/>
    </row>
    <row r="64">
      <c r="E64" s="25" t="b">
        <v>1</v>
      </c>
      <c r="F64" s="25" t="b">
        <v>0</v>
      </c>
      <c r="G64" s="25" t="b">
        <v>0</v>
      </c>
      <c r="H64" s="25" t="b">
        <v>0</v>
      </c>
      <c r="I64" s="27">
        <v>42588.0</v>
      </c>
      <c r="J64" s="27">
        <v>42590.0</v>
      </c>
      <c r="K64" s="28">
        <v>40.0</v>
      </c>
      <c r="L64" s="29" t="s">
        <v>159</v>
      </c>
      <c r="M64" s="30" t="s">
        <v>38</v>
      </c>
      <c r="N64" s="31" t="b">
        <v>1</v>
      </c>
      <c r="O64" s="32" t="b">
        <v>0</v>
      </c>
      <c r="P64" s="32" t="b">
        <v>0</v>
      </c>
      <c r="Q64" s="32" t="b">
        <v>1</v>
      </c>
      <c r="R64" s="32" t="b">
        <v>0</v>
      </c>
      <c r="S64" s="32" t="b">
        <v>0</v>
      </c>
      <c r="T64" s="32" t="b">
        <v>0</v>
      </c>
      <c r="U64" s="32" t="b">
        <v>1</v>
      </c>
      <c r="V64" s="32" t="b">
        <v>0</v>
      </c>
      <c r="W64" s="33" t="s">
        <v>52</v>
      </c>
      <c r="X64" s="33" t="s">
        <v>73</v>
      </c>
      <c r="Y64" s="33"/>
      <c r="Z64" s="33"/>
    </row>
    <row r="65">
      <c r="A65" s="21">
        <v>21.0</v>
      </c>
      <c r="B65" s="22" t="s">
        <v>160</v>
      </c>
      <c r="C65" s="23" t="s">
        <v>161</v>
      </c>
      <c r="D65" s="24" t="s">
        <v>36</v>
      </c>
      <c r="E65" s="66" t="b">
        <v>0</v>
      </c>
      <c r="F65" s="66" t="b">
        <v>1</v>
      </c>
      <c r="G65" s="66" t="b">
        <v>0</v>
      </c>
      <c r="H65" s="66" t="b">
        <v>0</v>
      </c>
      <c r="I65" s="52">
        <v>45164.0</v>
      </c>
      <c r="J65" s="52">
        <v>45168.0</v>
      </c>
      <c r="K65" s="28">
        <v>96.0</v>
      </c>
      <c r="L65" s="67" t="s">
        <v>162</v>
      </c>
      <c r="M65" s="68" t="s">
        <v>38</v>
      </c>
      <c r="N65" s="69" t="b">
        <v>0</v>
      </c>
      <c r="O65" s="66" t="b">
        <v>0</v>
      </c>
      <c r="P65" s="66" t="b">
        <v>0</v>
      </c>
      <c r="Q65" s="66" t="b">
        <v>0</v>
      </c>
      <c r="R65" s="66" t="b">
        <v>0</v>
      </c>
      <c r="S65" s="66" t="b">
        <v>0</v>
      </c>
      <c r="T65" s="66" t="b">
        <v>0</v>
      </c>
      <c r="U65" s="66" t="b">
        <v>0</v>
      </c>
      <c r="V65" s="66" t="b">
        <v>0</v>
      </c>
      <c r="W65" s="49" t="s">
        <v>163</v>
      </c>
      <c r="X65" s="49" t="s">
        <v>125</v>
      </c>
      <c r="Y65" s="70" t="s">
        <v>39</v>
      </c>
      <c r="Z65" s="71"/>
    </row>
    <row r="66">
      <c r="E66" s="25" t="b">
        <v>0</v>
      </c>
      <c r="F66" s="25" t="b">
        <v>0</v>
      </c>
      <c r="G66" s="25" t="b">
        <v>1</v>
      </c>
      <c r="H66" s="25" t="b">
        <v>0</v>
      </c>
      <c r="I66" s="27">
        <v>43472.0</v>
      </c>
      <c r="J66" s="27">
        <v>43473.0</v>
      </c>
      <c r="K66" s="28">
        <v>28.0</v>
      </c>
      <c r="L66" s="29" t="s">
        <v>164</v>
      </c>
      <c r="M66" s="30" t="s">
        <v>165</v>
      </c>
      <c r="N66" s="31" t="b">
        <v>0</v>
      </c>
      <c r="O66" s="32" t="b">
        <v>0</v>
      </c>
      <c r="P66" s="32" t="b">
        <v>0</v>
      </c>
      <c r="Q66" s="32" t="b">
        <v>0</v>
      </c>
      <c r="R66" s="32" t="b">
        <v>0</v>
      </c>
      <c r="S66" s="32" t="b">
        <v>0</v>
      </c>
      <c r="T66" s="32" t="b">
        <v>0</v>
      </c>
      <c r="U66" s="32" t="b">
        <v>0</v>
      </c>
      <c r="V66" s="32" t="b">
        <v>0</v>
      </c>
      <c r="W66" s="33" t="s">
        <v>39</v>
      </c>
      <c r="X66" s="34"/>
      <c r="Y66" s="34"/>
      <c r="Z66" s="34"/>
    </row>
    <row r="67">
      <c r="E67" s="25" t="b">
        <v>0</v>
      </c>
      <c r="F67" s="25" t="b">
        <v>1</v>
      </c>
      <c r="G67" s="25" t="b">
        <v>0</v>
      </c>
      <c r="H67" s="25" t="b">
        <v>0</v>
      </c>
      <c r="I67" s="27">
        <v>42614.0</v>
      </c>
      <c r="J67" s="27">
        <v>42641.0</v>
      </c>
      <c r="K67" s="28">
        <v>372.0</v>
      </c>
      <c r="L67" s="29" t="s">
        <v>166</v>
      </c>
      <c r="M67" s="30" t="s">
        <v>38</v>
      </c>
      <c r="N67" s="31" t="b">
        <v>0</v>
      </c>
      <c r="O67" s="32" t="b">
        <v>0</v>
      </c>
      <c r="P67" s="32" t="b">
        <v>0</v>
      </c>
      <c r="Q67" s="32" t="b">
        <v>0</v>
      </c>
      <c r="R67" s="32" t="b">
        <v>0</v>
      </c>
      <c r="S67" s="32" t="b">
        <v>0</v>
      </c>
      <c r="T67" s="32" t="b">
        <v>0</v>
      </c>
      <c r="U67" s="32" t="b">
        <v>0</v>
      </c>
      <c r="V67" s="32" t="b">
        <v>0</v>
      </c>
      <c r="W67" s="33" t="s">
        <v>167</v>
      </c>
      <c r="X67" s="33" t="s">
        <v>167</v>
      </c>
      <c r="Y67" s="34"/>
      <c r="Z67" s="34"/>
    </row>
    <row r="68">
      <c r="A68" s="21">
        <v>22.0</v>
      </c>
      <c r="B68" s="22" t="s">
        <v>168</v>
      </c>
      <c r="C68" s="23" t="s">
        <v>169</v>
      </c>
      <c r="D68" s="24" t="s">
        <v>36</v>
      </c>
      <c r="E68" s="25" t="b">
        <v>0</v>
      </c>
      <c r="F68" s="25" t="b">
        <v>1</v>
      </c>
      <c r="G68" s="25" t="b">
        <v>0</v>
      </c>
      <c r="H68" s="25" t="b">
        <v>0</v>
      </c>
      <c r="I68" s="27">
        <v>42705.0</v>
      </c>
      <c r="J68" s="27">
        <v>42706.0</v>
      </c>
      <c r="K68" s="28">
        <v>38.0</v>
      </c>
      <c r="L68" s="29" t="s">
        <v>170</v>
      </c>
      <c r="M68" s="30" t="s">
        <v>38</v>
      </c>
      <c r="N68" s="31" t="b">
        <v>0</v>
      </c>
      <c r="O68" s="32" t="b">
        <v>0</v>
      </c>
      <c r="P68" s="32" t="b">
        <v>0</v>
      </c>
      <c r="Q68" s="32" t="b">
        <v>0</v>
      </c>
      <c r="R68" s="32" t="b">
        <v>0</v>
      </c>
      <c r="S68" s="32" t="b">
        <v>0</v>
      </c>
      <c r="T68" s="32" t="b">
        <v>0</v>
      </c>
      <c r="U68" s="32" t="b">
        <v>0</v>
      </c>
      <c r="V68" s="32" t="b">
        <v>0</v>
      </c>
      <c r="W68" s="33" t="s">
        <v>167</v>
      </c>
      <c r="X68" s="34"/>
      <c r="Y68" s="34"/>
      <c r="Z68" s="34"/>
    </row>
    <row r="69">
      <c r="A69" s="21">
        <v>23.0</v>
      </c>
      <c r="B69" s="22" t="s">
        <v>171</v>
      </c>
      <c r="C69" s="23" t="s">
        <v>172</v>
      </c>
      <c r="D69" s="35" t="s">
        <v>29</v>
      </c>
      <c r="E69" s="25" t="b">
        <v>0</v>
      </c>
      <c r="F69" s="25" t="b">
        <v>0</v>
      </c>
      <c r="G69" s="25" t="b">
        <v>0</v>
      </c>
      <c r="H69" s="25" t="b">
        <v>0</v>
      </c>
      <c r="I69" s="36" t="s">
        <v>47</v>
      </c>
      <c r="J69" s="36" t="s">
        <v>47</v>
      </c>
      <c r="K69" s="28" t="s">
        <v>47</v>
      </c>
      <c r="L69" s="37" t="s">
        <v>47</v>
      </c>
      <c r="M69" s="27" t="s">
        <v>47</v>
      </c>
      <c r="N69" s="31" t="b">
        <v>0</v>
      </c>
      <c r="O69" s="32" t="b">
        <v>0</v>
      </c>
      <c r="P69" s="32" t="b">
        <v>0</v>
      </c>
      <c r="Q69" s="32" t="b">
        <v>0</v>
      </c>
      <c r="R69" s="32" t="b">
        <v>0</v>
      </c>
      <c r="S69" s="32" t="b">
        <v>0</v>
      </c>
      <c r="T69" s="32" t="b">
        <v>0</v>
      </c>
      <c r="U69" s="32" t="b">
        <v>0</v>
      </c>
      <c r="V69" s="32" t="b">
        <v>0</v>
      </c>
      <c r="W69" s="34"/>
      <c r="X69" s="34"/>
      <c r="Y69" s="34"/>
      <c r="Z69" s="34"/>
    </row>
    <row r="70">
      <c r="A70" s="72">
        <v>24.0</v>
      </c>
      <c r="B70" s="22" t="s">
        <v>173</v>
      </c>
      <c r="C70" s="23" t="s">
        <v>174</v>
      </c>
      <c r="D70" s="24" t="s">
        <v>36</v>
      </c>
      <c r="E70" s="42" t="b">
        <v>0</v>
      </c>
      <c r="F70" s="42" t="b">
        <v>0</v>
      </c>
      <c r="G70" s="42" t="b">
        <v>1</v>
      </c>
      <c r="H70" s="42" t="b">
        <v>0</v>
      </c>
      <c r="I70" s="52">
        <v>45254.0</v>
      </c>
      <c r="J70" s="73" t="s">
        <v>58</v>
      </c>
      <c r="K70" s="28">
        <f>(updateDate!B$1-date(year(I70),month(I70),day(I70)+1))*24</f>
        <v>9648</v>
      </c>
      <c r="L70" s="74" t="s">
        <v>175</v>
      </c>
      <c r="M70" s="47" t="s">
        <v>38</v>
      </c>
      <c r="N70" s="48" t="b">
        <v>1</v>
      </c>
      <c r="O70" s="42" t="b">
        <v>1</v>
      </c>
      <c r="P70" s="42" t="b">
        <v>0</v>
      </c>
      <c r="Q70" s="42" t="b">
        <v>0</v>
      </c>
      <c r="R70" s="42" t="b">
        <v>0</v>
      </c>
      <c r="S70" s="42" t="b">
        <v>1</v>
      </c>
      <c r="T70" s="42" t="b">
        <v>1</v>
      </c>
      <c r="U70" s="42" t="b">
        <v>0</v>
      </c>
      <c r="V70" s="42" t="b">
        <v>0</v>
      </c>
      <c r="W70" s="54" t="s">
        <v>41</v>
      </c>
      <c r="X70" s="50"/>
      <c r="Y70" s="51"/>
      <c r="Z70" s="51"/>
    </row>
    <row r="71">
      <c r="E71" s="69" t="b">
        <v>1</v>
      </c>
      <c r="F71" s="69" t="b">
        <v>0</v>
      </c>
      <c r="G71" s="69" t="b">
        <v>0</v>
      </c>
      <c r="H71" s="69" t="b">
        <v>0</v>
      </c>
      <c r="I71" s="75">
        <v>45063.0</v>
      </c>
      <c r="J71" s="76">
        <v>45069.0</v>
      </c>
      <c r="K71" s="45">
        <v>168.0</v>
      </c>
      <c r="L71" s="77" t="s">
        <v>176</v>
      </c>
      <c r="M71" s="78" t="s">
        <v>38</v>
      </c>
      <c r="N71" s="69" t="b">
        <v>1</v>
      </c>
      <c r="O71" s="66" t="b">
        <v>1</v>
      </c>
      <c r="P71" s="66" t="b">
        <v>0</v>
      </c>
      <c r="Q71" s="66" t="b">
        <v>1</v>
      </c>
      <c r="R71" s="66" t="b">
        <v>1</v>
      </c>
      <c r="S71" s="66" t="b">
        <v>1</v>
      </c>
      <c r="T71" s="66" t="b">
        <v>1</v>
      </c>
      <c r="U71" s="66" t="b">
        <v>1</v>
      </c>
      <c r="V71" s="66" t="b">
        <v>1</v>
      </c>
      <c r="W71" s="79" t="s">
        <v>39</v>
      </c>
      <c r="X71" s="54" t="s">
        <v>177</v>
      </c>
      <c r="Y71" s="34"/>
      <c r="Z71" s="34"/>
    </row>
    <row r="72">
      <c r="E72" s="80" t="b">
        <v>0</v>
      </c>
      <c r="F72" s="80" t="b">
        <v>1</v>
      </c>
      <c r="G72" s="80" t="b">
        <v>0</v>
      </c>
      <c r="H72" s="80" t="b">
        <v>0</v>
      </c>
      <c r="I72" s="38">
        <v>44127.0</v>
      </c>
      <c r="J72" s="38">
        <v>44131.0</v>
      </c>
      <c r="K72" s="28">
        <v>100.0</v>
      </c>
      <c r="L72" s="81" t="s">
        <v>178</v>
      </c>
      <c r="M72" s="40" t="s">
        <v>38</v>
      </c>
      <c r="N72" s="31" t="b">
        <v>0</v>
      </c>
      <c r="O72" s="32" t="b">
        <v>0</v>
      </c>
      <c r="P72" s="32" t="b">
        <v>0</v>
      </c>
      <c r="Q72" s="32" t="b">
        <v>0</v>
      </c>
      <c r="R72" s="32" t="b">
        <v>0</v>
      </c>
      <c r="S72" s="32" t="b">
        <v>0</v>
      </c>
      <c r="T72" s="32" t="b">
        <v>0</v>
      </c>
      <c r="U72" s="32" t="b">
        <v>0</v>
      </c>
      <c r="V72" s="32" t="b">
        <v>0</v>
      </c>
      <c r="W72" s="33" t="s">
        <v>39</v>
      </c>
      <c r="X72" s="34"/>
      <c r="Y72" s="34"/>
      <c r="Z72" s="34"/>
    </row>
    <row r="73">
      <c r="E73" s="80" t="b">
        <v>0</v>
      </c>
      <c r="F73" s="82" t="b">
        <v>1</v>
      </c>
      <c r="G73" s="82" t="b">
        <v>0</v>
      </c>
      <c r="H73" s="80" t="b">
        <v>0</v>
      </c>
      <c r="I73" s="38">
        <v>43911.0</v>
      </c>
      <c r="J73" s="38">
        <v>43912.0</v>
      </c>
      <c r="K73" s="28">
        <v>22.0</v>
      </c>
      <c r="L73" s="39" t="s">
        <v>179</v>
      </c>
      <c r="M73" s="40" t="s">
        <v>38</v>
      </c>
      <c r="N73" s="31" t="b">
        <v>1</v>
      </c>
      <c r="O73" s="32" t="b">
        <v>1</v>
      </c>
      <c r="P73" s="32" t="b">
        <v>1</v>
      </c>
      <c r="Q73" s="32" t="b">
        <v>0</v>
      </c>
      <c r="R73" s="32" t="b">
        <v>1</v>
      </c>
      <c r="S73" s="32" t="b">
        <v>0</v>
      </c>
      <c r="T73" s="32" t="b">
        <v>1</v>
      </c>
      <c r="U73" s="32" t="b">
        <v>0</v>
      </c>
      <c r="V73" s="32" t="b">
        <v>0</v>
      </c>
      <c r="W73" s="33" t="s">
        <v>52</v>
      </c>
      <c r="X73" s="33" t="s">
        <v>39</v>
      </c>
      <c r="Y73" s="34"/>
      <c r="Z73" s="34"/>
    </row>
    <row r="74">
      <c r="E74" s="80" t="b">
        <v>0</v>
      </c>
      <c r="F74" s="82" t="b">
        <v>1</v>
      </c>
      <c r="G74" s="82" t="b">
        <v>0</v>
      </c>
      <c r="H74" s="80" t="b">
        <v>0</v>
      </c>
      <c r="I74" s="38">
        <v>43910.0</v>
      </c>
      <c r="J74" s="38">
        <v>43911.0</v>
      </c>
      <c r="K74" s="28">
        <v>3.0</v>
      </c>
      <c r="L74" s="39" t="s">
        <v>180</v>
      </c>
      <c r="M74" s="40" t="s">
        <v>38</v>
      </c>
      <c r="N74" s="31" t="b">
        <v>0</v>
      </c>
      <c r="O74" s="32" t="b">
        <v>0</v>
      </c>
      <c r="P74" s="32" t="b">
        <v>0</v>
      </c>
      <c r="Q74" s="32" t="b">
        <v>0</v>
      </c>
      <c r="R74" s="32" t="b">
        <v>0</v>
      </c>
      <c r="S74" s="32" t="b">
        <v>0</v>
      </c>
      <c r="T74" s="32" t="b">
        <v>0</v>
      </c>
      <c r="U74" s="32" t="b">
        <v>0</v>
      </c>
      <c r="V74" s="32" t="b">
        <v>0</v>
      </c>
      <c r="W74" s="33" t="s">
        <v>39</v>
      </c>
      <c r="X74" s="33"/>
      <c r="Y74" s="34"/>
      <c r="Z74" s="34"/>
    </row>
    <row r="75">
      <c r="A75" s="21">
        <v>25.0</v>
      </c>
      <c r="B75" s="22" t="s">
        <v>181</v>
      </c>
      <c r="C75" s="23" t="s">
        <v>182</v>
      </c>
      <c r="D75" s="35" t="s">
        <v>29</v>
      </c>
      <c r="E75" s="25" t="b">
        <v>0</v>
      </c>
      <c r="F75" s="25" t="b">
        <v>0</v>
      </c>
      <c r="G75" s="25" t="b">
        <v>0</v>
      </c>
      <c r="H75" s="25" t="b">
        <v>0</v>
      </c>
      <c r="I75" s="36" t="s">
        <v>47</v>
      </c>
      <c r="J75" s="36" t="s">
        <v>47</v>
      </c>
      <c r="K75" s="28" t="s">
        <v>47</v>
      </c>
      <c r="L75" s="37" t="s">
        <v>47</v>
      </c>
      <c r="M75" s="27" t="s">
        <v>47</v>
      </c>
      <c r="N75" s="31" t="b">
        <v>0</v>
      </c>
      <c r="O75" s="32" t="b">
        <v>0</v>
      </c>
      <c r="P75" s="32" t="b">
        <v>0</v>
      </c>
      <c r="Q75" s="32" t="b">
        <v>0</v>
      </c>
      <c r="R75" s="32" t="b">
        <v>0</v>
      </c>
      <c r="S75" s="32" t="b">
        <v>0</v>
      </c>
      <c r="T75" s="32" t="b">
        <v>0</v>
      </c>
      <c r="U75" s="32" t="b">
        <v>0</v>
      </c>
      <c r="V75" s="32" t="b">
        <v>0</v>
      </c>
      <c r="W75" s="34"/>
      <c r="X75" s="34"/>
      <c r="Y75" s="34"/>
      <c r="Z75" s="34"/>
    </row>
    <row r="76">
      <c r="A76" s="21">
        <v>26.0</v>
      </c>
      <c r="B76" s="22" t="s">
        <v>183</v>
      </c>
      <c r="C76" s="23" t="s">
        <v>184</v>
      </c>
      <c r="D76" s="24" t="s">
        <v>36</v>
      </c>
      <c r="E76" s="26" t="b">
        <v>0</v>
      </c>
      <c r="F76" s="25" t="b">
        <v>0</v>
      </c>
      <c r="G76" s="26" t="b">
        <v>1</v>
      </c>
      <c r="H76" s="25" t="b">
        <v>0</v>
      </c>
      <c r="I76" s="83">
        <v>45604.0</v>
      </c>
      <c r="J76" s="73" t="s">
        <v>58</v>
      </c>
      <c r="K76" s="28">
        <f>(updateDate!B$1-date(year(I76),month(I76),day(I76)+1))*24</f>
        <v>1248</v>
      </c>
      <c r="L76" s="84" t="s">
        <v>185</v>
      </c>
      <c r="M76" s="40" t="s">
        <v>38</v>
      </c>
      <c r="N76" s="65" t="b">
        <v>1</v>
      </c>
      <c r="O76" s="32" t="b">
        <v>0</v>
      </c>
      <c r="P76" s="32" t="b">
        <v>0</v>
      </c>
      <c r="Q76" s="32" t="b">
        <v>0</v>
      </c>
      <c r="R76" s="32" t="b">
        <v>0</v>
      </c>
      <c r="S76" s="63" t="b">
        <v>1</v>
      </c>
      <c r="T76" s="32" t="b">
        <v>0</v>
      </c>
      <c r="U76" s="32" t="b">
        <v>0</v>
      </c>
      <c r="V76" s="32" t="b">
        <v>0</v>
      </c>
      <c r="W76" s="61" t="s">
        <v>39</v>
      </c>
      <c r="X76" s="34"/>
      <c r="Y76" s="34"/>
      <c r="Z76" s="34"/>
    </row>
    <row r="77">
      <c r="E77" s="26" t="b">
        <v>1</v>
      </c>
      <c r="F77" s="25" t="b">
        <v>0</v>
      </c>
      <c r="G77" s="25" t="b">
        <v>0</v>
      </c>
      <c r="H77" s="25" t="b">
        <v>0</v>
      </c>
      <c r="I77" s="83">
        <v>45468.0</v>
      </c>
      <c r="J77" s="83">
        <v>45468.0</v>
      </c>
      <c r="K77" s="45">
        <v>7.0</v>
      </c>
      <c r="L77" s="85" t="s">
        <v>186</v>
      </c>
      <c r="M77" s="40" t="s">
        <v>38</v>
      </c>
      <c r="N77" s="31" t="b">
        <v>0</v>
      </c>
      <c r="O77" s="32" t="b">
        <v>0</v>
      </c>
      <c r="P77" s="32" t="b">
        <v>0</v>
      </c>
      <c r="Q77" s="32" t="b">
        <v>0</v>
      </c>
      <c r="R77" s="32" t="b">
        <v>0</v>
      </c>
      <c r="S77" s="32" t="b">
        <v>0</v>
      </c>
      <c r="T77" s="32" t="b">
        <v>0</v>
      </c>
      <c r="U77" s="32" t="b">
        <v>0</v>
      </c>
      <c r="V77" s="32" t="b">
        <v>0</v>
      </c>
      <c r="W77" s="86" t="s">
        <v>187</v>
      </c>
      <c r="X77" s="34"/>
      <c r="Y77" s="34"/>
      <c r="Z77" s="34"/>
    </row>
    <row r="78">
      <c r="A78" s="21">
        <v>27.0</v>
      </c>
      <c r="B78" s="22" t="s">
        <v>188</v>
      </c>
      <c r="C78" s="23" t="s">
        <v>189</v>
      </c>
      <c r="D78" s="35" t="s">
        <v>29</v>
      </c>
      <c r="E78" s="25" t="b">
        <v>0</v>
      </c>
      <c r="F78" s="25" t="b">
        <v>0</v>
      </c>
      <c r="G78" s="25" t="b">
        <v>0</v>
      </c>
      <c r="H78" s="25" t="b">
        <v>0</v>
      </c>
      <c r="I78" s="36" t="s">
        <v>47</v>
      </c>
      <c r="J78" s="36" t="s">
        <v>47</v>
      </c>
      <c r="K78" s="28" t="s">
        <v>47</v>
      </c>
      <c r="L78" s="37" t="s">
        <v>47</v>
      </c>
      <c r="M78" s="27" t="s">
        <v>47</v>
      </c>
      <c r="N78" s="31" t="b">
        <v>0</v>
      </c>
      <c r="O78" s="32" t="b">
        <v>0</v>
      </c>
      <c r="P78" s="32" t="b">
        <v>0</v>
      </c>
      <c r="Q78" s="32" t="b">
        <v>0</v>
      </c>
      <c r="R78" s="32" t="b">
        <v>0</v>
      </c>
      <c r="S78" s="32" t="b">
        <v>0</v>
      </c>
      <c r="T78" s="32" t="b">
        <v>0</v>
      </c>
      <c r="U78" s="32" t="b">
        <v>0</v>
      </c>
      <c r="V78" s="32" t="b">
        <v>0</v>
      </c>
      <c r="W78" s="34"/>
      <c r="X78" s="34"/>
      <c r="Y78" s="34"/>
      <c r="Z78" s="34"/>
    </row>
    <row r="79">
      <c r="A79" s="72">
        <v>28.0</v>
      </c>
      <c r="B79" s="22" t="s">
        <v>190</v>
      </c>
      <c r="C79" s="23" t="s">
        <v>191</v>
      </c>
      <c r="D79" s="24" t="s">
        <v>36</v>
      </c>
      <c r="E79" s="80" t="b">
        <v>1</v>
      </c>
      <c r="F79" s="80" t="b">
        <v>0</v>
      </c>
      <c r="G79" s="80" t="b">
        <v>0</v>
      </c>
      <c r="H79" s="80" t="b">
        <v>0</v>
      </c>
      <c r="I79" s="38">
        <v>43623.0</v>
      </c>
      <c r="J79" s="38">
        <v>43623.0</v>
      </c>
      <c r="K79" s="28">
        <v>6.0</v>
      </c>
      <c r="L79" s="39" t="s">
        <v>192</v>
      </c>
      <c r="M79" s="40" t="s">
        <v>38</v>
      </c>
      <c r="N79" s="31" t="b">
        <v>1</v>
      </c>
      <c r="O79" s="32" t="b">
        <v>1</v>
      </c>
      <c r="P79" s="32" t="b">
        <v>1</v>
      </c>
      <c r="Q79" s="32" t="b">
        <v>0</v>
      </c>
      <c r="R79" s="32" t="b">
        <v>1</v>
      </c>
      <c r="S79" s="32" t="b">
        <v>0</v>
      </c>
      <c r="T79" s="32" t="b">
        <v>1</v>
      </c>
      <c r="U79" s="32" t="b">
        <v>1</v>
      </c>
      <c r="V79" s="32" t="b">
        <v>0</v>
      </c>
      <c r="W79" s="33" t="s">
        <v>41</v>
      </c>
      <c r="X79" s="34"/>
      <c r="Y79" s="34"/>
      <c r="Z79" s="34"/>
    </row>
    <row r="80">
      <c r="A80" s="21">
        <v>29.0</v>
      </c>
      <c r="B80" s="22" t="s">
        <v>193</v>
      </c>
      <c r="C80" s="23" t="s">
        <v>194</v>
      </c>
      <c r="D80" s="24" t="s">
        <v>36</v>
      </c>
      <c r="E80" s="25" t="b">
        <v>0</v>
      </c>
      <c r="F80" s="25" t="b">
        <v>0</v>
      </c>
      <c r="G80" s="25" t="b">
        <v>1</v>
      </c>
      <c r="H80" s="25" t="b">
        <v>0</v>
      </c>
      <c r="I80" s="38">
        <v>42570.0</v>
      </c>
      <c r="J80" s="38">
        <v>42570.0</v>
      </c>
      <c r="K80" s="28">
        <v>10.0</v>
      </c>
      <c r="L80" s="39" t="s">
        <v>195</v>
      </c>
      <c r="M80" s="40" t="s">
        <v>196</v>
      </c>
      <c r="N80" s="31" t="b">
        <v>0</v>
      </c>
      <c r="O80" s="32" t="b">
        <v>0</v>
      </c>
      <c r="P80" s="32" t="b">
        <v>0</v>
      </c>
      <c r="Q80" s="32" t="b">
        <v>0</v>
      </c>
      <c r="R80" s="32" t="b">
        <v>0</v>
      </c>
      <c r="S80" s="32" t="b">
        <v>0</v>
      </c>
      <c r="T80" s="32" t="b">
        <v>0</v>
      </c>
      <c r="U80" s="32" t="b">
        <v>0</v>
      </c>
      <c r="V80" s="32" t="b">
        <v>0</v>
      </c>
      <c r="W80" s="33" t="s">
        <v>52</v>
      </c>
      <c r="X80" s="33" t="s">
        <v>197</v>
      </c>
      <c r="Y80" s="34"/>
      <c r="Z80" s="34"/>
    </row>
    <row r="81">
      <c r="A81" s="21">
        <v>30.0</v>
      </c>
      <c r="B81" s="22" t="s">
        <v>198</v>
      </c>
      <c r="C81" s="23" t="s">
        <v>199</v>
      </c>
      <c r="D81" s="35" t="s">
        <v>29</v>
      </c>
      <c r="E81" s="25" t="b">
        <v>0</v>
      </c>
      <c r="F81" s="25" t="b">
        <v>0</v>
      </c>
      <c r="G81" s="25" t="b">
        <v>0</v>
      </c>
      <c r="H81" s="25" t="b">
        <v>0</v>
      </c>
      <c r="I81" s="36" t="s">
        <v>47</v>
      </c>
      <c r="J81" s="36" t="s">
        <v>47</v>
      </c>
      <c r="K81" s="28" t="s">
        <v>47</v>
      </c>
      <c r="L81" s="37" t="s">
        <v>47</v>
      </c>
      <c r="M81" s="27" t="s">
        <v>47</v>
      </c>
      <c r="N81" s="31" t="b">
        <v>0</v>
      </c>
      <c r="O81" s="32" t="b">
        <v>0</v>
      </c>
      <c r="P81" s="32" t="b">
        <v>0</v>
      </c>
      <c r="Q81" s="32" t="b">
        <v>0</v>
      </c>
      <c r="R81" s="32" t="b">
        <v>0</v>
      </c>
      <c r="S81" s="32" t="b">
        <v>0</v>
      </c>
      <c r="T81" s="32" t="b">
        <v>0</v>
      </c>
      <c r="U81" s="32" t="b">
        <v>0</v>
      </c>
      <c r="V81" s="32" t="b">
        <v>0</v>
      </c>
      <c r="W81" s="34"/>
      <c r="X81" s="34"/>
      <c r="Y81" s="34"/>
      <c r="Z81" s="34"/>
    </row>
    <row r="82">
      <c r="A82" s="21">
        <v>31.0</v>
      </c>
      <c r="B82" s="22" t="s">
        <v>200</v>
      </c>
      <c r="C82" s="23" t="s">
        <v>201</v>
      </c>
      <c r="D82" s="62" t="s">
        <v>36</v>
      </c>
      <c r="E82" s="25" t="b">
        <v>0</v>
      </c>
      <c r="F82" s="25" t="b">
        <v>1</v>
      </c>
      <c r="G82" s="25" t="b">
        <v>0</v>
      </c>
      <c r="H82" s="25" t="b">
        <v>0</v>
      </c>
      <c r="I82" s="27">
        <v>43606.0</v>
      </c>
      <c r="J82" s="27">
        <v>43606.0</v>
      </c>
      <c r="K82" s="28">
        <v>6.0</v>
      </c>
      <c r="L82" s="29" t="s">
        <v>202</v>
      </c>
      <c r="M82" s="30" t="s">
        <v>38</v>
      </c>
      <c r="N82" s="31" t="b">
        <v>0</v>
      </c>
      <c r="O82" s="32" t="b">
        <v>0</v>
      </c>
      <c r="P82" s="32" t="b">
        <v>0</v>
      </c>
      <c r="Q82" s="32" t="b">
        <v>0</v>
      </c>
      <c r="R82" s="32" t="b">
        <v>0</v>
      </c>
      <c r="S82" s="32" t="b">
        <v>0</v>
      </c>
      <c r="T82" s="32" t="b">
        <v>0</v>
      </c>
      <c r="U82" s="32" t="b">
        <v>0</v>
      </c>
      <c r="V82" s="32" t="b">
        <v>0</v>
      </c>
      <c r="W82" s="33" t="s">
        <v>203</v>
      </c>
      <c r="X82" s="33" t="s">
        <v>41</v>
      </c>
      <c r="Y82" s="34"/>
      <c r="Z82" s="34"/>
    </row>
    <row r="83">
      <c r="A83" s="21">
        <v>32.0</v>
      </c>
      <c r="B83" s="22" t="s">
        <v>204</v>
      </c>
      <c r="C83" s="23" t="s">
        <v>205</v>
      </c>
      <c r="D83" s="24" t="s">
        <v>36</v>
      </c>
      <c r="E83" s="25" t="b">
        <v>1</v>
      </c>
      <c r="F83" s="25" t="b">
        <v>0</v>
      </c>
      <c r="G83" s="25" t="b">
        <v>0</v>
      </c>
      <c r="H83" s="25" t="b">
        <v>0</v>
      </c>
      <c r="I83" s="27">
        <v>44022.0</v>
      </c>
      <c r="J83" s="27">
        <v>44027.0</v>
      </c>
      <c r="K83" s="28">
        <v>120.0</v>
      </c>
      <c r="L83" s="29" t="s">
        <v>206</v>
      </c>
      <c r="M83" s="30" t="s">
        <v>38</v>
      </c>
      <c r="N83" s="31" t="b">
        <v>1</v>
      </c>
      <c r="O83" s="32" t="b">
        <v>1</v>
      </c>
      <c r="P83" s="32" t="b">
        <v>1</v>
      </c>
      <c r="Q83" s="32" t="b">
        <v>0</v>
      </c>
      <c r="R83" s="32" t="b">
        <v>1</v>
      </c>
      <c r="S83" s="32" t="b">
        <v>0</v>
      </c>
      <c r="T83" s="32" t="b">
        <v>1</v>
      </c>
      <c r="U83" s="32" t="b">
        <v>1</v>
      </c>
      <c r="V83" s="32" t="b">
        <v>0</v>
      </c>
      <c r="W83" s="33" t="s">
        <v>39</v>
      </c>
      <c r="X83" s="34"/>
      <c r="Y83" s="34"/>
      <c r="Z83" s="34"/>
    </row>
    <row r="84">
      <c r="E84" s="25" t="b">
        <v>0</v>
      </c>
      <c r="F84" s="25" t="b">
        <v>1</v>
      </c>
      <c r="G84" s="25" t="b">
        <v>0</v>
      </c>
      <c r="H84" s="25" t="b">
        <v>0</v>
      </c>
      <c r="I84" s="27">
        <v>43328.0</v>
      </c>
      <c r="J84" s="27">
        <v>43328.0</v>
      </c>
      <c r="K84" s="28">
        <v>6.0</v>
      </c>
      <c r="L84" s="29" t="s">
        <v>207</v>
      </c>
      <c r="M84" s="30" t="s">
        <v>38</v>
      </c>
      <c r="N84" s="31" t="b">
        <v>0</v>
      </c>
      <c r="O84" s="32" t="b">
        <v>0</v>
      </c>
      <c r="P84" s="32" t="b">
        <v>0</v>
      </c>
      <c r="Q84" s="32" t="b">
        <v>0</v>
      </c>
      <c r="R84" s="32" t="b">
        <v>0</v>
      </c>
      <c r="S84" s="32" t="b">
        <v>0</v>
      </c>
      <c r="T84" s="32" t="b">
        <v>0</v>
      </c>
      <c r="U84" s="32" t="b">
        <v>0</v>
      </c>
      <c r="V84" s="32" t="b">
        <v>0</v>
      </c>
      <c r="W84" s="33" t="s">
        <v>39</v>
      </c>
      <c r="X84" s="34"/>
      <c r="Y84" s="34"/>
      <c r="Z84" s="34"/>
    </row>
    <row r="85">
      <c r="E85" s="25" t="b">
        <v>0</v>
      </c>
      <c r="F85" s="25" t="b">
        <v>1</v>
      </c>
      <c r="G85" s="25" t="b">
        <v>0</v>
      </c>
      <c r="H85" s="25" t="b">
        <v>0</v>
      </c>
      <c r="I85" s="27">
        <v>43310.0</v>
      </c>
      <c r="J85" s="27">
        <v>43310.0</v>
      </c>
      <c r="K85" s="28">
        <v>3.0</v>
      </c>
      <c r="L85" s="29" t="s">
        <v>208</v>
      </c>
      <c r="M85" s="30" t="s">
        <v>38</v>
      </c>
      <c r="N85" s="31" t="b">
        <v>1</v>
      </c>
      <c r="O85" s="32" t="b">
        <v>0</v>
      </c>
      <c r="P85" s="32" t="b">
        <v>1</v>
      </c>
      <c r="Q85" s="32" t="b">
        <v>0</v>
      </c>
      <c r="R85" s="32" t="b">
        <v>0</v>
      </c>
      <c r="S85" s="32" t="b">
        <v>0</v>
      </c>
      <c r="T85" s="32" t="b">
        <v>1</v>
      </c>
      <c r="U85" s="32" t="b">
        <v>0</v>
      </c>
      <c r="V85" s="32" t="b">
        <v>0</v>
      </c>
      <c r="W85" s="33" t="s">
        <v>146</v>
      </c>
      <c r="X85" s="33"/>
      <c r="Y85" s="33"/>
      <c r="Z85" s="33"/>
    </row>
    <row r="86">
      <c r="E86" s="25" t="b">
        <v>0</v>
      </c>
      <c r="F86" s="25" t="b">
        <v>0</v>
      </c>
      <c r="G86" s="25" t="b">
        <v>1</v>
      </c>
      <c r="H86" s="25" t="b">
        <v>0</v>
      </c>
      <c r="I86" s="27">
        <v>42599.0</v>
      </c>
      <c r="J86" s="27">
        <v>42599.0</v>
      </c>
      <c r="K86" s="28">
        <v>24.0</v>
      </c>
      <c r="L86" s="29" t="s">
        <v>209</v>
      </c>
      <c r="M86" s="30" t="s">
        <v>38</v>
      </c>
      <c r="N86" s="31" t="b">
        <v>1</v>
      </c>
      <c r="O86" s="32" t="b">
        <v>1</v>
      </c>
      <c r="P86" s="32" t="b">
        <v>1</v>
      </c>
      <c r="Q86" s="32" t="b">
        <v>0</v>
      </c>
      <c r="R86" s="32" t="b">
        <v>0</v>
      </c>
      <c r="S86" s="32" t="b">
        <v>0</v>
      </c>
      <c r="T86" s="32" t="b">
        <v>0</v>
      </c>
      <c r="U86" s="32" t="b">
        <v>0</v>
      </c>
      <c r="V86" s="32" t="b">
        <v>0</v>
      </c>
      <c r="W86" s="33" t="s">
        <v>167</v>
      </c>
      <c r="X86" s="33"/>
      <c r="Y86" s="33"/>
      <c r="Z86" s="33"/>
    </row>
    <row r="87">
      <c r="A87" s="21">
        <v>33.0</v>
      </c>
      <c r="B87" s="22" t="s">
        <v>210</v>
      </c>
      <c r="C87" s="23" t="s">
        <v>211</v>
      </c>
      <c r="D87" s="24" t="s">
        <v>36</v>
      </c>
      <c r="E87" s="26" t="b">
        <v>0</v>
      </c>
      <c r="F87" s="25" t="b">
        <v>0</v>
      </c>
      <c r="G87" s="26" t="b">
        <v>1</v>
      </c>
      <c r="H87" s="26" t="b">
        <v>0</v>
      </c>
      <c r="I87" s="60">
        <v>42595.0</v>
      </c>
      <c r="J87" s="60">
        <v>42595.0</v>
      </c>
      <c r="K87" s="45">
        <v>6.0</v>
      </c>
      <c r="L87" s="87" t="s">
        <v>212</v>
      </c>
      <c r="M87" s="30" t="s">
        <v>38</v>
      </c>
      <c r="N87" s="31" t="b">
        <v>0</v>
      </c>
      <c r="O87" s="32" t="b">
        <v>0</v>
      </c>
      <c r="P87" s="32" t="b">
        <v>0</v>
      </c>
      <c r="Q87" s="32" t="b">
        <v>0</v>
      </c>
      <c r="R87" s="32" t="b">
        <v>0</v>
      </c>
      <c r="S87" s="32" t="b">
        <v>0</v>
      </c>
      <c r="T87" s="32" t="b">
        <v>0</v>
      </c>
      <c r="U87" s="32" t="b">
        <v>0</v>
      </c>
      <c r="V87" s="32" t="b">
        <v>0</v>
      </c>
      <c r="W87" s="61" t="s">
        <v>41</v>
      </c>
      <c r="X87" s="88"/>
      <c r="Y87" s="34"/>
      <c r="Z87" s="34"/>
    </row>
    <row r="88">
      <c r="E88" s="26" t="b">
        <v>1</v>
      </c>
      <c r="F88" s="25" t="b">
        <v>0</v>
      </c>
      <c r="G88" s="26" t="b">
        <v>0</v>
      </c>
      <c r="H88" s="25" t="b">
        <v>0</v>
      </c>
      <c r="I88" s="44">
        <v>45108.0</v>
      </c>
      <c r="J88" s="44">
        <v>45129.0</v>
      </c>
      <c r="K88" s="45">
        <v>528.0</v>
      </c>
      <c r="L88" s="89" t="s">
        <v>213</v>
      </c>
      <c r="M88" s="90" t="s">
        <v>38</v>
      </c>
      <c r="N88" s="31" t="b">
        <v>0</v>
      </c>
      <c r="O88" s="32" t="b">
        <v>0</v>
      </c>
      <c r="P88" s="32" t="b">
        <v>0</v>
      </c>
      <c r="Q88" s="32" t="b">
        <v>0</v>
      </c>
      <c r="R88" s="32" t="b">
        <v>0</v>
      </c>
      <c r="S88" s="32" t="b">
        <v>0</v>
      </c>
      <c r="T88" s="32" t="b">
        <v>0</v>
      </c>
      <c r="U88" s="32" t="b">
        <v>0</v>
      </c>
      <c r="V88" s="32" t="b">
        <v>0</v>
      </c>
      <c r="W88" s="86" t="s">
        <v>214</v>
      </c>
      <c r="X88" s="91" t="s">
        <v>215</v>
      </c>
      <c r="Y88" s="34"/>
      <c r="Z88" s="34"/>
    </row>
    <row r="89">
      <c r="E89" s="26" t="b">
        <v>1</v>
      </c>
      <c r="F89" s="25" t="b">
        <v>0</v>
      </c>
      <c r="G89" s="26" t="b">
        <v>0</v>
      </c>
      <c r="H89" s="25" t="b">
        <v>0</v>
      </c>
      <c r="I89" s="52">
        <v>45077.0</v>
      </c>
      <c r="J89" s="52">
        <v>45084.0</v>
      </c>
      <c r="K89" s="28">
        <v>168.0</v>
      </c>
      <c r="L89" s="92" t="s">
        <v>216</v>
      </c>
      <c r="M89" s="90" t="s">
        <v>38</v>
      </c>
      <c r="N89" s="31" t="b">
        <v>0</v>
      </c>
      <c r="O89" s="32" t="b">
        <v>0</v>
      </c>
      <c r="P89" s="32" t="b">
        <v>0</v>
      </c>
      <c r="Q89" s="32" t="b">
        <v>0</v>
      </c>
      <c r="R89" s="32" t="b">
        <v>0</v>
      </c>
      <c r="S89" s="32" t="b">
        <v>0</v>
      </c>
      <c r="T89" s="32" t="b">
        <v>0</v>
      </c>
      <c r="U89" s="32" t="b">
        <v>0</v>
      </c>
      <c r="V89" s="32" t="b">
        <v>0</v>
      </c>
      <c r="W89" s="49" t="s">
        <v>39</v>
      </c>
      <c r="X89" s="91" t="s">
        <v>125</v>
      </c>
      <c r="Y89" s="34"/>
      <c r="Z89" s="34"/>
    </row>
    <row r="90">
      <c r="E90" s="26" t="b">
        <v>1</v>
      </c>
      <c r="F90" s="25" t="b">
        <v>0</v>
      </c>
      <c r="G90" s="25" t="b">
        <v>0</v>
      </c>
      <c r="H90" s="25" t="b">
        <v>0</v>
      </c>
      <c r="I90" s="60">
        <v>44991.0</v>
      </c>
      <c r="J90" s="60">
        <v>44997.0</v>
      </c>
      <c r="K90" s="28">
        <v>144.0</v>
      </c>
      <c r="L90" s="55" t="s">
        <v>217</v>
      </c>
      <c r="M90" s="30" t="s">
        <v>38</v>
      </c>
      <c r="N90" s="31" t="b">
        <v>0</v>
      </c>
      <c r="O90" s="32" t="b">
        <v>0</v>
      </c>
      <c r="P90" s="32" t="b">
        <v>0</v>
      </c>
      <c r="Q90" s="32" t="b">
        <v>0</v>
      </c>
      <c r="R90" s="32" t="b">
        <v>0</v>
      </c>
      <c r="S90" s="32" t="b">
        <v>0</v>
      </c>
      <c r="T90" s="32" t="b">
        <v>0</v>
      </c>
      <c r="U90" s="32" t="b">
        <v>0</v>
      </c>
      <c r="V90" s="32" t="b">
        <v>0</v>
      </c>
      <c r="W90" s="33" t="s">
        <v>39</v>
      </c>
      <c r="X90" s="33"/>
      <c r="Y90" s="34"/>
      <c r="Z90" s="34"/>
    </row>
    <row r="91">
      <c r="E91" s="25" t="b">
        <v>0</v>
      </c>
      <c r="F91" s="25" t="b">
        <v>1</v>
      </c>
      <c r="G91" s="25" t="b">
        <v>0</v>
      </c>
      <c r="H91" s="25" t="b">
        <v>0</v>
      </c>
      <c r="I91" s="27">
        <v>43641.0</v>
      </c>
      <c r="J91" s="27">
        <v>43649.0</v>
      </c>
      <c r="K91" s="28">
        <v>192.0</v>
      </c>
      <c r="L91" s="29" t="s">
        <v>218</v>
      </c>
      <c r="M91" s="30" t="s">
        <v>38</v>
      </c>
      <c r="N91" s="31" t="b">
        <v>0</v>
      </c>
      <c r="O91" s="32" t="b">
        <v>0</v>
      </c>
      <c r="P91" s="32" t="b">
        <v>0</v>
      </c>
      <c r="Q91" s="32" t="b">
        <v>0</v>
      </c>
      <c r="R91" s="32" t="b">
        <v>0</v>
      </c>
      <c r="S91" s="32" t="b">
        <v>0</v>
      </c>
      <c r="T91" s="32" t="b">
        <v>0</v>
      </c>
      <c r="U91" s="32" t="b">
        <v>0</v>
      </c>
      <c r="V91" s="32" t="b">
        <v>0</v>
      </c>
      <c r="W91" s="33" t="s">
        <v>219</v>
      </c>
      <c r="X91" s="33" t="s">
        <v>41</v>
      </c>
      <c r="Y91" s="34"/>
      <c r="Z91" s="34"/>
    </row>
    <row r="92">
      <c r="A92" s="21">
        <v>34.0</v>
      </c>
      <c r="B92" s="22" t="s">
        <v>220</v>
      </c>
      <c r="C92" s="23" t="s">
        <v>221</v>
      </c>
      <c r="D92" s="24" t="s">
        <v>36</v>
      </c>
      <c r="E92" s="42" t="b">
        <v>0</v>
      </c>
      <c r="F92" s="42" t="b">
        <v>1</v>
      </c>
      <c r="G92" s="42" t="b">
        <v>0</v>
      </c>
      <c r="H92" s="42" t="b">
        <v>0</v>
      </c>
      <c r="I92" s="93">
        <v>45600.0</v>
      </c>
      <c r="J92" s="93">
        <v>45601.0</v>
      </c>
      <c r="K92" s="94">
        <v>12.0</v>
      </c>
      <c r="L92" s="95" t="s">
        <v>222</v>
      </c>
      <c r="M92" s="96" t="s">
        <v>38</v>
      </c>
      <c r="N92" s="48" t="b">
        <v>0</v>
      </c>
      <c r="O92" s="42" t="b">
        <v>1</v>
      </c>
      <c r="P92" s="42" t="b">
        <v>1</v>
      </c>
      <c r="Q92" s="42" t="b">
        <v>1</v>
      </c>
      <c r="R92" s="42" t="b">
        <v>0</v>
      </c>
      <c r="S92" s="42" t="b">
        <v>0</v>
      </c>
      <c r="T92" s="42" t="b">
        <v>0</v>
      </c>
      <c r="U92" s="42" t="b">
        <v>1</v>
      </c>
      <c r="V92" s="42" t="b">
        <v>0</v>
      </c>
      <c r="W92" s="97" t="s">
        <v>39</v>
      </c>
      <c r="X92" s="34"/>
      <c r="Y92" s="34"/>
      <c r="Z92" s="34"/>
    </row>
    <row r="93">
      <c r="A93" s="21">
        <v>35.0</v>
      </c>
      <c r="B93" s="22" t="s">
        <v>223</v>
      </c>
      <c r="C93" s="23" t="s">
        <v>224</v>
      </c>
      <c r="D93" s="24" t="s">
        <v>36</v>
      </c>
      <c r="E93" s="25" t="b">
        <v>0</v>
      </c>
      <c r="F93" s="25" t="b">
        <v>0</v>
      </c>
      <c r="G93" s="26" t="b">
        <v>0</v>
      </c>
      <c r="H93" s="26" t="b">
        <v>1</v>
      </c>
      <c r="I93" s="38">
        <v>42370.0</v>
      </c>
      <c r="J93" s="38">
        <v>42668.0</v>
      </c>
      <c r="K93" s="28">
        <v>7800.0</v>
      </c>
      <c r="L93" s="39" t="s">
        <v>225</v>
      </c>
      <c r="M93" s="40" t="s">
        <v>38</v>
      </c>
      <c r="N93" s="31" t="b">
        <v>1</v>
      </c>
      <c r="O93" s="63" t="b">
        <v>0</v>
      </c>
      <c r="P93" s="32" t="b">
        <v>0</v>
      </c>
      <c r="Q93" s="32" t="b">
        <v>0</v>
      </c>
      <c r="R93" s="32" t="b">
        <v>0</v>
      </c>
      <c r="S93" s="32" t="b">
        <v>0</v>
      </c>
      <c r="T93" s="32" t="b">
        <v>1</v>
      </c>
      <c r="U93" s="32" t="b">
        <v>0</v>
      </c>
      <c r="V93" s="32" t="b">
        <v>1</v>
      </c>
      <c r="W93" s="33" t="s">
        <v>226</v>
      </c>
      <c r="X93" s="33"/>
      <c r="Y93" s="34"/>
      <c r="Z93" s="34"/>
    </row>
    <row r="94">
      <c r="A94" s="21">
        <v>36.0</v>
      </c>
      <c r="B94" s="22" t="s">
        <v>227</v>
      </c>
      <c r="C94" s="23" t="s">
        <v>228</v>
      </c>
      <c r="D94" s="16" t="s">
        <v>30</v>
      </c>
      <c r="E94" s="43" t="b">
        <v>1</v>
      </c>
      <c r="F94" s="42" t="b">
        <v>0</v>
      </c>
      <c r="G94" s="42" t="b">
        <v>0</v>
      </c>
      <c r="H94" s="42" t="b">
        <v>0</v>
      </c>
      <c r="I94" s="98">
        <v>45603.0</v>
      </c>
      <c r="J94" s="98">
        <v>45604.0</v>
      </c>
      <c r="K94" s="99">
        <v>12.0</v>
      </c>
      <c r="L94" s="100" t="s">
        <v>229</v>
      </c>
      <c r="M94" s="96" t="s">
        <v>38</v>
      </c>
      <c r="N94" s="48" t="b">
        <v>0</v>
      </c>
      <c r="O94" s="42" t="b">
        <v>0</v>
      </c>
      <c r="P94" s="42" t="b">
        <v>0</v>
      </c>
      <c r="Q94" s="42" t="b">
        <v>0</v>
      </c>
      <c r="R94" s="42" t="b">
        <v>0</v>
      </c>
      <c r="S94" s="42" t="b">
        <v>0</v>
      </c>
      <c r="T94" s="42" t="b">
        <v>0</v>
      </c>
      <c r="U94" s="42" t="b">
        <v>0</v>
      </c>
      <c r="V94" s="42" t="b">
        <v>0</v>
      </c>
      <c r="W94" s="101" t="s">
        <v>39</v>
      </c>
      <c r="X94" s="51"/>
      <c r="Y94" s="51"/>
      <c r="Z94" s="34"/>
    </row>
    <row r="95">
      <c r="E95" s="43" t="b">
        <v>1</v>
      </c>
      <c r="F95" s="42" t="b">
        <v>0</v>
      </c>
      <c r="G95" s="42" t="b">
        <v>0</v>
      </c>
      <c r="H95" s="42" t="b">
        <v>0</v>
      </c>
      <c r="I95" s="98">
        <v>45602.0</v>
      </c>
      <c r="J95" s="98">
        <v>45603.0</v>
      </c>
      <c r="K95" s="99">
        <v>12.0</v>
      </c>
      <c r="L95" s="100" t="s">
        <v>230</v>
      </c>
      <c r="M95" s="96" t="s">
        <v>38</v>
      </c>
      <c r="N95" s="48" t="b">
        <v>0</v>
      </c>
      <c r="O95" s="42" t="b">
        <v>0</v>
      </c>
      <c r="P95" s="42" t="b">
        <v>0</v>
      </c>
      <c r="Q95" s="42" t="b">
        <v>0</v>
      </c>
      <c r="R95" s="42" t="b">
        <v>0</v>
      </c>
      <c r="S95" s="42" t="b">
        <v>0</v>
      </c>
      <c r="T95" s="42" t="b">
        <v>0</v>
      </c>
      <c r="U95" s="42" t="b">
        <v>0</v>
      </c>
      <c r="V95" s="42" t="b">
        <v>0</v>
      </c>
      <c r="W95" s="101" t="s">
        <v>39</v>
      </c>
      <c r="X95" s="51"/>
      <c r="Y95" s="51"/>
      <c r="Z95" s="34"/>
    </row>
    <row r="96">
      <c r="E96" s="43" t="b">
        <v>1</v>
      </c>
      <c r="F96" s="42" t="b">
        <v>0</v>
      </c>
      <c r="G96" s="42" t="b">
        <v>0</v>
      </c>
      <c r="H96" s="42" t="b">
        <v>0</v>
      </c>
      <c r="I96" s="98">
        <v>45601.0</v>
      </c>
      <c r="J96" s="98">
        <v>45602.0</v>
      </c>
      <c r="K96" s="99">
        <v>12.0</v>
      </c>
      <c r="L96" s="100" t="s">
        <v>231</v>
      </c>
      <c r="M96" s="96" t="s">
        <v>38</v>
      </c>
      <c r="N96" s="48" t="b">
        <v>0</v>
      </c>
      <c r="O96" s="42" t="b">
        <v>0</v>
      </c>
      <c r="P96" s="42" t="b">
        <v>0</v>
      </c>
      <c r="Q96" s="42" t="b">
        <v>0</v>
      </c>
      <c r="R96" s="42" t="b">
        <v>0</v>
      </c>
      <c r="S96" s="42" t="b">
        <v>0</v>
      </c>
      <c r="T96" s="42" t="b">
        <v>0</v>
      </c>
      <c r="U96" s="42" t="b">
        <v>0</v>
      </c>
      <c r="V96" s="42" t="b">
        <v>0</v>
      </c>
      <c r="W96" s="101" t="s">
        <v>39</v>
      </c>
      <c r="X96" s="51"/>
      <c r="Y96" s="51"/>
      <c r="Z96" s="34"/>
    </row>
    <row r="97">
      <c r="E97" s="42" t="b">
        <v>1</v>
      </c>
      <c r="F97" s="42" t="b">
        <v>0</v>
      </c>
      <c r="G97" s="42" t="b">
        <v>0</v>
      </c>
      <c r="H97" s="42" t="b">
        <v>0</v>
      </c>
      <c r="I97" s="93">
        <v>45600.0</v>
      </c>
      <c r="J97" s="93">
        <v>45601.0</v>
      </c>
      <c r="K97" s="94">
        <v>12.0</v>
      </c>
      <c r="L97" s="95" t="s">
        <v>232</v>
      </c>
      <c r="M97" s="96" t="s">
        <v>38</v>
      </c>
      <c r="N97" s="48" t="b">
        <v>0</v>
      </c>
      <c r="O97" s="42" t="b">
        <v>0</v>
      </c>
      <c r="P97" s="42" t="b">
        <v>0</v>
      </c>
      <c r="Q97" s="42" t="b">
        <v>0</v>
      </c>
      <c r="R97" s="42" t="b">
        <v>0</v>
      </c>
      <c r="S97" s="42" t="b">
        <v>0</v>
      </c>
      <c r="T97" s="42" t="b">
        <v>0</v>
      </c>
      <c r="U97" s="42" t="b">
        <v>0</v>
      </c>
      <c r="V97" s="42" t="b">
        <v>0</v>
      </c>
      <c r="W97" s="97" t="s">
        <v>39</v>
      </c>
      <c r="X97" s="51"/>
      <c r="Y97" s="51"/>
      <c r="Z97" s="34"/>
    </row>
    <row r="98">
      <c r="E98" s="42" t="b">
        <v>1</v>
      </c>
      <c r="F98" s="42" t="b">
        <v>0</v>
      </c>
      <c r="G98" s="42" t="b">
        <v>0</v>
      </c>
      <c r="H98" s="42" t="b">
        <v>0</v>
      </c>
      <c r="I98" s="93">
        <v>45599.0</v>
      </c>
      <c r="J98" s="93">
        <v>45600.0</v>
      </c>
      <c r="K98" s="94">
        <v>12.0</v>
      </c>
      <c r="L98" s="95" t="s">
        <v>233</v>
      </c>
      <c r="M98" s="96" t="s">
        <v>38</v>
      </c>
      <c r="N98" s="48" t="b">
        <v>0</v>
      </c>
      <c r="O98" s="42" t="b">
        <v>0</v>
      </c>
      <c r="P98" s="42" t="b">
        <v>0</v>
      </c>
      <c r="Q98" s="42" t="b">
        <v>0</v>
      </c>
      <c r="R98" s="42" t="b">
        <v>0</v>
      </c>
      <c r="S98" s="42" t="b">
        <v>0</v>
      </c>
      <c r="T98" s="42" t="b">
        <v>0</v>
      </c>
      <c r="U98" s="42" t="b">
        <v>0</v>
      </c>
      <c r="V98" s="42" t="b">
        <v>0</v>
      </c>
      <c r="W98" s="97" t="s">
        <v>39</v>
      </c>
      <c r="X98" s="51"/>
      <c r="Y98" s="51"/>
      <c r="Z98" s="34"/>
    </row>
    <row r="99">
      <c r="E99" s="42" t="b">
        <v>1</v>
      </c>
      <c r="F99" s="42" t="b">
        <v>0</v>
      </c>
      <c r="G99" s="42" t="b">
        <v>0</v>
      </c>
      <c r="H99" s="42" t="b">
        <v>0</v>
      </c>
      <c r="I99" s="93">
        <v>45599.0</v>
      </c>
      <c r="J99" s="64" t="s">
        <v>58</v>
      </c>
      <c r="K99" s="28">
        <f>(updateDate!B$1-date(year(I99),month(I99),day(I99)+1))*24</f>
        <v>1368</v>
      </c>
      <c r="L99" s="95" t="s">
        <v>234</v>
      </c>
      <c r="M99" s="96" t="s">
        <v>38</v>
      </c>
      <c r="N99" s="48" t="b">
        <v>1</v>
      </c>
      <c r="O99" s="42" t="b">
        <v>0</v>
      </c>
      <c r="P99" s="42" t="b">
        <v>0</v>
      </c>
      <c r="Q99" s="42" t="b">
        <v>1</v>
      </c>
      <c r="R99" s="42" t="b">
        <v>0</v>
      </c>
      <c r="S99" s="42" t="b">
        <v>1</v>
      </c>
      <c r="T99" s="42" t="b">
        <v>0</v>
      </c>
      <c r="U99" s="42" t="b">
        <v>1</v>
      </c>
      <c r="V99" s="42" t="b">
        <v>0</v>
      </c>
      <c r="W99" s="97" t="s">
        <v>41</v>
      </c>
      <c r="X99" s="51"/>
      <c r="Y99" s="51"/>
      <c r="Z99" s="34"/>
    </row>
    <row r="100">
      <c r="E100" s="42" t="b">
        <v>1</v>
      </c>
      <c r="F100" s="42" t="b">
        <v>0</v>
      </c>
      <c r="G100" s="42" t="b">
        <v>0</v>
      </c>
      <c r="H100" s="42" t="b">
        <v>0</v>
      </c>
      <c r="I100" s="93">
        <v>45596.0</v>
      </c>
      <c r="J100" s="64" t="s">
        <v>58</v>
      </c>
      <c r="K100" s="28">
        <f>(updateDate!B$1-date(year(I100),month(I100),day(I100)+1))*24</f>
        <v>1440</v>
      </c>
      <c r="L100" s="95" t="s">
        <v>235</v>
      </c>
      <c r="M100" s="96" t="s">
        <v>38</v>
      </c>
      <c r="N100" s="48" t="b">
        <v>1</v>
      </c>
      <c r="O100" s="42" t="b">
        <v>1</v>
      </c>
      <c r="P100" s="42" t="b">
        <v>0</v>
      </c>
      <c r="Q100" s="42" t="b">
        <v>0</v>
      </c>
      <c r="R100" s="42" t="b">
        <v>1</v>
      </c>
      <c r="S100" s="42" t="b">
        <v>0</v>
      </c>
      <c r="T100" s="42" t="b">
        <v>1</v>
      </c>
      <c r="U100" s="42" t="b">
        <v>0</v>
      </c>
      <c r="V100" s="42" t="b">
        <v>0</v>
      </c>
      <c r="W100" s="97" t="s">
        <v>41</v>
      </c>
      <c r="X100" s="51"/>
      <c r="Y100" s="51"/>
      <c r="Z100" s="34"/>
    </row>
    <row r="101">
      <c r="E101" s="42" t="b">
        <v>1</v>
      </c>
      <c r="F101" s="42" t="b">
        <v>0</v>
      </c>
      <c r="G101" s="42" t="b">
        <v>0</v>
      </c>
      <c r="H101" s="42" t="b">
        <v>0</v>
      </c>
      <c r="I101" s="93">
        <v>45590.0</v>
      </c>
      <c r="J101" s="93">
        <v>45591.0</v>
      </c>
      <c r="K101" s="94">
        <v>24.0</v>
      </c>
      <c r="L101" s="95" t="s">
        <v>236</v>
      </c>
      <c r="M101" s="96" t="s">
        <v>38</v>
      </c>
      <c r="N101" s="48" t="b">
        <v>0</v>
      </c>
      <c r="O101" s="42" t="b">
        <v>0</v>
      </c>
      <c r="P101" s="42" t="b">
        <v>0</v>
      </c>
      <c r="Q101" s="42" t="b">
        <v>0</v>
      </c>
      <c r="R101" s="42" t="b">
        <v>0</v>
      </c>
      <c r="S101" s="42" t="b">
        <v>0</v>
      </c>
      <c r="T101" s="42" t="b">
        <v>0</v>
      </c>
      <c r="U101" s="42" t="b">
        <v>0</v>
      </c>
      <c r="V101" s="42" t="b">
        <v>0</v>
      </c>
      <c r="W101" s="54" t="s">
        <v>39</v>
      </c>
      <c r="X101" s="34"/>
      <c r="Y101" s="34"/>
      <c r="Z101" s="34"/>
    </row>
    <row r="102">
      <c r="A102" s="21">
        <v>37.0</v>
      </c>
      <c r="B102" s="22" t="s">
        <v>237</v>
      </c>
      <c r="C102" s="23" t="s">
        <v>238</v>
      </c>
      <c r="E102" s="25" t="b">
        <v>0</v>
      </c>
      <c r="F102" s="25" t="b">
        <v>0</v>
      </c>
      <c r="G102" s="25" t="b">
        <v>0</v>
      </c>
      <c r="H102" s="25" t="b">
        <v>0</v>
      </c>
      <c r="I102" s="36" t="s">
        <v>47</v>
      </c>
      <c r="J102" s="36" t="s">
        <v>47</v>
      </c>
      <c r="K102" s="28" t="s">
        <v>47</v>
      </c>
      <c r="L102" s="37" t="s">
        <v>47</v>
      </c>
      <c r="M102" s="27" t="s">
        <v>47</v>
      </c>
      <c r="N102" s="31" t="b">
        <v>0</v>
      </c>
      <c r="O102" s="32" t="b">
        <v>0</v>
      </c>
      <c r="P102" s="32" t="b">
        <v>0</v>
      </c>
      <c r="Q102" s="32" t="b">
        <v>0</v>
      </c>
      <c r="R102" s="32" t="b">
        <v>0</v>
      </c>
      <c r="S102" s="32" t="b">
        <v>0</v>
      </c>
      <c r="T102" s="32" t="b">
        <v>0</v>
      </c>
      <c r="U102" s="32" t="b">
        <v>0</v>
      </c>
      <c r="V102" s="32" t="b">
        <v>0</v>
      </c>
      <c r="W102" s="34"/>
      <c r="X102" s="34"/>
      <c r="Y102" s="34"/>
      <c r="Z102" s="34"/>
    </row>
    <row r="103">
      <c r="A103" s="21">
        <v>38.0</v>
      </c>
      <c r="B103" s="22" t="s">
        <v>239</v>
      </c>
      <c r="C103" s="23" t="s">
        <v>240</v>
      </c>
      <c r="D103" s="24" t="s">
        <v>36</v>
      </c>
      <c r="E103" s="25" t="b">
        <v>1</v>
      </c>
      <c r="F103" s="25" t="b">
        <v>0</v>
      </c>
      <c r="G103" s="25" t="b">
        <v>0</v>
      </c>
      <c r="H103" s="25" t="b">
        <v>0</v>
      </c>
      <c r="I103" s="27">
        <v>44251.0</v>
      </c>
      <c r="J103" s="27">
        <v>44260.0</v>
      </c>
      <c r="K103" s="28">
        <v>240.0</v>
      </c>
      <c r="L103" s="29" t="s">
        <v>241</v>
      </c>
      <c r="M103" s="30" t="s">
        <v>38</v>
      </c>
      <c r="N103" s="31" t="b">
        <v>0</v>
      </c>
      <c r="O103" s="32" t="b">
        <v>0</v>
      </c>
      <c r="P103" s="32" t="b">
        <v>0</v>
      </c>
      <c r="Q103" s="32" t="b">
        <v>0</v>
      </c>
      <c r="R103" s="32" t="b">
        <v>0</v>
      </c>
      <c r="S103" s="32" t="b">
        <v>0</v>
      </c>
      <c r="T103" s="32" t="b">
        <v>0</v>
      </c>
      <c r="U103" s="32" t="b">
        <v>0</v>
      </c>
      <c r="V103" s="32" t="b">
        <v>0</v>
      </c>
      <c r="W103" s="33" t="s">
        <v>242</v>
      </c>
      <c r="X103" s="34"/>
      <c r="Y103" s="34"/>
      <c r="Z103" s="34"/>
    </row>
    <row r="104">
      <c r="E104" s="25" t="b">
        <v>1</v>
      </c>
      <c r="F104" s="25" t="b">
        <v>0</v>
      </c>
      <c r="G104" s="25" t="b">
        <v>0</v>
      </c>
      <c r="H104" s="25" t="b">
        <v>0</v>
      </c>
      <c r="I104" s="27">
        <v>42026.0</v>
      </c>
      <c r="J104" s="27">
        <v>42028.0</v>
      </c>
      <c r="K104" s="28">
        <v>48.0</v>
      </c>
      <c r="L104" s="29" t="s">
        <v>243</v>
      </c>
      <c r="M104" s="30" t="s">
        <v>38</v>
      </c>
      <c r="N104" s="31" t="b">
        <v>1</v>
      </c>
      <c r="O104" s="32" t="b">
        <v>0</v>
      </c>
      <c r="P104" s="32" t="b">
        <v>0</v>
      </c>
      <c r="Q104" s="32" t="b">
        <v>0</v>
      </c>
      <c r="R104" s="32" t="b">
        <v>0</v>
      </c>
      <c r="S104" s="32" t="b">
        <v>0</v>
      </c>
      <c r="T104" s="32" t="b">
        <v>0</v>
      </c>
      <c r="U104" s="32" t="b">
        <v>1</v>
      </c>
      <c r="V104" s="32" t="b">
        <v>0</v>
      </c>
      <c r="W104" s="33" t="s">
        <v>244</v>
      </c>
      <c r="X104" s="34"/>
      <c r="Y104" s="34"/>
      <c r="Z104" s="34"/>
    </row>
    <row r="105">
      <c r="A105" s="21">
        <v>39.0</v>
      </c>
      <c r="B105" s="22" t="s">
        <v>245</v>
      </c>
      <c r="C105" s="23" t="s">
        <v>246</v>
      </c>
      <c r="D105" s="62" t="s">
        <v>36</v>
      </c>
      <c r="E105" s="102" t="b">
        <v>1</v>
      </c>
      <c r="F105" s="42" t="b">
        <v>0</v>
      </c>
      <c r="G105" s="42" t="b">
        <v>0</v>
      </c>
      <c r="H105" s="42" t="b">
        <v>0</v>
      </c>
      <c r="I105" s="52">
        <v>45505.0</v>
      </c>
      <c r="J105" s="52">
        <v>45506.0</v>
      </c>
      <c r="K105" s="103">
        <v>24.0</v>
      </c>
      <c r="L105" s="90" t="s">
        <v>247</v>
      </c>
      <c r="M105" s="66" t="s">
        <v>38</v>
      </c>
      <c r="N105" s="48" t="b">
        <v>0</v>
      </c>
      <c r="O105" s="42" t="b">
        <v>0</v>
      </c>
      <c r="P105" s="42" t="b">
        <v>0</v>
      </c>
      <c r="Q105" s="42" t="b">
        <v>0</v>
      </c>
      <c r="R105" s="42" t="b">
        <v>0</v>
      </c>
      <c r="S105" s="42" t="b">
        <v>0</v>
      </c>
      <c r="T105" s="42" t="b">
        <v>0</v>
      </c>
      <c r="U105" s="42" t="b">
        <v>0</v>
      </c>
      <c r="V105" s="42" t="b">
        <v>0</v>
      </c>
      <c r="W105" s="104" t="s">
        <v>39</v>
      </c>
      <c r="X105" s="105"/>
      <c r="Y105" s="34"/>
      <c r="Z105" s="34"/>
    </row>
    <row r="106">
      <c r="E106" s="25" t="b">
        <v>0</v>
      </c>
      <c r="F106" s="25" t="b">
        <v>0</v>
      </c>
      <c r="G106" s="25" t="b">
        <v>1</v>
      </c>
      <c r="H106" s="25" t="b">
        <v>0</v>
      </c>
      <c r="I106" s="27">
        <v>44352.0</v>
      </c>
      <c r="J106" s="27">
        <v>44574.0</v>
      </c>
      <c r="K106" s="28">
        <v>5328.0</v>
      </c>
      <c r="L106" s="29" t="s">
        <v>248</v>
      </c>
      <c r="M106" s="30" t="s">
        <v>38</v>
      </c>
      <c r="N106" s="31" t="b">
        <v>1</v>
      </c>
      <c r="O106" s="32" t="b">
        <v>0</v>
      </c>
      <c r="P106" s="32" t="b">
        <v>1</v>
      </c>
      <c r="Q106" s="32" t="b">
        <v>0</v>
      </c>
      <c r="R106" s="32" t="b">
        <v>0</v>
      </c>
      <c r="S106" s="32" t="b">
        <v>0</v>
      </c>
      <c r="T106" s="32" t="b">
        <v>0</v>
      </c>
      <c r="U106" s="32" t="b">
        <v>0</v>
      </c>
      <c r="V106" s="32" t="b">
        <v>0</v>
      </c>
      <c r="W106" s="33" t="s">
        <v>249</v>
      </c>
      <c r="X106" s="61" t="s">
        <v>250</v>
      </c>
      <c r="Y106" s="34"/>
      <c r="Z106" s="34"/>
    </row>
    <row r="107">
      <c r="A107" s="21">
        <v>40.0</v>
      </c>
      <c r="B107" s="22" t="s">
        <v>251</v>
      </c>
      <c r="C107" s="23" t="s">
        <v>252</v>
      </c>
      <c r="D107" s="35" t="s">
        <v>29</v>
      </c>
      <c r="E107" s="25" t="b">
        <v>0</v>
      </c>
      <c r="F107" s="25" t="b">
        <v>0</v>
      </c>
      <c r="G107" s="25" t="b">
        <v>0</v>
      </c>
      <c r="H107" s="25" t="b">
        <v>0</v>
      </c>
      <c r="I107" s="36" t="s">
        <v>47</v>
      </c>
      <c r="J107" s="36" t="s">
        <v>47</v>
      </c>
      <c r="K107" s="28" t="s">
        <v>47</v>
      </c>
      <c r="L107" s="37" t="s">
        <v>47</v>
      </c>
      <c r="M107" s="27" t="s">
        <v>47</v>
      </c>
      <c r="N107" s="31" t="b">
        <v>0</v>
      </c>
      <c r="O107" s="32" t="b">
        <v>0</v>
      </c>
      <c r="P107" s="32" t="b">
        <v>0</v>
      </c>
      <c r="Q107" s="32" t="b">
        <v>0</v>
      </c>
      <c r="R107" s="32" t="b">
        <v>0</v>
      </c>
      <c r="S107" s="32" t="b">
        <v>0</v>
      </c>
      <c r="T107" s="32" t="b">
        <v>0</v>
      </c>
      <c r="U107" s="32" t="b">
        <v>0</v>
      </c>
      <c r="V107" s="32" t="b">
        <v>0</v>
      </c>
      <c r="W107" s="34"/>
      <c r="X107" s="34"/>
      <c r="Y107" s="34"/>
      <c r="Z107" s="34"/>
    </row>
    <row r="108">
      <c r="A108" s="21">
        <v>41.0</v>
      </c>
      <c r="B108" s="22" t="s">
        <v>253</v>
      </c>
      <c r="C108" s="23" t="s">
        <v>254</v>
      </c>
      <c r="D108" s="24" t="s">
        <v>36</v>
      </c>
      <c r="E108" s="25" t="b">
        <v>1</v>
      </c>
      <c r="F108" s="25" t="b">
        <v>0</v>
      </c>
      <c r="G108" s="25" t="b">
        <v>0</v>
      </c>
      <c r="H108" s="25" t="b">
        <v>0</v>
      </c>
      <c r="I108" s="36">
        <v>44437.0</v>
      </c>
      <c r="J108" s="36">
        <v>44438.0</v>
      </c>
      <c r="K108" s="28">
        <v>12.0</v>
      </c>
      <c r="L108" s="29" t="s">
        <v>255</v>
      </c>
      <c r="M108" s="30" t="s">
        <v>38</v>
      </c>
      <c r="N108" s="31" t="b">
        <v>0</v>
      </c>
      <c r="O108" s="32" t="b">
        <v>0</v>
      </c>
      <c r="P108" s="32" t="b">
        <v>0</v>
      </c>
      <c r="Q108" s="32" t="b">
        <v>0</v>
      </c>
      <c r="R108" s="32" t="b">
        <v>0</v>
      </c>
      <c r="S108" s="32" t="b">
        <v>0</v>
      </c>
      <c r="T108" s="32" t="b">
        <v>0</v>
      </c>
      <c r="U108" s="32" t="b">
        <v>0</v>
      </c>
      <c r="V108" s="32" t="b">
        <v>0</v>
      </c>
      <c r="W108" s="33" t="s">
        <v>41</v>
      </c>
      <c r="X108" s="34"/>
      <c r="Y108" s="34"/>
      <c r="Z108" s="34"/>
    </row>
    <row r="109">
      <c r="A109" s="21">
        <v>42.0</v>
      </c>
      <c r="B109" s="22" t="s">
        <v>256</v>
      </c>
      <c r="C109" s="23" t="s">
        <v>257</v>
      </c>
      <c r="D109" s="35" t="s">
        <v>29</v>
      </c>
      <c r="E109" s="25" t="b">
        <v>0</v>
      </c>
      <c r="F109" s="25" t="b">
        <v>0</v>
      </c>
      <c r="G109" s="25" t="b">
        <v>0</v>
      </c>
      <c r="H109" s="25" t="b">
        <v>0</v>
      </c>
      <c r="I109" s="36" t="s">
        <v>47</v>
      </c>
      <c r="J109" s="36" t="s">
        <v>47</v>
      </c>
      <c r="K109" s="28" t="s">
        <v>47</v>
      </c>
      <c r="L109" s="37" t="s">
        <v>47</v>
      </c>
      <c r="M109" s="27" t="s">
        <v>47</v>
      </c>
      <c r="N109" s="31" t="b">
        <v>0</v>
      </c>
      <c r="O109" s="32" t="b">
        <v>0</v>
      </c>
      <c r="P109" s="32" t="b">
        <v>0</v>
      </c>
      <c r="Q109" s="32" t="b">
        <v>0</v>
      </c>
      <c r="R109" s="32" t="b">
        <v>0</v>
      </c>
      <c r="S109" s="32" t="b">
        <v>0</v>
      </c>
      <c r="T109" s="32" t="b">
        <v>0</v>
      </c>
      <c r="U109" s="32" t="b">
        <v>0</v>
      </c>
      <c r="V109" s="32" t="b">
        <v>0</v>
      </c>
      <c r="W109" s="34"/>
      <c r="X109" s="34"/>
      <c r="Y109" s="34"/>
      <c r="Z109" s="34"/>
    </row>
    <row r="110">
      <c r="A110" s="21">
        <v>43.0</v>
      </c>
      <c r="B110" s="22" t="s">
        <v>258</v>
      </c>
      <c r="C110" s="23" t="s">
        <v>259</v>
      </c>
      <c r="D110" s="16" t="s">
        <v>30</v>
      </c>
      <c r="E110" s="106" t="b">
        <v>0</v>
      </c>
      <c r="F110" s="107" t="b">
        <v>1</v>
      </c>
      <c r="G110" s="107" t="b">
        <v>0</v>
      </c>
      <c r="H110" s="66" t="b">
        <v>0</v>
      </c>
      <c r="I110" s="60">
        <v>45332.0</v>
      </c>
      <c r="J110" s="60">
        <v>45335.0</v>
      </c>
      <c r="K110" s="45">
        <v>72.0</v>
      </c>
      <c r="L110" s="67" t="s">
        <v>260</v>
      </c>
      <c r="M110" s="30" t="s">
        <v>38</v>
      </c>
      <c r="N110" s="108" t="b">
        <v>0</v>
      </c>
      <c r="O110" s="106" t="b">
        <v>0</v>
      </c>
      <c r="P110" s="106" t="b">
        <v>0</v>
      </c>
      <c r="Q110" s="106" t="b">
        <v>0</v>
      </c>
      <c r="R110" s="106" t="b">
        <v>0</v>
      </c>
      <c r="S110" s="106" t="b">
        <v>0</v>
      </c>
      <c r="T110" s="106" t="b">
        <v>0</v>
      </c>
      <c r="U110" s="107" t="b">
        <v>0</v>
      </c>
      <c r="V110" s="66" t="b">
        <v>0</v>
      </c>
      <c r="W110" s="49" t="s">
        <v>39</v>
      </c>
      <c r="X110" s="88"/>
      <c r="Y110" s="34"/>
      <c r="Z110" s="34"/>
    </row>
    <row r="111">
      <c r="E111" s="107" t="b">
        <v>1</v>
      </c>
      <c r="F111" s="107" t="b">
        <v>0</v>
      </c>
      <c r="G111" s="107" t="b">
        <v>0</v>
      </c>
      <c r="H111" s="66" t="b">
        <v>0</v>
      </c>
      <c r="I111" s="60">
        <v>45327.0</v>
      </c>
      <c r="J111" s="60">
        <v>45328.0</v>
      </c>
      <c r="K111" s="45">
        <v>48.0</v>
      </c>
      <c r="L111" s="109" t="s">
        <v>261</v>
      </c>
      <c r="M111" s="30" t="s">
        <v>262</v>
      </c>
      <c r="N111" s="108" t="b">
        <v>0</v>
      </c>
      <c r="O111" s="106" t="b">
        <v>0</v>
      </c>
      <c r="P111" s="106" t="b">
        <v>0</v>
      </c>
      <c r="Q111" s="106" t="b">
        <v>0</v>
      </c>
      <c r="R111" s="106" t="b">
        <v>0</v>
      </c>
      <c r="S111" s="106" t="b">
        <v>0</v>
      </c>
      <c r="T111" s="106" t="b">
        <v>0</v>
      </c>
      <c r="U111" s="107" t="b">
        <v>0</v>
      </c>
      <c r="V111" s="66" t="b">
        <v>0</v>
      </c>
      <c r="W111" s="49" t="s">
        <v>39</v>
      </c>
      <c r="X111" s="88"/>
      <c r="Y111" s="34"/>
      <c r="Z111" s="34"/>
    </row>
    <row r="112">
      <c r="E112" s="106" t="b">
        <v>0</v>
      </c>
      <c r="F112" s="66" t="b">
        <v>0</v>
      </c>
      <c r="G112" s="106" t="b">
        <v>1</v>
      </c>
      <c r="H112" s="66" t="b">
        <v>0</v>
      </c>
      <c r="I112" s="27">
        <v>45140.0</v>
      </c>
      <c r="J112" s="64" t="s">
        <v>58</v>
      </c>
      <c r="K112" s="28">
        <f>(updateDate!B$1-date(year(I112),month(I112),day(I112)+1))*24</f>
        <v>12384</v>
      </c>
      <c r="L112" s="110" t="s">
        <v>263</v>
      </c>
      <c r="M112" s="30" t="s">
        <v>38</v>
      </c>
      <c r="N112" s="111" t="b">
        <v>1</v>
      </c>
      <c r="O112" s="106" t="b">
        <v>0</v>
      </c>
      <c r="P112" s="106" t="b">
        <v>0</v>
      </c>
      <c r="Q112" s="106" t="b">
        <v>0</v>
      </c>
      <c r="R112" s="106" t="b">
        <v>0</v>
      </c>
      <c r="S112" s="106" t="b">
        <v>0</v>
      </c>
      <c r="T112" s="106" t="b">
        <v>0</v>
      </c>
      <c r="U112" s="66" t="b">
        <v>1</v>
      </c>
      <c r="V112" s="66" t="b">
        <v>0</v>
      </c>
      <c r="W112" s="49" t="s">
        <v>39</v>
      </c>
      <c r="X112" s="91" t="s">
        <v>264</v>
      </c>
      <c r="Y112" s="34"/>
      <c r="Z112" s="34"/>
    </row>
    <row r="113">
      <c r="E113" s="106" t="b">
        <v>0</v>
      </c>
      <c r="F113" s="66" t="b">
        <v>0</v>
      </c>
      <c r="G113" s="106" t="b">
        <v>1</v>
      </c>
      <c r="H113" s="66" t="b">
        <v>0</v>
      </c>
      <c r="I113" s="27">
        <v>45138.0</v>
      </c>
      <c r="J113" s="27">
        <v>45145.0</v>
      </c>
      <c r="K113" s="28">
        <v>144.0</v>
      </c>
      <c r="L113" s="110" t="s">
        <v>265</v>
      </c>
      <c r="M113" s="30" t="s">
        <v>38</v>
      </c>
      <c r="N113" s="68" t="b">
        <v>0</v>
      </c>
      <c r="O113" s="68" t="b">
        <v>0</v>
      </c>
      <c r="P113" s="68" t="b">
        <v>0</v>
      </c>
      <c r="Q113" s="68" t="b">
        <v>0</v>
      </c>
      <c r="R113" s="68" t="b">
        <v>0</v>
      </c>
      <c r="S113" s="68" t="b">
        <v>0</v>
      </c>
      <c r="T113" s="68" t="b">
        <v>0</v>
      </c>
      <c r="U113" s="68" t="b">
        <v>0</v>
      </c>
      <c r="V113" s="68" t="b">
        <v>0</v>
      </c>
      <c r="W113" s="49" t="s">
        <v>39</v>
      </c>
      <c r="X113" s="91" t="s">
        <v>72</v>
      </c>
      <c r="Y113" s="34"/>
      <c r="Z113" s="34"/>
    </row>
    <row r="114">
      <c r="E114" s="106" t="b">
        <v>1</v>
      </c>
      <c r="F114" s="66" t="b">
        <v>0</v>
      </c>
      <c r="G114" s="106" t="b">
        <v>0</v>
      </c>
      <c r="H114" s="66" t="b">
        <v>0</v>
      </c>
      <c r="I114" s="27">
        <v>45081.0</v>
      </c>
      <c r="J114" s="27">
        <v>45084.0</v>
      </c>
      <c r="K114" s="28">
        <v>84.0</v>
      </c>
      <c r="L114" s="110" t="s">
        <v>266</v>
      </c>
      <c r="M114" s="30" t="s">
        <v>38</v>
      </c>
      <c r="N114" s="68" t="b">
        <v>0</v>
      </c>
      <c r="O114" s="68" t="b">
        <v>0</v>
      </c>
      <c r="P114" s="68" t="b">
        <v>0</v>
      </c>
      <c r="Q114" s="68" t="b">
        <v>0</v>
      </c>
      <c r="R114" s="68" t="b">
        <v>0</v>
      </c>
      <c r="S114" s="68" t="b">
        <v>0</v>
      </c>
      <c r="T114" s="68" t="b">
        <v>0</v>
      </c>
      <c r="U114" s="68" t="b">
        <v>0</v>
      </c>
      <c r="V114" s="68" t="b">
        <v>0</v>
      </c>
      <c r="W114" s="49" t="s">
        <v>39</v>
      </c>
      <c r="X114" s="91" t="s">
        <v>267</v>
      </c>
      <c r="Y114" s="34"/>
      <c r="Z114" s="34"/>
    </row>
    <row r="115">
      <c r="E115" s="106" t="b">
        <v>1</v>
      </c>
      <c r="F115" s="66" t="b">
        <v>0</v>
      </c>
      <c r="G115" s="106" t="b">
        <v>0</v>
      </c>
      <c r="H115" s="66" t="b">
        <v>0</v>
      </c>
      <c r="I115" s="27">
        <v>45078.0</v>
      </c>
      <c r="J115" s="27">
        <v>45144.0</v>
      </c>
      <c r="K115" s="28">
        <v>1584.0</v>
      </c>
      <c r="L115" s="110" t="s">
        <v>268</v>
      </c>
      <c r="M115" s="30" t="s">
        <v>38</v>
      </c>
      <c r="N115" s="69" t="b">
        <v>1</v>
      </c>
      <c r="O115" s="66" t="b">
        <v>0</v>
      </c>
      <c r="P115" s="66" t="b">
        <v>0</v>
      </c>
      <c r="Q115" s="66" t="b">
        <v>0</v>
      </c>
      <c r="R115" s="66" t="b">
        <v>0</v>
      </c>
      <c r="S115" s="66" t="b">
        <v>1</v>
      </c>
      <c r="T115" s="66" t="b">
        <v>0</v>
      </c>
      <c r="U115" s="66" t="b">
        <v>0</v>
      </c>
      <c r="V115" s="66" t="b">
        <v>0</v>
      </c>
      <c r="W115" s="49" t="s">
        <v>269</v>
      </c>
      <c r="X115" s="49" t="s">
        <v>39</v>
      </c>
      <c r="Y115" s="34"/>
      <c r="Z115" s="34"/>
    </row>
    <row r="116">
      <c r="E116" s="106" t="b">
        <v>1</v>
      </c>
      <c r="F116" s="66" t="b">
        <v>0</v>
      </c>
      <c r="G116" s="106" t="b">
        <v>0</v>
      </c>
      <c r="H116" s="66" t="b">
        <v>0</v>
      </c>
      <c r="I116" s="27">
        <v>45078.0</v>
      </c>
      <c r="J116" s="27">
        <v>45084.0</v>
      </c>
      <c r="K116" s="28">
        <v>180.0</v>
      </c>
      <c r="L116" s="110" t="s">
        <v>270</v>
      </c>
      <c r="M116" s="30" t="s">
        <v>38</v>
      </c>
      <c r="N116" s="69" t="b">
        <v>1</v>
      </c>
      <c r="O116" s="66" t="b">
        <v>1</v>
      </c>
      <c r="P116" s="66" t="b">
        <v>1</v>
      </c>
      <c r="Q116" s="66" t="b">
        <v>1</v>
      </c>
      <c r="R116" s="66" t="b">
        <v>1</v>
      </c>
      <c r="S116" s="66" t="b">
        <v>0</v>
      </c>
      <c r="T116" s="66" t="b">
        <v>1</v>
      </c>
      <c r="U116" s="66" t="b">
        <v>0</v>
      </c>
      <c r="V116" s="66" t="b">
        <v>0</v>
      </c>
      <c r="W116" s="49" t="s">
        <v>39</v>
      </c>
      <c r="X116" s="50"/>
      <c r="Y116" s="34"/>
      <c r="Z116" s="34"/>
    </row>
    <row r="117">
      <c r="E117" s="25" t="b">
        <v>1</v>
      </c>
      <c r="F117" s="25" t="b">
        <v>0</v>
      </c>
      <c r="G117" s="25" t="b">
        <v>0</v>
      </c>
      <c r="H117" s="25" t="b">
        <v>0</v>
      </c>
      <c r="I117" s="27">
        <v>44260.0</v>
      </c>
      <c r="J117" s="27">
        <v>44260.0</v>
      </c>
      <c r="K117" s="28">
        <v>8.0</v>
      </c>
      <c r="L117" s="29" t="s">
        <v>271</v>
      </c>
      <c r="M117" s="30" t="s">
        <v>38</v>
      </c>
      <c r="N117" s="31" t="b">
        <v>1</v>
      </c>
      <c r="O117" s="32" t="b">
        <v>1</v>
      </c>
      <c r="P117" s="32" t="b">
        <v>0</v>
      </c>
      <c r="Q117" s="32" t="b">
        <v>1</v>
      </c>
      <c r="R117" s="32" t="b">
        <v>0</v>
      </c>
      <c r="S117" s="32" t="b">
        <v>1</v>
      </c>
      <c r="T117" s="32" t="b">
        <v>1</v>
      </c>
      <c r="U117" s="32" t="b">
        <v>0</v>
      </c>
      <c r="V117" s="32" t="b">
        <v>0</v>
      </c>
      <c r="W117" s="33" t="s">
        <v>39</v>
      </c>
      <c r="X117" s="34"/>
      <c r="Y117" s="34"/>
      <c r="Z117" s="34"/>
    </row>
    <row r="118">
      <c r="A118" s="21">
        <v>44.0</v>
      </c>
      <c r="B118" s="22" t="s">
        <v>272</v>
      </c>
      <c r="C118" s="23" t="s">
        <v>273</v>
      </c>
      <c r="D118" s="35" t="s">
        <v>29</v>
      </c>
      <c r="E118" s="25" t="b">
        <v>0</v>
      </c>
      <c r="F118" s="25" t="b">
        <v>0</v>
      </c>
      <c r="G118" s="25" t="b">
        <v>0</v>
      </c>
      <c r="H118" s="25" t="b">
        <v>0</v>
      </c>
      <c r="I118" s="27" t="s">
        <v>47</v>
      </c>
      <c r="J118" s="27" t="s">
        <v>47</v>
      </c>
      <c r="K118" s="28" t="s">
        <v>47</v>
      </c>
      <c r="L118" s="112" t="s">
        <v>47</v>
      </c>
      <c r="M118" s="27" t="s">
        <v>47</v>
      </c>
      <c r="N118" s="31" t="b">
        <v>0</v>
      </c>
      <c r="O118" s="32" t="b">
        <v>0</v>
      </c>
      <c r="P118" s="32" t="b">
        <v>0</v>
      </c>
      <c r="Q118" s="32" t="b">
        <v>0</v>
      </c>
      <c r="R118" s="32" t="b">
        <v>0</v>
      </c>
      <c r="S118" s="32" t="b">
        <v>0</v>
      </c>
      <c r="T118" s="32" t="b">
        <v>0</v>
      </c>
      <c r="U118" s="32" t="b">
        <v>0</v>
      </c>
      <c r="V118" s="32" t="b">
        <v>0</v>
      </c>
      <c r="W118" s="34"/>
      <c r="X118" s="34"/>
      <c r="Y118" s="34"/>
      <c r="Z118" s="34"/>
    </row>
    <row r="119">
      <c r="A119" s="21">
        <v>45.0</v>
      </c>
      <c r="B119" s="22" t="s">
        <v>274</v>
      </c>
      <c r="C119" s="23" t="s">
        <v>275</v>
      </c>
      <c r="D119" s="62" t="s">
        <v>36</v>
      </c>
      <c r="E119" s="25" t="b">
        <v>1</v>
      </c>
      <c r="F119" s="25" t="b">
        <v>0</v>
      </c>
      <c r="G119" s="25" t="b">
        <v>0</v>
      </c>
      <c r="H119" s="25" t="b">
        <v>0</v>
      </c>
      <c r="I119" s="27">
        <v>44784.0</v>
      </c>
      <c r="J119" s="27">
        <v>44784.0</v>
      </c>
      <c r="K119" s="28">
        <v>8.0</v>
      </c>
      <c r="L119" s="29" t="s">
        <v>276</v>
      </c>
      <c r="M119" s="30" t="s">
        <v>38</v>
      </c>
      <c r="N119" s="80" t="b">
        <v>0</v>
      </c>
      <c r="O119" s="25" t="b">
        <v>0</v>
      </c>
      <c r="P119" s="25" t="b">
        <v>0</v>
      </c>
      <c r="Q119" s="25" t="b">
        <v>0</v>
      </c>
      <c r="R119" s="25" t="b">
        <v>0</v>
      </c>
      <c r="S119" s="25" t="b">
        <v>0</v>
      </c>
      <c r="T119" s="25" t="b">
        <v>0</v>
      </c>
      <c r="U119" s="25" t="b">
        <v>0</v>
      </c>
      <c r="V119" s="25" t="b">
        <v>0</v>
      </c>
      <c r="W119" s="33" t="s">
        <v>39</v>
      </c>
      <c r="X119" s="34"/>
      <c r="Y119" s="34"/>
      <c r="Z119" s="34"/>
    </row>
    <row r="120">
      <c r="E120" s="25" t="b">
        <v>0</v>
      </c>
      <c r="F120" s="25" t="b">
        <v>1</v>
      </c>
      <c r="G120" s="25" t="b">
        <v>0</v>
      </c>
      <c r="H120" s="25" t="b">
        <v>0</v>
      </c>
      <c r="I120" s="27">
        <v>43189.0</v>
      </c>
      <c r="J120" s="27">
        <v>43191.0</v>
      </c>
      <c r="K120" s="28">
        <v>124.0</v>
      </c>
      <c r="L120" s="29" t="s">
        <v>277</v>
      </c>
      <c r="M120" s="30" t="s">
        <v>38</v>
      </c>
      <c r="N120" s="31" t="b">
        <v>0</v>
      </c>
      <c r="O120" s="32" t="b">
        <v>0</v>
      </c>
      <c r="P120" s="32" t="b">
        <v>0</v>
      </c>
      <c r="Q120" s="32" t="b">
        <v>0</v>
      </c>
      <c r="R120" s="32" t="b">
        <v>0</v>
      </c>
      <c r="S120" s="32" t="b">
        <v>0</v>
      </c>
      <c r="T120" s="32" t="b">
        <v>0</v>
      </c>
      <c r="U120" s="32" t="b">
        <v>0</v>
      </c>
      <c r="V120" s="32" t="b">
        <v>0</v>
      </c>
      <c r="W120" s="33" t="s">
        <v>278</v>
      </c>
      <c r="X120" s="34"/>
      <c r="Y120" s="34"/>
      <c r="Z120" s="34"/>
    </row>
    <row r="121">
      <c r="E121" s="26" t="b">
        <v>1</v>
      </c>
      <c r="F121" s="25" t="b">
        <v>0</v>
      </c>
      <c r="G121" s="25" t="b">
        <v>0</v>
      </c>
      <c r="H121" s="25" t="b">
        <v>0</v>
      </c>
      <c r="I121" s="60">
        <v>44783.0</v>
      </c>
      <c r="J121" s="60">
        <v>44783.0</v>
      </c>
      <c r="K121" s="28">
        <v>2.0</v>
      </c>
      <c r="L121" s="55" t="s">
        <v>279</v>
      </c>
      <c r="M121" s="30" t="s">
        <v>38</v>
      </c>
      <c r="N121" s="31" t="b">
        <v>0</v>
      </c>
      <c r="O121" s="32" t="b">
        <v>0</v>
      </c>
      <c r="P121" s="32" t="b">
        <v>0</v>
      </c>
      <c r="Q121" s="32" t="b">
        <v>0</v>
      </c>
      <c r="R121" s="32" t="b">
        <v>0</v>
      </c>
      <c r="S121" s="32" t="b">
        <v>0</v>
      </c>
      <c r="T121" s="32" t="b">
        <v>0</v>
      </c>
      <c r="U121" s="32" t="b">
        <v>0</v>
      </c>
      <c r="V121" s="32" t="b">
        <v>0</v>
      </c>
      <c r="W121" s="61" t="s">
        <v>39</v>
      </c>
      <c r="X121" s="34"/>
      <c r="Y121" s="34"/>
      <c r="Z121" s="34"/>
    </row>
    <row r="122">
      <c r="A122" s="21">
        <v>46.0</v>
      </c>
      <c r="B122" s="22" t="s">
        <v>280</v>
      </c>
      <c r="C122" s="23" t="s">
        <v>281</v>
      </c>
      <c r="D122" s="16" t="s">
        <v>30</v>
      </c>
      <c r="E122" s="106" t="b">
        <v>0</v>
      </c>
      <c r="F122" s="66" t="b">
        <v>0</v>
      </c>
      <c r="G122" s="66" t="b">
        <v>1</v>
      </c>
      <c r="H122" s="66" t="b">
        <v>0</v>
      </c>
      <c r="I122" s="60">
        <v>45159.0</v>
      </c>
      <c r="J122" s="27" t="s">
        <v>282</v>
      </c>
      <c r="K122" s="28">
        <f>(updateDate!B$1-date(year(I122),month(I122),day(I122)+1))*24</f>
        <v>11928</v>
      </c>
      <c r="L122" s="110" t="s">
        <v>283</v>
      </c>
      <c r="M122" s="113" t="s">
        <v>38</v>
      </c>
      <c r="N122" s="69" t="b">
        <v>1</v>
      </c>
      <c r="O122" s="66" t="b">
        <v>0</v>
      </c>
      <c r="P122" s="66" t="b">
        <v>0</v>
      </c>
      <c r="Q122" s="66" t="b">
        <v>0</v>
      </c>
      <c r="R122" s="66" t="b">
        <v>0</v>
      </c>
      <c r="S122" s="66" t="b">
        <v>1</v>
      </c>
      <c r="T122" s="66" t="b">
        <v>0</v>
      </c>
      <c r="U122" s="66" t="b">
        <v>1</v>
      </c>
      <c r="V122" s="66" t="b">
        <v>0</v>
      </c>
      <c r="W122" s="49" t="s">
        <v>284</v>
      </c>
      <c r="X122" s="34"/>
      <c r="Y122" s="34"/>
      <c r="Z122" s="34"/>
    </row>
    <row r="123">
      <c r="E123" s="26" t="b">
        <v>1</v>
      </c>
      <c r="F123" s="25" t="b">
        <v>0</v>
      </c>
      <c r="G123" s="25" t="b">
        <v>0</v>
      </c>
      <c r="H123" s="25" t="b">
        <v>0</v>
      </c>
      <c r="I123" s="60">
        <v>44784.0</v>
      </c>
      <c r="J123" s="60">
        <v>44784.0</v>
      </c>
      <c r="K123" s="28">
        <v>4.0</v>
      </c>
      <c r="L123" s="55" t="s">
        <v>285</v>
      </c>
      <c r="M123" s="114" t="s">
        <v>286</v>
      </c>
      <c r="N123" s="31" t="b">
        <v>0</v>
      </c>
      <c r="O123" s="32" t="b">
        <v>0</v>
      </c>
      <c r="P123" s="32" t="b">
        <v>0</v>
      </c>
      <c r="Q123" s="32" t="b">
        <v>0</v>
      </c>
      <c r="R123" s="32" t="b">
        <v>0</v>
      </c>
      <c r="S123" s="32" t="b">
        <v>0</v>
      </c>
      <c r="T123" s="32" t="b">
        <v>0</v>
      </c>
      <c r="U123" s="32" t="b">
        <v>0</v>
      </c>
      <c r="V123" s="32" t="b">
        <v>0</v>
      </c>
      <c r="W123" s="61" t="s">
        <v>39</v>
      </c>
      <c r="X123" s="34"/>
      <c r="Y123" s="34"/>
      <c r="Z123" s="34"/>
    </row>
    <row r="124">
      <c r="E124" s="25" t="b">
        <v>0</v>
      </c>
      <c r="F124" s="25" t="b">
        <v>0</v>
      </c>
      <c r="G124" s="25" t="b">
        <v>1</v>
      </c>
      <c r="H124" s="25" t="b">
        <v>0</v>
      </c>
      <c r="I124" s="27">
        <v>44038.0</v>
      </c>
      <c r="J124" s="27">
        <v>44039.0</v>
      </c>
      <c r="K124" s="28">
        <v>31.0</v>
      </c>
      <c r="L124" s="29" t="s">
        <v>287</v>
      </c>
      <c r="M124" s="30" t="s">
        <v>38</v>
      </c>
      <c r="N124" s="31" t="b">
        <v>0</v>
      </c>
      <c r="O124" s="32" t="b">
        <v>0</v>
      </c>
      <c r="P124" s="32" t="b">
        <v>0</v>
      </c>
      <c r="Q124" s="32" t="b">
        <v>0</v>
      </c>
      <c r="R124" s="32" t="b">
        <v>0</v>
      </c>
      <c r="S124" s="32" t="b">
        <v>0</v>
      </c>
      <c r="T124" s="32" t="b">
        <v>0</v>
      </c>
      <c r="U124" s="32" t="b">
        <v>0</v>
      </c>
      <c r="V124" s="32" t="b">
        <v>0</v>
      </c>
      <c r="W124" s="61" t="s">
        <v>39</v>
      </c>
      <c r="X124" s="34"/>
      <c r="Y124" s="34"/>
      <c r="Z124" s="34"/>
    </row>
    <row r="125">
      <c r="E125" s="25" t="b">
        <v>0</v>
      </c>
      <c r="F125" s="25" t="b">
        <v>1</v>
      </c>
      <c r="G125" s="25" t="b">
        <v>0</v>
      </c>
      <c r="H125" s="25" t="b">
        <v>0</v>
      </c>
      <c r="I125" s="27">
        <v>43052.0</v>
      </c>
      <c r="J125" s="27">
        <v>43059.0</v>
      </c>
      <c r="K125" s="28">
        <v>170.0</v>
      </c>
      <c r="L125" s="29" t="s">
        <v>288</v>
      </c>
      <c r="M125" s="30" t="s">
        <v>38</v>
      </c>
      <c r="N125" s="31" t="b">
        <v>1</v>
      </c>
      <c r="O125" s="32" t="b">
        <v>1</v>
      </c>
      <c r="P125" s="32" t="b">
        <v>1</v>
      </c>
      <c r="Q125" s="32" t="b">
        <v>0</v>
      </c>
      <c r="R125" s="32" t="b">
        <v>1</v>
      </c>
      <c r="S125" s="32" t="b">
        <v>0</v>
      </c>
      <c r="T125" s="32" t="b">
        <v>1</v>
      </c>
      <c r="U125" s="32" t="b">
        <v>1</v>
      </c>
      <c r="V125" s="32" t="b">
        <v>0</v>
      </c>
      <c r="W125" s="33" t="s">
        <v>167</v>
      </c>
      <c r="X125" s="34"/>
      <c r="Y125" s="34"/>
      <c r="Z125" s="34"/>
    </row>
    <row r="126">
      <c r="A126" s="21">
        <v>47.0</v>
      </c>
      <c r="B126" s="22" t="s">
        <v>289</v>
      </c>
      <c r="C126" s="23" t="s">
        <v>290</v>
      </c>
      <c r="D126" s="35" t="s">
        <v>29</v>
      </c>
      <c r="E126" s="25" t="b">
        <v>0</v>
      </c>
      <c r="F126" s="25" t="b">
        <v>0</v>
      </c>
      <c r="G126" s="25" t="b">
        <v>0</v>
      </c>
      <c r="H126" s="25" t="b">
        <v>0</v>
      </c>
      <c r="I126" s="36" t="s">
        <v>47</v>
      </c>
      <c r="J126" s="36" t="s">
        <v>47</v>
      </c>
      <c r="K126" s="28" t="s">
        <v>47</v>
      </c>
      <c r="L126" s="37" t="s">
        <v>47</v>
      </c>
      <c r="M126" s="27" t="s">
        <v>47</v>
      </c>
      <c r="N126" s="31" t="b">
        <v>0</v>
      </c>
      <c r="O126" s="32" t="b">
        <v>0</v>
      </c>
      <c r="P126" s="32" t="b">
        <v>0</v>
      </c>
      <c r="Q126" s="32" t="b">
        <v>0</v>
      </c>
      <c r="R126" s="32" t="b">
        <v>0</v>
      </c>
      <c r="S126" s="32" t="b">
        <v>0</v>
      </c>
      <c r="T126" s="32" t="b">
        <v>0</v>
      </c>
      <c r="U126" s="32" t="b">
        <v>0</v>
      </c>
      <c r="V126" s="32" t="b">
        <v>0</v>
      </c>
      <c r="W126" s="34"/>
      <c r="X126" s="34"/>
      <c r="Y126" s="34"/>
      <c r="Z126" s="34"/>
    </row>
    <row r="127">
      <c r="A127" s="21">
        <v>48.0</v>
      </c>
      <c r="B127" s="22" t="s">
        <v>291</v>
      </c>
      <c r="C127" s="23" t="s">
        <v>292</v>
      </c>
      <c r="D127" s="16" t="s">
        <v>30</v>
      </c>
      <c r="E127" s="42" t="b">
        <v>0</v>
      </c>
      <c r="F127" s="42" t="b">
        <v>0</v>
      </c>
      <c r="G127" s="102" t="b">
        <v>1</v>
      </c>
      <c r="H127" s="42" t="b">
        <v>0</v>
      </c>
      <c r="I127" s="60">
        <v>45329.0</v>
      </c>
      <c r="J127" s="27" t="s">
        <v>58</v>
      </c>
      <c r="K127" s="28">
        <f>(updateDate!B$1-date(year(I127),month(I127),day(I127)+1))*24</f>
        <v>7848</v>
      </c>
      <c r="L127" s="115" t="s">
        <v>293</v>
      </c>
      <c r="M127" s="30" t="s">
        <v>38</v>
      </c>
      <c r="N127" s="42" t="b">
        <v>0</v>
      </c>
      <c r="O127" s="42" t="b">
        <v>0</v>
      </c>
      <c r="P127" s="42" t="b">
        <v>0</v>
      </c>
      <c r="Q127" s="42" t="b">
        <v>0</v>
      </c>
      <c r="R127" s="42" t="b">
        <v>0</v>
      </c>
      <c r="S127" s="42" t="b">
        <v>0</v>
      </c>
      <c r="T127" s="42" t="b">
        <v>0</v>
      </c>
      <c r="U127" s="42" t="b">
        <v>0</v>
      </c>
      <c r="V127" s="42" t="b">
        <v>0</v>
      </c>
      <c r="W127" s="61" t="s">
        <v>39</v>
      </c>
      <c r="X127" s="116"/>
      <c r="Y127" s="117"/>
      <c r="Z127" s="117"/>
    </row>
    <row r="128">
      <c r="E128" s="25" t="b">
        <v>0</v>
      </c>
      <c r="F128" s="25" t="b">
        <v>0</v>
      </c>
      <c r="G128" s="118" t="b">
        <v>1</v>
      </c>
      <c r="H128" s="25" t="b">
        <v>0</v>
      </c>
      <c r="I128" s="27">
        <v>45031.0</v>
      </c>
      <c r="J128" s="27" t="s">
        <v>58</v>
      </c>
      <c r="K128" s="28">
        <f>(updateDate!B$1-date(year(I128),month(I128),day(I128)+1))*24</f>
        <v>15000</v>
      </c>
      <c r="L128" s="55" t="s">
        <v>294</v>
      </c>
      <c r="M128" s="30" t="s">
        <v>38</v>
      </c>
      <c r="N128" s="80" t="b">
        <v>0</v>
      </c>
      <c r="O128" s="25" t="b">
        <v>0</v>
      </c>
      <c r="P128" s="25" t="b">
        <v>0</v>
      </c>
      <c r="Q128" s="25" t="b">
        <v>0</v>
      </c>
      <c r="R128" s="25" t="b">
        <v>0</v>
      </c>
      <c r="S128" s="25" t="b">
        <v>0</v>
      </c>
      <c r="T128" s="25" t="b">
        <v>0</v>
      </c>
      <c r="U128" s="25" t="b">
        <v>0</v>
      </c>
      <c r="V128" s="25" t="b">
        <v>0</v>
      </c>
      <c r="W128" s="119" t="s">
        <v>39</v>
      </c>
      <c r="X128" s="119" t="s">
        <v>39</v>
      </c>
      <c r="Y128" s="120" t="s">
        <v>125</v>
      </c>
      <c r="Z128" s="117"/>
    </row>
    <row r="129">
      <c r="E129" s="25" t="b">
        <v>1</v>
      </c>
      <c r="F129" s="25" t="b">
        <v>0</v>
      </c>
      <c r="G129" s="25" t="b">
        <v>0</v>
      </c>
      <c r="H129" s="25" t="b">
        <v>0</v>
      </c>
      <c r="I129" s="27">
        <v>44859.0</v>
      </c>
      <c r="J129" s="27">
        <v>44859.0</v>
      </c>
      <c r="K129" s="28">
        <v>8.0</v>
      </c>
      <c r="L129" s="121" t="s">
        <v>295</v>
      </c>
      <c r="M129" s="30" t="s">
        <v>38</v>
      </c>
      <c r="N129" s="80" t="b">
        <v>0</v>
      </c>
      <c r="O129" s="25" t="b">
        <v>0</v>
      </c>
      <c r="P129" s="25" t="b">
        <v>0</v>
      </c>
      <c r="Q129" s="25" t="b">
        <v>0</v>
      </c>
      <c r="R129" s="25" t="b">
        <v>0</v>
      </c>
      <c r="S129" s="25" t="b">
        <v>0</v>
      </c>
      <c r="T129" s="25" t="b">
        <v>0</v>
      </c>
      <c r="U129" s="25" t="b">
        <v>0</v>
      </c>
      <c r="V129" s="25" t="b">
        <v>0</v>
      </c>
      <c r="W129" s="119" t="s">
        <v>39</v>
      </c>
      <c r="X129" s="34"/>
      <c r="Y129" s="34"/>
      <c r="Z129" s="34"/>
    </row>
    <row r="130">
      <c r="E130" s="25" t="b">
        <v>1</v>
      </c>
      <c r="F130" s="25" t="b">
        <v>0</v>
      </c>
      <c r="G130" s="25" t="b">
        <v>0</v>
      </c>
      <c r="H130" s="25" t="b">
        <v>0</v>
      </c>
      <c r="I130" s="27">
        <v>44742.0</v>
      </c>
      <c r="J130" s="27">
        <v>44742.0</v>
      </c>
      <c r="K130" s="28">
        <v>18.0</v>
      </c>
      <c r="L130" s="29" t="s">
        <v>296</v>
      </c>
      <c r="M130" s="30" t="s">
        <v>38</v>
      </c>
      <c r="N130" s="80" t="b">
        <v>0</v>
      </c>
      <c r="O130" s="25" t="b">
        <v>0</v>
      </c>
      <c r="P130" s="25" t="b">
        <v>0</v>
      </c>
      <c r="Q130" s="25" t="b">
        <v>0</v>
      </c>
      <c r="R130" s="25" t="b">
        <v>0</v>
      </c>
      <c r="S130" s="25" t="b">
        <v>0</v>
      </c>
      <c r="T130" s="25" t="b">
        <v>0</v>
      </c>
      <c r="U130" s="25" t="b">
        <v>0</v>
      </c>
      <c r="V130" s="25" t="b">
        <v>0</v>
      </c>
      <c r="W130" s="33" t="s">
        <v>39</v>
      </c>
      <c r="X130" s="33" t="s">
        <v>125</v>
      </c>
      <c r="Y130" s="34"/>
      <c r="Z130" s="34"/>
    </row>
    <row r="131">
      <c r="E131" s="25" t="b">
        <v>1</v>
      </c>
      <c r="F131" s="25" t="b">
        <v>0</v>
      </c>
      <c r="G131" s="25" t="b">
        <v>0</v>
      </c>
      <c r="H131" s="25" t="b">
        <v>0</v>
      </c>
      <c r="I131" s="27">
        <v>44567.0</v>
      </c>
      <c r="J131" s="27">
        <v>44567.0</v>
      </c>
      <c r="K131" s="28">
        <v>10.0</v>
      </c>
      <c r="L131" s="29" t="s">
        <v>297</v>
      </c>
      <c r="M131" s="30" t="s">
        <v>38</v>
      </c>
      <c r="N131" s="80" t="b">
        <v>0</v>
      </c>
      <c r="O131" s="25" t="b">
        <v>0</v>
      </c>
      <c r="P131" s="25" t="b">
        <v>0</v>
      </c>
      <c r="Q131" s="25" t="b">
        <v>0</v>
      </c>
      <c r="R131" s="25" t="b">
        <v>0</v>
      </c>
      <c r="S131" s="25" t="b">
        <v>0</v>
      </c>
      <c r="T131" s="25" t="b">
        <v>0</v>
      </c>
      <c r="U131" s="25" t="b">
        <v>0</v>
      </c>
      <c r="V131" s="25" t="b">
        <v>0</v>
      </c>
      <c r="W131" s="33" t="s">
        <v>39</v>
      </c>
      <c r="X131" s="34"/>
      <c r="Y131" s="34"/>
      <c r="Z131" s="34"/>
    </row>
    <row r="132">
      <c r="E132" s="25" t="b">
        <v>1</v>
      </c>
      <c r="F132" s="25" t="b">
        <v>0</v>
      </c>
      <c r="G132" s="25" t="b">
        <v>0</v>
      </c>
      <c r="H132" s="25" t="b">
        <v>0</v>
      </c>
      <c r="I132" s="27">
        <v>44563.0</v>
      </c>
      <c r="J132" s="27">
        <v>44563.0</v>
      </c>
      <c r="K132" s="28">
        <v>10.0</v>
      </c>
      <c r="L132" s="29" t="s">
        <v>298</v>
      </c>
      <c r="M132" s="30" t="s">
        <v>38</v>
      </c>
      <c r="N132" s="80" t="b">
        <v>0</v>
      </c>
      <c r="O132" s="25" t="b">
        <v>0</v>
      </c>
      <c r="P132" s="25" t="b">
        <v>0</v>
      </c>
      <c r="Q132" s="25" t="b">
        <v>0</v>
      </c>
      <c r="R132" s="25" t="b">
        <v>0</v>
      </c>
      <c r="S132" s="25" t="b">
        <v>0</v>
      </c>
      <c r="T132" s="25" t="b">
        <v>0</v>
      </c>
      <c r="U132" s="25" t="b">
        <v>0</v>
      </c>
      <c r="V132" s="25" t="b">
        <v>0</v>
      </c>
      <c r="W132" s="33" t="s">
        <v>39</v>
      </c>
      <c r="X132" s="34"/>
      <c r="Y132" s="34"/>
      <c r="Z132" s="34"/>
    </row>
    <row r="133">
      <c r="E133" s="25" t="b">
        <v>1</v>
      </c>
      <c r="F133" s="25" t="b">
        <v>0</v>
      </c>
      <c r="G133" s="25" t="b">
        <v>0</v>
      </c>
      <c r="H133" s="25" t="b">
        <v>0</v>
      </c>
      <c r="I133" s="27">
        <v>44560.0</v>
      </c>
      <c r="J133" s="27">
        <v>44560.0</v>
      </c>
      <c r="K133" s="28">
        <v>10.0</v>
      </c>
      <c r="L133" s="29" t="s">
        <v>299</v>
      </c>
      <c r="M133" s="30" t="s">
        <v>38</v>
      </c>
      <c r="N133" s="80" t="b">
        <v>0</v>
      </c>
      <c r="O133" s="25" t="b">
        <v>0</v>
      </c>
      <c r="P133" s="25" t="b">
        <v>0</v>
      </c>
      <c r="Q133" s="25" t="b">
        <v>0</v>
      </c>
      <c r="R133" s="25" t="b">
        <v>0</v>
      </c>
      <c r="S133" s="25" t="b">
        <v>0</v>
      </c>
      <c r="T133" s="25" t="b">
        <v>0</v>
      </c>
      <c r="U133" s="25" t="b">
        <v>0</v>
      </c>
      <c r="V133" s="25" t="b">
        <v>0</v>
      </c>
      <c r="W133" s="33" t="s">
        <v>39</v>
      </c>
      <c r="X133" s="34"/>
      <c r="Y133" s="34"/>
      <c r="Z133" s="34"/>
    </row>
    <row r="134">
      <c r="E134" s="25" t="b">
        <v>1</v>
      </c>
      <c r="F134" s="25" t="b">
        <v>0</v>
      </c>
      <c r="G134" s="25" t="b">
        <v>0</v>
      </c>
      <c r="H134" s="25" t="b">
        <v>0</v>
      </c>
      <c r="I134" s="27">
        <v>44555.0</v>
      </c>
      <c r="J134" s="27">
        <v>44555.0</v>
      </c>
      <c r="K134" s="28">
        <v>16.0</v>
      </c>
      <c r="L134" s="29" t="s">
        <v>300</v>
      </c>
      <c r="M134" s="30" t="s">
        <v>38</v>
      </c>
      <c r="N134" s="80" t="b">
        <v>0</v>
      </c>
      <c r="O134" s="25" t="b">
        <v>0</v>
      </c>
      <c r="P134" s="25" t="b">
        <v>0</v>
      </c>
      <c r="Q134" s="25" t="b">
        <v>0</v>
      </c>
      <c r="R134" s="25" t="b">
        <v>0</v>
      </c>
      <c r="S134" s="25" t="b">
        <v>0</v>
      </c>
      <c r="T134" s="25" t="b">
        <v>0</v>
      </c>
      <c r="U134" s="25" t="b">
        <v>0</v>
      </c>
      <c r="V134" s="25" t="b">
        <v>0</v>
      </c>
      <c r="W134" s="33" t="s">
        <v>39</v>
      </c>
      <c r="X134" s="34"/>
      <c r="Y134" s="34"/>
      <c r="Z134" s="34"/>
    </row>
    <row r="135">
      <c r="E135" s="25" t="b">
        <v>0</v>
      </c>
      <c r="F135" s="25" t="b">
        <v>0</v>
      </c>
      <c r="G135" s="25" t="b">
        <v>1</v>
      </c>
      <c r="H135" s="25" t="b">
        <v>0</v>
      </c>
      <c r="I135" s="27">
        <v>44494.0</v>
      </c>
      <c r="J135" s="27">
        <v>44524.0</v>
      </c>
      <c r="K135" s="28">
        <v>720.0</v>
      </c>
      <c r="L135" s="29" t="s">
        <v>301</v>
      </c>
      <c r="M135" s="30" t="s">
        <v>38</v>
      </c>
      <c r="N135" s="80" t="b">
        <v>1</v>
      </c>
      <c r="O135" s="25" t="b">
        <v>1</v>
      </c>
      <c r="P135" s="25" t="b">
        <v>1</v>
      </c>
      <c r="Q135" s="25" t="b">
        <v>0</v>
      </c>
      <c r="R135" s="25" t="b">
        <v>1</v>
      </c>
      <c r="S135" s="25" t="b">
        <v>1</v>
      </c>
      <c r="T135" s="25" t="b">
        <v>1</v>
      </c>
      <c r="U135" s="25" t="b">
        <v>0</v>
      </c>
      <c r="V135" s="25" t="b">
        <v>0</v>
      </c>
      <c r="W135" s="33" t="s">
        <v>39</v>
      </c>
      <c r="X135" s="34"/>
      <c r="Y135" s="34"/>
      <c r="Z135" s="34"/>
    </row>
    <row r="136">
      <c r="E136" s="25" t="b">
        <v>0</v>
      </c>
      <c r="F136" s="25" t="b">
        <v>0</v>
      </c>
      <c r="G136" s="25" t="b">
        <v>1</v>
      </c>
      <c r="H136" s="25" t="b">
        <v>0</v>
      </c>
      <c r="I136" s="27">
        <v>44494.0</v>
      </c>
      <c r="J136" s="27">
        <v>44518.0</v>
      </c>
      <c r="K136" s="28">
        <v>576.0</v>
      </c>
      <c r="L136" s="29" t="s">
        <v>302</v>
      </c>
      <c r="M136" s="30" t="s">
        <v>38</v>
      </c>
      <c r="N136" s="80" t="b">
        <v>0</v>
      </c>
      <c r="O136" s="25" t="b">
        <v>0</v>
      </c>
      <c r="P136" s="25" t="b">
        <v>0</v>
      </c>
      <c r="Q136" s="25" t="b">
        <v>0</v>
      </c>
      <c r="R136" s="25" t="b">
        <v>0</v>
      </c>
      <c r="S136" s="25" t="b">
        <v>0</v>
      </c>
      <c r="T136" s="25" t="b">
        <v>0</v>
      </c>
      <c r="U136" s="25" t="b">
        <v>0</v>
      </c>
      <c r="V136" s="25" t="b">
        <v>0</v>
      </c>
      <c r="W136" s="33" t="s">
        <v>39</v>
      </c>
      <c r="X136" s="34"/>
      <c r="Y136" s="34"/>
      <c r="Z136" s="34"/>
    </row>
    <row r="137">
      <c r="E137" s="25" t="b">
        <v>1</v>
      </c>
      <c r="F137" s="25" t="b">
        <v>0</v>
      </c>
      <c r="G137" s="25" t="b">
        <v>0</v>
      </c>
      <c r="H137" s="25" t="b">
        <v>0</v>
      </c>
      <c r="I137" s="27">
        <v>43562.0</v>
      </c>
      <c r="J137" s="27">
        <v>43566.0</v>
      </c>
      <c r="K137" s="28">
        <v>84.0</v>
      </c>
      <c r="L137" s="29" t="s">
        <v>303</v>
      </c>
      <c r="M137" s="30" t="s">
        <v>38</v>
      </c>
      <c r="N137" s="80" t="b">
        <v>1</v>
      </c>
      <c r="O137" s="25" t="b">
        <v>1</v>
      </c>
      <c r="P137" s="25" t="b">
        <v>1</v>
      </c>
      <c r="Q137" s="25" t="b">
        <v>0</v>
      </c>
      <c r="R137" s="25" t="b">
        <v>1</v>
      </c>
      <c r="S137" s="25" t="b">
        <v>1</v>
      </c>
      <c r="T137" s="25" t="b">
        <v>1</v>
      </c>
      <c r="U137" s="25" t="b">
        <v>1</v>
      </c>
      <c r="V137" s="25" t="b">
        <v>0</v>
      </c>
      <c r="W137" s="33" t="s">
        <v>39</v>
      </c>
      <c r="X137" s="34"/>
      <c r="Y137" s="34"/>
      <c r="Z137" s="34"/>
    </row>
    <row r="138">
      <c r="E138" s="25" t="b">
        <v>1</v>
      </c>
      <c r="F138" s="25" t="b">
        <v>0</v>
      </c>
      <c r="G138" s="25" t="b">
        <v>0</v>
      </c>
      <c r="H138" s="25" t="b">
        <v>0</v>
      </c>
      <c r="I138" s="27">
        <v>43619.0</v>
      </c>
      <c r="J138" s="27">
        <v>43655.0</v>
      </c>
      <c r="K138" s="28">
        <v>840.0</v>
      </c>
      <c r="L138" s="29" t="s">
        <v>304</v>
      </c>
      <c r="M138" s="30" t="s">
        <v>38</v>
      </c>
      <c r="N138" s="80" t="b">
        <v>0</v>
      </c>
      <c r="O138" s="25" t="b">
        <v>0</v>
      </c>
      <c r="P138" s="25" t="b">
        <v>0</v>
      </c>
      <c r="Q138" s="25" t="b">
        <v>0</v>
      </c>
      <c r="R138" s="25" t="b">
        <v>0</v>
      </c>
      <c r="S138" s="25" t="b">
        <v>0</v>
      </c>
      <c r="T138" s="25" t="b">
        <v>0</v>
      </c>
      <c r="U138" s="25" t="b">
        <v>0</v>
      </c>
      <c r="V138" s="25" t="b">
        <v>0</v>
      </c>
      <c r="W138" s="33" t="s">
        <v>39</v>
      </c>
      <c r="X138" s="34"/>
      <c r="Y138" s="34"/>
      <c r="Z138" s="34"/>
    </row>
    <row r="139">
      <c r="E139" s="25" t="b">
        <v>1</v>
      </c>
      <c r="F139" s="25" t="b">
        <v>0</v>
      </c>
      <c r="G139" s="25" t="b">
        <v>0</v>
      </c>
      <c r="H139" s="25" t="b">
        <v>0</v>
      </c>
      <c r="I139" s="27">
        <v>43455.0</v>
      </c>
      <c r="J139" s="27">
        <v>43522.0</v>
      </c>
      <c r="K139" s="28">
        <v>1632.0</v>
      </c>
      <c r="L139" s="29" t="s">
        <v>305</v>
      </c>
      <c r="M139" s="30" t="s">
        <v>38</v>
      </c>
      <c r="N139" s="80" t="b">
        <v>1</v>
      </c>
      <c r="O139" s="25" t="b">
        <v>1</v>
      </c>
      <c r="P139" s="25" t="b">
        <v>1</v>
      </c>
      <c r="Q139" s="25" t="b">
        <v>0</v>
      </c>
      <c r="R139" s="25" t="b">
        <v>1</v>
      </c>
      <c r="S139" s="25" t="b">
        <v>0</v>
      </c>
      <c r="T139" s="25" t="b">
        <v>1</v>
      </c>
      <c r="U139" s="25" t="b">
        <v>0</v>
      </c>
      <c r="V139" s="25" t="b">
        <v>0</v>
      </c>
      <c r="W139" s="33" t="s">
        <v>41</v>
      </c>
      <c r="X139" s="34"/>
      <c r="Y139" s="34"/>
      <c r="Z139" s="34"/>
    </row>
    <row r="140">
      <c r="A140" s="21">
        <v>49.0</v>
      </c>
      <c r="B140" s="22" t="s">
        <v>306</v>
      </c>
      <c r="C140" s="23" t="s">
        <v>307</v>
      </c>
      <c r="D140" s="24" t="s">
        <v>36</v>
      </c>
      <c r="E140" s="25" t="b">
        <v>0</v>
      </c>
      <c r="F140" s="25" t="b">
        <v>1</v>
      </c>
      <c r="G140" s="25" t="b">
        <v>0</v>
      </c>
      <c r="H140" s="25" t="b">
        <v>0</v>
      </c>
      <c r="I140" s="27">
        <v>43883.0</v>
      </c>
      <c r="J140" s="27">
        <v>43884.0</v>
      </c>
      <c r="K140" s="28">
        <v>22.0</v>
      </c>
      <c r="L140" s="29" t="s">
        <v>308</v>
      </c>
      <c r="M140" s="30" t="s">
        <v>38</v>
      </c>
      <c r="N140" s="31" t="b">
        <v>1</v>
      </c>
      <c r="O140" s="32" t="b">
        <v>1</v>
      </c>
      <c r="P140" s="32" t="b">
        <v>0</v>
      </c>
      <c r="Q140" s="32" t="b">
        <v>0</v>
      </c>
      <c r="R140" s="32" t="b">
        <v>0</v>
      </c>
      <c r="S140" s="32" t="b">
        <v>0</v>
      </c>
      <c r="T140" s="32" t="b">
        <v>1</v>
      </c>
      <c r="U140" s="32" t="b">
        <v>0</v>
      </c>
      <c r="V140" s="32" t="b">
        <v>0</v>
      </c>
      <c r="W140" s="33" t="s">
        <v>41</v>
      </c>
      <c r="X140" s="33"/>
      <c r="Y140" s="34"/>
      <c r="Z140" s="34"/>
    </row>
    <row r="141">
      <c r="E141" s="25" t="b">
        <v>1</v>
      </c>
      <c r="F141" s="25" t="b">
        <v>0</v>
      </c>
      <c r="G141" s="25" t="b">
        <v>0</v>
      </c>
      <c r="H141" s="25" t="b">
        <v>0</v>
      </c>
      <c r="I141" s="27">
        <v>42983.0</v>
      </c>
      <c r="J141" s="27">
        <v>43018.0</v>
      </c>
      <c r="K141" s="28">
        <v>144.0</v>
      </c>
      <c r="L141" s="29" t="s">
        <v>309</v>
      </c>
      <c r="M141" s="30" t="s">
        <v>38</v>
      </c>
      <c r="N141" s="31" t="b">
        <v>0</v>
      </c>
      <c r="O141" s="32" t="b">
        <v>0</v>
      </c>
      <c r="P141" s="32" t="b">
        <v>0</v>
      </c>
      <c r="Q141" s="32" t="b">
        <v>0</v>
      </c>
      <c r="R141" s="32" t="b">
        <v>0</v>
      </c>
      <c r="S141" s="32" t="b">
        <v>0</v>
      </c>
      <c r="T141" s="32" t="b">
        <v>0</v>
      </c>
      <c r="U141" s="32" t="b">
        <v>0</v>
      </c>
      <c r="V141" s="32" t="b">
        <v>0</v>
      </c>
      <c r="W141" s="33" t="s">
        <v>310</v>
      </c>
      <c r="X141" s="33"/>
      <c r="Y141" s="34"/>
      <c r="Z141" s="34"/>
    </row>
    <row r="142">
      <c r="A142" s="21">
        <v>50.0</v>
      </c>
      <c r="B142" s="22" t="s">
        <v>311</v>
      </c>
      <c r="C142" s="23" t="s">
        <v>312</v>
      </c>
      <c r="D142" s="35" t="s">
        <v>29</v>
      </c>
      <c r="E142" s="25" t="b">
        <v>0</v>
      </c>
      <c r="F142" s="25" t="b">
        <v>0</v>
      </c>
      <c r="G142" s="25" t="b">
        <v>0</v>
      </c>
      <c r="H142" s="25" t="b">
        <v>0</v>
      </c>
      <c r="I142" s="36" t="s">
        <v>47</v>
      </c>
      <c r="J142" s="36" t="s">
        <v>47</v>
      </c>
      <c r="K142" s="28" t="s">
        <v>47</v>
      </c>
      <c r="L142" s="37" t="s">
        <v>47</v>
      </c>
      <c r="M142" s="27" t="s">
        <v>47</v>
      </c>
      <c r="N142" s="31" t="b">
        <v>0</v>
      </c>
      <c r="O142" s="32" t="b">
        <v>0</v>
      </c>
      <c r="P142" s="32" t="b">
        <v>0</v>
      </c>
      <c r="Q142" s="32" t="b">
        <v>0</v>
      </c>
      <c r="R142" s="32" t="b">
        <v>0</v>
      </c>
      <c r="S142" s="32" t="b">
        <v>0</v>
      </c>
      <c r="T142" s="32" t="b">
        <v>0</v>
      </c>
      <c r="U142" s="32" t="b">
        <v>0</v>
      </c>
      <c r="V142" s="32" t="b">
        <v>0</v>
      </c>
      <c r="W142" s="34"/>
      <c r="X142" s="34"/>
      <c r="Y142" s="34"/>
      <c r="Z142" s="34"/>
    </row>
    <row r="143">
      <c r="A143" s="72">
        <v>51.0</v>
      </c>
      <c r="B143" s="22" t="s">
        <v>313</v>
      </c>
      <c r="C143" s="23" t="s">
        <v>314</v>
      </c>
      <c r="D143" s="24" t="s">
        <v>36</v>
      </c>
      <c r="E143" s="80" t="b">
        <v>0</v>
      </c>
      <c r="F143" s="80" t="b">
        <v>1</v>
      </c>
      <c r="G143" s="80" t="b">
        <v>0</v>
      </c>
      <c r="H143" s="80" t="b">
        <v>0</v>
      </c>
      <c r="I143" s="38">
        <v>44209.0</v>
      </c>
      <c r="J143" s="38">
        <v>44214.0</v>
      </c>
      <c r="K143" s="28">
        <v>120.0</v>
      </c>
      <c r="L143" s="39" t="s">
        <v>315</v>
      </c>
      <c r="M143" s="40" t="s">
        <v>38</v>
      </c>
      <c r="N143" s="31" t="b">
        <v>0</v>
      </c>
      <c r="O143" s="31" t="b">
        <v>0</v>
      </c>
      <c r="P143" s="31" t="b">
        <v>0</v>
      </c>
      <c r="Q143" s="31" t="b">
        <v>0</v>
      </c>
      <c r="R143" s="31" t="b">
        <v>0</v>
      </c>
      <c r="S143" s="31" t="b">
        <v>0</v>
      </c>
      <c r="T143" s="31" t="b">
        <v>0</v>
      </c>
      <c r="U143" s="31" t="b">
        <v>0</v>
      </c>
      <c r="V143" s="31" t="b">
        <v>0</v>
      </c>
      <c r="W143" s="33" t="s">
        <v>39</v>
      </c>
      <c r="X143" s="33" t="s">
        <v>316</v>
      </c>
      <c r="Y143" s="34"/>
      <c r="Z143" s="34"/>
    </row>
    <row r="144">
      <c r="E144" s="80" t="b">
        <v>0</v>
      </c>
      <c r="F144" s="80" t="b">
        <v>1</v>
      </c>
      <c r="G144" s="80" t="b">
        <v>0</v>
      </c>
      <c r="H144" s="80" t="b">
        <v>0</v>
      </c>
      <c r="I144" s="38">
        <v>44208.0</v>
      </c>
      <c r="J144" s="38">
        <v>44369.0</v>
      </c>
      <c r="K144" s="28">
        <v>3864.0</v>
      </c>
      <c r="L144" s="39" t="s">
        <v>317</v>
      </c>
      <c r="M144" s="40" t="s">
        <v>38</v>
      </c>
      <c r="N144" s="31" t="b">
        <v>1</v>
      </c>
      <c r="O144" s="31" t="b">
        <v>1</v>
      </c>
      <c r="P144" s="31" t="b">
        <v>0</v>
      </c>
      <c r="Q144" s="31" t="b">
        <v>0</v>
      </c>
      <c r="R144" s="31" t="b">
        <v>0</v>
      </c>
      <c r="S144" s="31" t="b">
        <v>0</v>
      </c>
      <c r="T144" s="31" t="b">
        <v>0</v>
      </c>
      <c r="U144" s="31" t="b">
        <v>0</v>
      </c>
      <c r="V144" s="31" t="b">
        <v>0</v>
      </c>
      <c r="W144" s="33" t="s">
        <v>39</v>
      </c>
      <c r="X144" s="33" t="s">
        <v>318</v>
      </c>
      <c r="Y144" s="34"/>
      <c r="Z144" s="34"/>
    </row>
    <row r="145">
      <c r="E145" s="80" t="b">
        <v>0</v>
      </c>
      <c r="F145" s="80" t="b">
        <v>1</v>
      </c>
      <c r="G145" s="80" t="b">
        <v>0</v>
      </c>
      <c r="H145" s="80" t="b">
        <v>0</v>
      </c>
      <c r="I145" s="38">
        <v>44208.0</v>
      </c>
      <c r="J145" s="38">
        <v>44237.0</v>
      </c>
      <c r="K145" s="28">
        <v>696.0</v>
      </c>
      <c r="L145" s="39" t="s">
        <v>317</v>
      </c>
      <c r="M145" s="40" t="s">
        <v>38</v>
      </c>
      <c r="N145" s="31" t="b">
        <v>1</v>
      </c>
      <c r="O145" s="31" t="b">
        <v>0</v>
      </c>
      <c r="P145" s="31" t="b">
        <v>1</v>
      </c>
      <c r="Q145" s="31" t="b">
        <v>0</v>
      </c>
      <c r="R145" s="31" t="b">
        <v>1</v>
      </c>
      <c r="S145" s="31" t="b">
        <v>1</v>
      </c>
      <c r="T145" s="31" t="b">
        <v>1</v>
      </c>
      <c r="U145" s="31" t="b">
        <v>1</v>
      </c>
      <c r="V145" s="31" t="b">
        <v>1</v>
      </c>
      <c r="W145" s="33" t="s">
        <v>39</v>
      </c>
      <c r="X145" s="33" t="s">
        <v>316</v>
      </c>
      <c r="Y145" s="33" t="s">
        <v>244</v>
      </c>
      <c r="Z145" s="33"/>
    </row>
    <row r="146">
      <c r="E146" s="25" t="b">
        <v>0</v>
      </c>
      <c r="F146" s="25" t="b">
        <v>0</v>
      </c>
      <c r="G146" s="25" t="b">
        <v>1</v>
      </c>
      <c r="H146" s="25" t="b">
        <v>0</v>
      </c>
      <c r="I146" s="27">
        <v>42501.0</v>
      </c>
      <c r="J146" s="27">
        <v>42502.0</v>
      </c>
      <c r="K146" s="28">
        <v>24.0</v>
      </c>
      <c r="L146" s="29" t="s">
        <v>319</v>
      </c>
      <c r="M146" s="30" t="s">
        <v>38</v>
      </c>
      <c r="N146" s="31" t="b">
        <v>1</v>
      </c>
      <c r="O146" s="32" t="b">
        <v>1</v>
      </c>
      <c r="P146" s="32" t="b">
        <v>1</v>
      </c>
      <c r="Q146" s="32" t="b">
        <v>0</v>
      </c>
      <c r="R146" s="32" t="b">
        <v>0</v>
      </c>
      <c r="S146" s="32" t="b">
        <v>0</v>
      </c>
      <c r="T146" s="32" t="b">
        <v>1</v>
      </c>
      <c r="U146" s="32" t="b">
        <v>0</v>
      </c>
      <c r="V146" s="32" t="b">
        <v>0</v>
      </c>
      <c r="W146" s="33" t="s">
        <v>320</v>
      </c>
      <c r="X146" s="33" t="s">
        <v>321</v>
      </c>
      <c r="Y146" s="34"/>
      <c r="Z146" s="34"/>
    </row>
    <row r="147">
      <c r="E147" s="25" t="b">
        <v>0</v>
      </c>
      <c r="F147" s="25" t="b">
        <v>0</v>
      </c>
      <c r="G147" s="25" t="b">
        <v>1</v>
      </c>
      <c r="H147" s="25" t="b">
        <v>0</v>
      </c>
      <c r="I147" s="27">
        <v>42418.0</v>
      </c>
      <c r="J147" s="27">
        <v>42418.0</v>
      </c>
      <c r="K147" s="28">
        <v>24.0</v>
      </c>
      <c r="L147" s="55" t="s">
        <v>322</v>
      </c>
      <c r="M147" s="30" t="s">
        <v>38</v>
      </c>
      <c r="N147" s="31" t="b">
        <v>1</v>
      </c>
      <c r="O147" s="32" t="b">
        <v>1</v>
      </c>
      <c r="P147" s="32" t="b">
        <v>1</v>
      </c>
      <c r="Q147" s="32" t="b">
        <v>0</v>
      </c>
      <c r="R147" s="32" t="b">
        <v>0</v>
      </c>
      <c r="S147" s="32" t="b">
        <v>0</v>
      </c>
      <c r="T147" s="32" t="b">
        <v>0</v>
      </c>
      <c r="U147" s="32" t="b">
        <v>0</v>
      </c>
      <c r="V147" s="32" t="b">
        <v>0</v>
      </c>
      <c r="W147" s="33" t="s">
        <v>167</v>
      </c>
      <c r="X147" s="33"/>
      <c r="Y147" s="34"/>
      <c r="Z147" s="34"/>
    </row>
    <row r="148">
      <c r="A148" s="21">
        <v>52.0</v>
      </c>
      <c r="B148" s="22" t="s">
        <v>323</v>
      </c>
      <c r="C148" s="23" t="s">
        <v>324</v>
      </c>
      <c r="D148" s="62" t="s">
        <v>36</v>
      </c>
      <c r="E148" s="26" t="b">
        <v>0</v>
      </c>
      <c r="F148" s="25" t="b">
        <v>0</v>
      </c>
      <c r="G148" s="26" t="b">
        <v>1</v>
      </c>
      <c r="H148" s="25" t="b">
        <v>0</v>
      </c>
      <c r="I148" s="60">
        <v>44972.0</v>
      </c>
      <c r="J148" s="60">
        <v>44973.0</v>
      </c>
      <c r="K148" s="28">
        <v>24.0</v>
      </c>
      <c r="L148" s="55" t="s">
        <v>325</v>
      </c>
      <c r="M148" s="30" t="s">
        <v>38</v>
      </c>
      <c r="N148" s="65" t="b">
        <v>1</v>
      </c>
      <c r="O148" s="32" t="b">
        <v>0</v>
      </c>
      <c r="P148" s="32" t="b">
        <v>0</v>
      </c>
      <c r="Q148" s="32" t="b">
        <v>0</v>
      </c>
      <c r="R148" s="32" t="b">
        <v>0</v>
      </c>
      <c r="S148" s="32" t="b">
        <v>0</v>
      </c>
      <c r="T148" s="32" t="b">
        <v>0</v>
      </c>
      <c r="U148" s="32" t="b">
        <v>0</v>
      </c>
      <c r="V148" s="63" t="b">
        <v>1</v>
      </c>
      <c r="W148" s="61" t="s">
        <v>39</v>
      </c>
      <c r="X148" s="34"/>
      <c r="Y148" s="34"/>
      <c r="Z148" s="34"/>
    </row>
    <row r="149">
      <c r="E149" s="25" t="b">
        <v>0</v>
      </c>
      <c r="F149" s="25" t="b">
        <v>1</v>
      </c>
      <c r="G149" s="25" t="b">
        <v>0</v>
      </c>
      <c r="H149" s="25" t="b">
        <v>0</v>
      </c>
      <c r="I149" s="27">
        <v>44131.0</v>
      </c>
      <c r="J149" s="27">
        <v>44174.0</v>
      </c>
      <c r="K149" s="28">
        <v>314.0</v>
      </c>
      <c r="L149" s="29" t="s">
        <v>326</v>
      </c>
      <c r="M149" s="30" t="s">
        <v>38</v>
      </c>
      <c r="N149" s="31" t="b">
        <v>1</v>
      </c>
      <c r="O149" s="32" t="b">
        <v>1</v>
      </c>
      <c r="P149" s="32" t="b">
        <v>1</v>
      </c>
      <c r="Q149" s="32" t="b">
        <v>0</v>
      </c>
      <c r="R149" s="32" t="b">
        <v>1</v>
      </c>
      <c r="S149" s="32" t="b">
        <v>0</v>
      </c>
      <c r="T149" s="32" t="b">
        <v>1</v>
      </c>
      <c r="U149" s="32" t="b">
        <v>1</v>
      </c>
      <c r="V149" s="32" t="b">
        <v>0</v>
      </c>
      <c r="W149" s="33" t="s">
        <v>39</v>
      </c>
      <c r="X149" s="34"/>
      <c r="Y149" s="34"/>
      <c r="Z149" s="34"/>
    </row>
    <row r="150">
      <c r="A150" s="21">
        <v>53.0</v>
      </c>
      <c r="B150" s="22" t="s">
        <v>327</v>
      </c>
      <c r="C150" s="23" t="s">
        <v>328</v>
      </c>
      <c r="D150" s="62" t="s">
        <v>36</v>
      </c>
      <c r="E150" s="25" t="b">
        <v>0</v>
      </c>
      <c r="F150" s="25" t="b">
        <v>1</v>
      </c>
      <c r="G150" s="25" t="b">
        <v>0</v>
      </c>
      <c r="H150" s="25" t="b">
        <v>0</v>
      </c>
      <c r="I150" s="36">
        <v>44420.0</v>
      </c>
      <c r="J150" s="36">
        <v>44421.0</v>
      </c>
      <c r="K150" s="28">
        <v>48.0</v>
      </c>
      <c r="L150" s="29" t="s">
        <v>329</v>
      </c>
      <c r="M150" s="30" t="s">
        <v>38</v>
      </c>
      <c r="N150" s="31" t="b">
        <v>1</v>
      </c>
      <c r="O150" s="32" t="b">
        <v>1</v>
      </c>
      <c r="P150" s="32" t="b">
        <v>1</v>
      </c>
      <c r="Q150" s="32" t="b">
        <v>0</v>
      </c>
      <c r="R150" s="32" t="b">
        <v>1</v>
      </c>
      <c r="S150" s="32" t="b">
        <v>0</v>
      </c>
      <c r="T150" s="32" t="b">
        <v>1</v>
      </c>
      <c r="U150" s="32" t="b">
        <v>0</v>
      </c>
      <c r="V150" s="32" t="b">
        <v>0</v>
      </c>
      <c r="W150" s="33" t="s">
        <v>39</v>
      </c>
      <c r="X150" s="34"/>
      <c r="Y150" s="34"/>
      <c r="Z150" s="34"/>
    </row>
    <row r="151">
      <c r="A151" s="21">
        <v>54.0</v>
      </c>
      <c r="B151" s="22" t="s">
        <v>330</v>
      </c>
      <c r="C151" s="23" t="s">
        <v>331</v>
      </c>
      <c r="D151" s="24" t="s">
        <v>36</v>
      </c>
      <c r="E151" s="66" t="b">
        <v>0</v>
      </c>
      <c r="F151" s="66" t="b">
        <v>1</v>
      </c>
      <c r="G151" s="66" t="b">
        <v>0</v>
      </c>
      <c r="H151" s="66" t="b">
        <v>0</v>
      </c>
      <c r="I151" s="52">
        <v>45161.0</v>
      </c>
      <c r="J151" s="52">
        <v>45161.0</v>
      </c>
      <c r="K151" s="28">
        <v>8.0</v>
      </c>
      <c r="L151" s="67" t="s">
        <v>332</v>
      </c>
      <c r="M151" s="68" t="s">
        <v>38</v>
      </c>
      <c r="N151" s="69" t="b">
        <v>1</v>
      </c>
      <c r="O151" s="66" t="b">
        <v>1</v>
      </c>
      <c r="P151" s="66" t="b">
        <v>1</v>
      </c>
      <c r="Q151" s="66" t="b">
        <v>1</v>
      </c>
      <c r="R151" s="66" t="b">
        <v>1</v>
      </c>
      <c r="S151" s="66" t="b">
        <v>1</v>
      </c>
      <c r="T151" s="66" t="b">
        <v>0</v>
      </c>
      <c r="U151" s="66" t="b">
        <v>0</v>
      </c>
      <c r="V151" s="66" t="b">
        <v>0</v>
      </c>
      <c r="W151" s="49" t="s">
        <v>39</v>
      </c>
      <c r="X151" s="49" t="s">
        <v>333</v>
      </c>
      <c r="Y151" s="101" t="s">
        <v>334</v>
      </c>
      <c r="Z151" s="122"/>
    </row>
    <row r="152">
      <c r="E152" s="25" t="b">
        <v>1</v>
      </c>
      <c r="F152" s="25" t="b">
        <v>0</v>
      </c>
      <c r="G152" s="25" t="b">
        <v>0</v>
      </c>
      <c r="H152" s="25" t="b">
        <v>0</v>
      </c>
      <c r="I152" s="36">
        <v>44633.0</v>
      </c>
      <c r="J152" s="36">
        <v>44633.0</v>
      </c>
      <c r="K152" s="28">
        <v>12.0</v>
      </c>
      <c r="L152" s="29" t="s">
        <v>335</v>
      </c>
      <c r="M152" s="40" t="s">
        <v>38</v>
      </c>
      <c r="N152" s="80" t="b">
        <v>0</v>
      </c>
      <c r="O152" s="25" t="b">
        <v>0</v>
      </c>
      <c r="P152" s="25" t="b">
        <v>0</v>
      </c>
      <c r="Q152" s="25" t="b">
        <v>0</v>
      </c>
      <c r="R152" s="25" t="b">
        <v>0</v>
      </c>
      <c r="S152" s="25" t="b">
        <v>0</v>
      </c>
      <c r="T152" s="25" t="b">
        <v>0</v>
      </c>
      <c r="U152" s="25" t="b">
        <v>0</v>
      </c>
      <c r="V152" s="25" t="b">
        <v>0</v>
      </c>
      <c r="W152" s="33" t="s">
        <v>39</v>
      </c>
      <c r="X152" s="33" t="s">
        <v>125</v>
      </c>
      <c r="Y152" s="33"/>
      <c r="Z152" s="33"/>
    </row>
    <row r="153">
      <c r="E153" s="25" t="b">
        <v>1</v>
      </c>
      <c r="F153" s="25" t="b">
        <v>0</v>
      </c>
      <c r="G153" s="25" t="b">
        <v>0</v>
      </c>
      <c r="H153" s="25" t="b">
        <v>0</v>
      </c>
      <c r="I153" s="36">
        <v>44612.0</v>
      </c>
      <c r="J153" s="36">
        <v>44614.0</v>
      </c>
      <c r="K153" s="28">
        <v>20.0</v>
      </c>
      <c r="L153" s="29" t="s">
        <v>336</v>
      </c>
      <c r="M153" s="40" t="s">
        <v>38</v>
      </c>
      <c r="N153" s="80" t="b">
        <v>0</v>
      </c>
      <c r="O153" s="25" t="b">
        <v>0</v>
      </c>
      <c r="P153" s="25" t="b">
        <v>0</v>
      </c>
      <c r="Q153" s="25" t="b">
        <v>0</v>
      </c>
      <c r="R153" s="25" t="b">
        <v>0</v>
      </c>
      <c r="S153" s="25" t="b">
        <v>0</v>
      </c>
      <c r="T153" s="25" t="b">
        <v>0</v>
      </c>
      <c r="U153" s="25" t="b">
        <v>0</v>
      </c>
      <c r="V153" s="25" t="b">
        <v>0</v>
      </c>
      <c r="W153" s="33" t="s">
        <v>39</v>
      </c>
      <c r="X153" s="33" t="s">
        <v>125</v>
      </c>
      <c r="Y153" s="33"/>
      <c r="Z153" s="33"/>
    </row>
    <row r="154">
      <c r="E154" s="25" t="b">
        <v>1</v>
      </c>
      <c r="F154" s="25" t="b">
        <v>0</v>
      </c>
      <c r="G154" s="25" t="b">
        <v>0</v>
      </c>
      <c r="H154" s="25" t="b">
        <v>0</v>
      </c>
      <c r="I154" s="36">
        <v>44593.0</v>
      </c>
      <c r="J154" s="36">
        <v>44594.0</v>
      </c>
      <c r="K154" s="28">
        <v>5.0</v>
      </c>
      <c r="L154" s="29" t="s">
        <v>337</v>
      </c>
      <c r="M154" s="40" t="s">
        <v>38</v>
      </c>
      <c r="N154" s="65" t="b">
        <v>0</v>
      </c>
      <c r="O154" s="63" t="b">
        <v>0</v>
      </c>
      <c r="P154" s="63" t="b">
        <v>0</v>
      </c>
      <c r="Q154" s="32" t="b">
        <v>0</v>
      </c>
      <c r="R154" s="32" t="b">
        <v>0</v>
      </c>
      <c r="S154" s="32" t="b">
        <v>0</v>
      </c>
      <c r="T154" s="63" t="b">
        <v>0</v>
      </c>
      <c r="U154" s="63" t="b">
        <v>0</v>
      </c>
      <c r="V154" s="32" t="b">
        <v>0</v>
      </c>
      <c r="W154" s="33" t="s">
        <v>39</v>
      </c>
      <c r="X154" s="34"/>
      <c r="Y154" s="33"/>
      <c r="Z154" s="33"/>
    </row>
    <row r="155">
      <c r="E155" s="25" t="b">
        <v>1</v>
      </c>
      <c r="F155" s="25" t="b">
        <v>0</v>
      </c>
      <c r="G155" s="25" t="b">
        <v>0</v>
      </c>
      <c r="H155" s="25" t="b">
        <v>0</v>
      </c>
      <c r="I155" s="27">
        <v>44043.0</v>
      </c>
      <c r="J155" s="27">
        <v>44044.0</v>
      </c>
      <c r="K155" s="28">
        <v>19.0</v>
      </c>
      <c r="L155" s="39" t="s">
        <v>338</v>
      </c>
      <c r="M155" s="40" t="s">
        <v>38</v>
      </c>
      <c r="N155" s="31" t="b">
        <v>0</v>
      </c>
      <c r="O155" s="32" t="b">
        <v>0</v>
      </c>
      <c r="P155" s="32" t="b">
        <v>0</v>
      </c>
      <c r="Q155" s="32" t="b">
        <v>0</v>
      </c>
      <c r="R155" s="32" t="b">
        <v>0</v>
      </c>
      <c r="S155" s="32" t="b">
        <v>0</v>
      </c>
      <c r="T155" s="32" t="b">
        <v>0</v>
      </c>
      <c r="U155" s="32" t="b">
        <v>0</v>
      </c>
      <c r="V155" s="32" t="b">
        <v>0</v>
      </c>
      <c r="W155" s="33" t="s">
        <v>339</v>
      </c>
      <c r="X155" s="34"/>
      <c r="Y155" s="33"/>
      <c r="Z155" s="33"/>
    </row>
    <row r="156">
      <c r="E156" s="25" t="b">
        <v>1</v>
      </c>
      <c r="F156" s="25" t="b">
        <v>0</v>
      </c>
      <c r="G156" s="25" t="b">
        <v>0</v>
      </c>
      <c r="H156" s="25" t="b">
        <v>0</v>
      </c>
      <c r="I156" s="27">
        <v>43480.0</v>
      </c>
      <c r="J156" s="27">
        <v>43487.0</v>
      </c>
      <c r="K156" s="28">
        <v>168.0</v>
      </c>
      <c r="L156" s="29" t="s">
        <v>340</v>
      </c>
      <c r="M156" s="40" t="s">
        <v>38</v>
      </c>
      <c r="N156" s="31" t="b">
        <v>1</v>
      </c>
      <c r="O156" s="63" t="b">
        <v>0</v>
      </c>
      <c r="P156" s="32" t="b">
        <v>1</v>
      </c>
      <c r="Q156" s="32" t="b">
        <v>0</v>
      </c>
      <c r="R156" s="32" t="b">
        <v>0</v>
      </c>
      <c r="S156" s="32" t="b">
        <v>0</v>
      </c>
      <c r="T156" s="32" t="b">
        <v>1</v>
      </c>
      <c r="U156" s="32" t="b">
        <v>0</v>
      </c>
      <c r="V156" s="32" t="b">
        <v>1</v>
      </c>
      <c r="W156" s="33" t="s">
        <v>85</v>
      </c>
      <c r="X156" s="33" t="s">
        <v>341</v>
      </c>
      <c r="Y156" s="33"/>
      <c r="Z156" s="33"/>
    </row>
    <row r="157">
      <c r="E157" s="25" t="b">
        <v>1</v>
      </c>
      <c r="F157" s="25" t="b">
        <v>0</v>
      </c>
      <c r="G157" s="25" t="b">
        <v>0</v>
      </c>
      <c r="H157" s="25" t="b">
        <v>0</v>
      </c>
      <c r="I157" s="27">
        <v>42557.0</v>
      </c>
      <c r="J157" s="27">
        <v>42557.0</v>
      </c>
      <c r="K157" s="28">
        <v>4.0</v>
      </c>
      <c r="L157" s="29" t="s">
        <v>342</v>
      </c>
      <c r="M157" s="40" t="s">
        <v>38</v>
      </c>
      <c r="N157" s="31" t="b">
        <v>1</v>
      </c>
      <c r="O157" s="32" t="b">
        <v>0</v>
      </c>
      <c r="P157" s="32" t="b">
        <v>0</v>
      </c>
      <c r="Q157" s="32" t="b">
        <v>0</v>
      </c>
      <c r="R157" s="32" t="b">
        <v>0</v>
      </c>
      <c r="S157" s="32" t="b">
        <v>0</v>
      </c>
      <c r="T157" s="32" t="b">
        <v>1</v>
      </c>
      <c r="U157" s="32" t="b">
        <v>0</v>
      </c>
      <c r="V157" s="32" t="b">
        <v>0</v>
      </c>
      <c r="W157" s="33" t="s">
        <v>324</v>
      </c>
      <c r="X157" s="33" t="s">
        <v>151</v>
      </c>
      <c r="Y157" s="33"/>
      <c r="Z157" s="33"/>
    </row>
    <row r="158">
      <c r="A158" s="123"/>
      <c r="B158" s="124" t="s">
        <v>343</v>
      </c>
      <c r="D158" s="124">
        <f>A152-COUNTIF(D8:D157,"No evidence")</f>
        <v>-15</v>
      </c>
      <c r="E158" s="124">
        <f t="shared" ref="E158:H158" si="1">COUNTIF(E8:E157,"TRUE")</f>
        <v>69</v>
      </c>
      <c r="F158" s="124">
        <f t="shared" si="1"/>
        <v>31</v>
      </c>
      <c r="G158" s="124">
        <f t="shared" si="1"/>
        <v>33</v>
      </c>
      <c r="H158" s="124">
        <f t="shared" si="1"/>
        <v>1</v>
      </c>
      <c r="I158" s="125"/>
      <c r="J158" s="125"/>
      <c r="K158" s="125"/>
      <c r="L158" s="125"/>
      <c r="M158" s="125"/>
      <c r="N158" s="20"/>
      <c r="Z158" s="20"/>
    </row>
    <row r="159">
      <c r="A159" s="126" t="s">
        <v>344</v>
      </c>
      <c r="B159" s="126"/>
      <c r="C159" s="126"/>
      <c r="D159" s="126"/>
      <c r="E159" s="126"/>
      <c r="F159" s="126"/>
      <c r="G159" s="126"/>
      <c r="H159" s="126"/>
      <c r="I159" s="126"/>
      <c r="J159" s="126"/>
      <c r="K159" s="126"/>
      <c r="L159" s="126"/>
      <c r="M159" s="126"/>
      <c r="N159" s="20"/>
      <c r="Z159" s="20"/>
    </row>
    <row r="160">
      <c r="A160" s="41">
        <v>1.0</v>
      </c>
      <c r="B160" s="22" t="s">
        <v>345</v>
      </c>
      <c r="C160" s="23" t="s">
        <v>346</v>
      </c>
      <c r="D160" s="24" t="s">
        <v>36</v>
      </c>
      <c r="E160" s="25" t="b">
        <v>0</v>
      </c>
      <c r="F160" s="25" t="b">
        <v>0</v>
      </c>
      <c r="G160" s="25" t="b">
        <v>1</v>
      </c>
      <c r="H160" s="25" t="b">
        <v>0</v>
      </c>
      <c r="I160" s="27">
        <v>44781.0</v>
      </c>
      <c r="J160" s="27">
        <v>44781.0</v>
      </c>
      <c r="K160" s="28">
        <v>4.0</v>
      </c>
      <c r="L160" s="29" t="s">
        <v>347</v>
      </c>
      <c r="M160" s="30" t="s">
        <v>38</v>
      </c>
      <c r="N160" s="80" t="b">
        <v>0</v>
      </c>
      <c r="O160" s="25" t="b">
        <v>0</v>
      </c>
      <c r="P160" s="25" t="b">
        <v>0</v>
      </c>
      <c r="Q160" s="25" t="b">
        <v>0</v>
      </c>
      <c r="R160" s="25" t="b">
        <v>0</v>
      </c>
      <c r="S160" s="25" t="b">
        <v>0</v>
      </c>
      <c r="T160" s="25" t="b">
        <v>0</v>
      </c>
      <c r="U160" s="25" t="b">
        <v>0</v>
      </c>
      <c r="V160" s="25" t="b">
        <v>0</v>
      </c>
      <c r="W160" s="33" t="s">
        <v>39</v>
      </c>
      <c r="X160" s="33"/>
      <c r="Y160" s="33"/>
      <c r="Z160" s="33"/>
    </row>
    <row r="161">
      <c r="E161" s="25" t="b">
        <v>0</v>
      </c>
      <c r="F161" s="25" t="b">
        <v>0</v>
      </c>
      <c r="G161" s="25" t="b">
        <v>1</v>
      </c>
      <c r="H161" s="25" t="b">
        <v>0</v>
      </c>
      <c r="I161" s="27">
        <v>43040.0</v>
      </c>
      <c r="J161" s="27">
        <v>43045.0</v>
      </c>
      <c r="K161" s="28">
        <v>144.0</v>
      </c>
      <c r="L161" s="29" t="s">
        <v>348</v>
      </c>
      <c r="M161" s="30" t="s">
        <v>38</v>
      </c>
      <c r="N161" s="31" t="b">
        <v>1</v>
      </c>
      <c r="O161" s="32" t="b">
        <v>0</v>
      </c>
      <c r="P161" s="32" t="b">
        <v>0</v>
      </c>
      <c r="Q161" s="32" t="b">
        <v>0</v>
      </c>
      <c r="R161" s="32" t="b">
        <v>0</v>
      </c>
      <c r="S161" s="32" t="b">
        <v>1</v>
      </c>
      <c r="T161" s="32" t="b">
        <v>1</v>
      </c>
      <c r="U161" s="32" t="b">
        <v>0</v>
      </c>
      <c r="V161" s="32" t="b">
        <v>0</v>
      </c>
      <c r="W161" s="33" t="s">
        <v>349</v>
      </c>
      <c r="X161" s="33" t="s">
        <v>350</v>
      </c>
      <c r="Y161" s="33" t="s">
        <v>351</v>
      </c>
      <c r="Z161" s="33"/>
    </row>
    <row r="162">
      <c r="A162" s="41">
        <v>2.0</v>
      </c>
      <c r="B162" s="22" t="s">
        <v>352</v>
      </c>
      <c r="C162" s="23" t="s">
        <v>353</v>
      </c>
      <c r="D162" s="24" t="s">
        <v>36</v>
      </c>
      <c r="E162" s="25" t="b">
        <v>0</v>
      </c>
      <c r="F162" s="25" t="b">
        <v>0</v>
      </c>
      <c r="G162" s="25" t="b">
        <v>1</v>
      </c>
      <c r="H162" s="25" t="b">
        <v>0</v>
      </c>
      <c r="I162" s="127">
        <v>44818.0</v>
      </c>
      <c r="J162" s="127">
        <v>44826.0</v>
      </c>
      <c r="K162" s="28">
        <v>192.0</v>
      </c>
      <c r="L162" s="128" t="s">
        <v>354</v>
      </c>
      <c r="M162" s="30" t="s">
        <v>38</v>
      </c>
      <c r="N162" s="65" t="b">
        <v>1</v>
      </c>
      <c r="O162" s="32" t="b">
        <v>0</v>
      </c>
      <c r="P162" s="32" t="b">
        <v>0</v>
      </c>
      <c r="Q162" s="32" t="b">
        <v>0</v>
      </c>
      <c r="R162" s="32" t="b">
        <v>0</v>
      </c>
      <c r="S162" s="32" t="b">
        <v>0</v>
      </c>
      <c r="T162" s="32" t="b">
        <v>0</v>
      </c>
      <c r="U162" s="63" t="b">
        <v>1</v>
      </c>
      <c r="V162" s="32" t="b">
        <v>0</v>
      </c>
      <c r="W162" s="61" t="s">
        <v>39</v>
      </c>
      <c r="X162" s="61" t="s">
        <v>269</v>
      </c>
      <c r="Y162" s="34"/>
      <c r="Z162" s="34"/>
    </row>
    <row r="163">
      <c r="E163" s="25" t="b">
        <v>0</v>
      </c>
      <c r="F163" s="25" t="b">
        <v>0</v>
      </c>
      <c r="G163" s="26" t="b">
        <v>1</v>
      </c>
      <c r="H163" s="25" t="b">
        <v>0</v>
      </c>
      <c r="I163" s="27">
        <v>44252.0</v>
      </c>
      <c r="J163" s="27">
        <v>44252.0</v>
      </c>
      <c r="K163" s="28">
        <v>7.0</v>
      </c>
      <c r="L163" s="29" t="s">
        <v>355</v>
      </c>
      <c r="M163" s="30" t="s">
        <v>38</v>
      </c>
      <c r="N163" s="31" t="b">
        <v>0</v>
      </c>
      <c r="O163" s="32" t="b">
        <v>0</v>
      </c>
      <c r="P163" s="32" t="b">
        <v>0</v>
      </c>
      <c r="Q163" s="32" t="b">
        <v>0</v>
      </c>
      <c r="R163" s="32" t="b">
        <v>0</v>
      </c>
      <c r="S163" s="32" t="b">
        <v>0</v>
      </c>
      <c r="T163" s="32" t="b">
        <v>0</v>
      </c>
      <c r="U163" s="32" t="b">
        <v>0</v>
      </c>
      <c r="V163" s="32" t="b">
        <v>0</v>
      </c>
      <c r="W163" s="33" t="s">
        <v>39</v>
      </c>
      <c r="X163" s="33"/>
      <c r="Y163" s="34"/>
      <c r="Z163" s="34"/>
    </row>
    <row r="164">
      <c r="E164" s="25" t="b">
        <v>1</v>
      </c>
      <c r="F164" s="25" t="b">
        <v>0</v>
      </c>
      <c r="G164" s="25" t="b">
        <v>0</v>
      </c>
      <c r="H164" s="25" t="b">
        <v>0</v>
      </c>
      <c r="I164" s="27">
        <v>42568.0</v>
      </c>
      <c r="J164" s="27">
        <v>42568.0</v>
      </c>
      <c r="K164" s="28">
        <v>1.0</v>
      </c>
      <c r="L164" s="29" t="s">
        <v>356</v>
      </c>
      <c r="M164" s="30" t="s">
        <v>38</v>
      </c>
      <c r="N164" s="80" t="b">
        <v>1</v>
      </c>
      <c r="O164" s="25" t="b">
        <v>1</v>
      </c>
      <c r="P164" s="25" t="b">
        <v>0</v>
      </c>
      <c r="Q164" s="25" t="b">
        <v>0</v>
      </c>
      <c r="R164" s="25" t="b">
        <v>0</v>
      </c>
      <c r="S164" s="25" t="b">
        <v>0</v>
      </c>
      <c r="T164" s="25" t="b">
        <v>0</v>
      </c>
      <c r="U164" s="25" t="b">
        <v>0</v>
      </c>
      <c r="V164" s="25" t="b">
        <v>0</v>
      </c>
      <c r="W164" s="33" t="s">
        <v>357</v>
      </c>
      <c r="X164" s="33"/>
      <c r="Y164" s="34"/>
      <c r="Z164" s="34"/>
    </row>
    <row r="165">
      <c r="A165" s="41">
        <v>3.0</v>
      </c>
      <c r="B165" s="22" t="s">
        <v>358</v>
      </c>
      <c r="C165" s="23" t="s">
        <v>359</v>
      </c>
      <c r="D165" s="24" t="s">
        <v>36</v>
      </c>
      <c r="E165" s="26" t="b">
        <v>0</v>
      </c>
      <c r="F165" s="26" t="b">
        <v>0</v>
      </c>
      <c r="G165" s="26" t="b">
        <v>1</v>
      </c>
      <c r="H165" s="26" t="b">
        <v>0</v>
      </c>
      <c r="I165" s="127">
        <v>45188.0</v>
      </c>
      <c r="J165" s="64" t="s">
        <v>58</v>
      </c>
      <c r="K165" s="28">
        <f>(updateDate!B$1-date(year(I165),month(I165),day(I165)+1))*24</f>
        <v>11232</v>
      </c>
      <c r="L165" s="129" t="s">
        <v>360</v>
      </c>
      <c r="M165" s="114" t="s">
        <v>361</v>
      </c>
      <c r="N165" s="82" t="b">
        <v>0</v>
      </c>
      <c r="O165" s="26" t="b">
        <v>0</v>
      </c>
      <c r="P165" s="26" t="b">
        <v>0</v>
      </c>
      <c r="Q165" s="26" t="b">
        <v>0</v>
      </c>
      <c r="R165" s="26" t="b">
        <v>0</v>
      </c>
      <c r="S165" s="26" t="b">
        <v>0</v>
      </c>
      <c r="T165" s="26" t="b">
        <v>0</v>
      </c>
      <c r="U165" s="26" t="b">
        <v>0</v>
      </c>
      <c r="V165" s="26" t="b">
        <v>0</v>
      </c>
      <c r="W165" s="86" t="s">
        <v>41</v>
      </c>
      <c r="X165" s="119"/>
      <c r="Y165" s="34"/>
      <c r="Z165" s="34"/>
    </row>
    <row r="166">
      <c r="E166" s="25" t="b">
        <v>0</v>
      </c>
      <c r="F166" s="25" t="b">
        <v>0</v>
      </c>
      <c r="G166" s="25" t="b">
        <v>1</v>
      </c>
      <c r="H166" s="25" t="b">
        <v>0</v>
      </c>
      <c r="I166" s="130">
        <v>44818.0</v>
      </c>
      <c r="J166" s="127">
        <v>44870.0</v>
      </c>
      <c r="K166" s="28">
        <v>1248.0</v>
      </c>
      <c r="L166" s="129" t="s">
        <v>354</v>
      </c>
      <c r="M166" s="30" t="s">
        <v>38</v>
      </c>
      <c r="N166" s="131" t="b">
        <v>1</v>
      </c>
      <c r="O166" s="25" t="b">
        <v>0</v>
      </c>
      <c r="P166" s="25" t="b">
        <v>0</v>
      </c>
      <c r="Q166" s="25" t="b">
        <v>0</v>
      </c>
      <c r="R166" s="25" t="b">
        <v>0</v>
      </c>
      <c r="S166" s="25" t="b">
        <v>0</v>
      </c>
      <c r="T166" s="25" t="b">
        <v>0</v>
      </c>
      <c r="U166" s="118" t="b">
        <v>1</v>
      </c>
      <c r="V166" s="25" t="b">
        <v>0</v>
      </c>
      <c r="W166" s="119" t="s">
        <v>39</v>
      </c>
      <c r="X166" s="119" t="s">
        <v>362</v>
      </c>
      <c r="Y166" s="34"/>
      <c r="Z166" s="34"/>
    </row>
    <row r="167">
      <c r="E167" s="25" t="b">
        <v>0</v>
      </c>
      <c r="F167" s="25" t="b">
        <v>0</v>
      </c>
      <c r="G167" s="118" t="b">
        <v>1</v>
      </c>
      <c r="H167" s="25" t="b">
        <v>0</v>
      </c>
      <c r="I167" s="27">
        <v>44101.0</v>
      </c>
      <c r="J167" s="27">
        <v>44146.0</v>
      </c>
      <c r="K167" s="28">
        <v>1080.0</v>
      </c>
      <c r="L167" s="29" t="s">
        <v>363</v>
      </c>
      <c r="M167" s="30" t="s">
        <v>38</v>
      </c>
      <c r="N167" s="80" t="b">
        <v>1</v>
      </c>
      <c r="O167" s="25" t="b">
        <v>1</v>
      </c>
      <c r="P167" s="25" t="b">
        <v>1</v>
      </c>
      <c r="Q167" s="25" t="b">
        <v>1</v>
      </c>
      <c r="R167" s="25" t="b">
        <v>1</v>
      </c>
      <c r="S167" s="25" t="b">
        <v>0</v>
      </c>
      <c r="T167" s="25" t="b">
        <v>1</v>
      </c>
      <c r="U167" s="25" t="b">
        <v>1</v>
      </c>
      <c r="V167" s="25" t="b">
        <v>1</v>
      </c>
      <c r="W167" s="33" t="s">
        <v>41</v>
      </c>
      <c r="X167" s="33" t="s">
        <v>364</v>
      </c>
      <c r="Y167" s="119" t="s">
        <v>365</v>
      </c>
      <c r="Z167" s="119"/>
    </row>
    <row r="168">
      <c r="A168" s="41">
        <v>4.0</v>
      </c>
      <c r="B168" s="22" t="s">
        <v>366</v>
      </c>
      <c r="C168" s="23" t="s">
        <v>367</v>
      </c>
      <c r="D168" s="24" t="s">
        <v>36</v>
      </c>
      <c r="E168" s="25" t="b">
        <v>0</v>
      </c>
      <c r="F168" s="25" t="b">
        <v>0</v>
      </c>
      <c r="G168" s="25" t="b">
        <v>1</v>
      </c>
      <c r="H168" s="25" t="b">
        <v>0</v>
      </c>
      <c r="I168" s="27">
        <v>42522.0</v>
      </c>
      <c r="J168" s="27">
        <v>44348.0</v>
      </c>
      <c r="K168" s="28">
        <v>43800.0</v>
      </c>
      <c r="L168" s="29" t="s">
        <v>368</v>
      </c>
      <c r="M168" s="30" t="s">
        <v>38</v>
      </c>
      <c r="N168" s="31" t="b">
        <v>1</v>
      </c>
      <c r="O168" s="32" t="b">
        <v>0</v>
      </c>
      <c r="P168" s="32" t="b">
        <v>0</v>
      </c>
      <c r="Q168" s="32" t="b">
        <v>0</v>
      </c>
      <c r="R168" s="32" t="b">
        <v>0</v>
      </c>
      <c r="S168" s="32" t="b">
        <v>1</v>
      </c>
      <c r="T168" s="32" t="b">
        <v>0</v>
      </c>
      <c r="U168" s="32" t="b">
        <v>0</v>
      </c>
      <c r="V168" s="32" t="b">
        <v>0</v>
      </c>
      <c r="W168" s="33" t="s">
        <v>369</v>
      </c>
      <c r="X168" s="33" t="s">
        <v>151</v>
      </c>
      <c r="Y168" s="34"/>
      <c r="Z168" s="34"/>
    </row>
    <row r="169">
      <c r="A169" s="41">
        <v>5.0</v>
      </c>
      <c r="B169" s="22" t="s">
        <v>370</v>
      </c>
      <c r="C169" s="23" t="s">
        <v>371</v>
      </c>
      <c r="D169" s="16" t="s">
        <v>30</v>
      </c>
      <c r="E169" s="43" t="b">
        <v>1</v>
      </c>
      <c r="F169" s="42" t="b">
        <v>0</v>
      </c>
      <c r="G169" s="42" t="b">
        <v>0</v>
      </c>
      <c r="H169" s="42" t="b">
        <v>0</v>
      </c>
      <c r="I169" s="98">
        <v>45509.0</v>
      </c>
      <c r="J169" s="98">
        <v>45509.0</v>
      </c>
      <c r="K169" s="45">
        <v>4.0</v>
      </c>
      <c r="L169" s="55" t="s">
        <v>372</v>
      </c>
      <c r="M169" s="30" t="s">
        <v>38</v>
      </c>
      <c r="N169" s="132" t="b">
        <v>0</v>
      </c>
      <c r="O169" s="43" t="b">
        <v>0</v>
      </c>
      <c r="P169" s="42" t="b">
        <v>0</v>
      </c>
      <c r="Q169" s="43" t="b">
        <v>0</v>
      </c>
      <c r="R169" s="43" t="b">
        <v>0</v>
      </c>
      <c r="S169" s="42" t="b">
        <v>0</v>
      </c>
      <c r="T169" s="43" t="b">
        <v>0</v>
      </c>
      <c r="U169" s="43" t="b">
        <v>0</v>
      </c>
      <c r="V169" s="42" t="b">
        <v>0</v>
      </c>
      <c r="W169" s="61" t="s">
        <v>125</v>
      </c>
      <c r="X169" s="33"/>
      <c r="Y169" s="34"/>
      <c r="Z169" s="34"/>
    </row>
    <row r="170">
      <c r="E170" s="43" t="b">
        <v>1</v>
      </c>
      <c r="F170" s="42" t="b">
        <v>0</v>
      </c>
      <c r="G170" s="42" t="b">
        <v>0</v>
      </c>
      <c r="H170" s="42" t="b">
        <v>0</v>
      </c>
      <c r="I170" s="98">
        <v>45506.0</v>
      </c>
      <c r="J170" s="133" t="s">
        <v>58</v>
      </c>
      <c r="K170" s="28">
        <f>(updateDate!B$1-date(year(I170),month(I170),day(I170)+1))*24</f>
        <v>3600</v>
      </c>
      <c r="L170" s="55" t="s">
        <v>373</v>
      </c>
      <c r="M170" s="30" t="s">
        <v>38</v>
      </c>
      <c r="N170" s="132" t="b">
        <v>1</v>
      </c>
      <c r="O170" s="43" t="b">
        <v>1</v>
      </c>
      <c r="P170" s="42" t="b">
        <v>0</v>
      </c>
      <c r="Q170" s="43" t="b">
        <v>0</v>
      </c>
      <c r="R170" s="43" t="b">
        <v>0</v>
      </c>
      <c r="S170" s="42" t="b">
        <v>0</v>
      </c>
      <c r="T170" s="43" t="b">
        <v>1</v>
      </c>
      <c r="U170" s="43" t="b">
        <v>0</v>
      </c>
      <c r="V170" s="42" t="b">
        <v>0</v>
      </c>
      <c r="W170" s="33" t="s">
        <v>374</v>
      </c>
      <c r="X170" s="33" t="s">
        <v>375</v>
      </c>
      <c r="Y170" s="34"/>
      <c r="Z170" s="34"/>
    </row>
    <row r="171">
      <c r="E171" s="102" t="b">
        <v>1</v>
      </c>
      <c r="F171" s="42" t="b">
        <v>0</v>
      </c>
      <c r="G171" s="42" t="b">
        <v>0</v>
      </c>
      <c r="H171" s="42" t="b">
        <v>0</v>
      </c>
      <c r="I171" s="93">
        <v>45491.0</v>
      </c>
      <c r="J171" s="93">
        <v>45501.0</v>
      </c>
      <c r="K171" s="134">
        <v>264.0</v>
      </c>
      <c r="L171" s="135" t="s">
        <v>376</v>
      </c>
      <c r="M171" s="136" t="s">
        <v>38</v>
      </c>
      <c r="N171" s="137" t="b">
        <v>0</v>
      </c>
      <c r="O171" s="102" t="b">
        <v>0</v>
      </c>
      <c r="P171" s="42" t="b">
        <v>0</v>
      </c>
      <c r="Q171" s="42" t="b">
        <v>0</v>
      </c>
      <c r="R171" s="42" t="b">
        <v>0</v>
      </c>
      <c r="S171" s="42" t="b">
        <v>0</v>
      </c>
      <c r="T171" s="42" t="b">
        <v>0</v>
      </c>
      <c r="U171" s="42" t="b">
        <v>0</v>
      </c>
      <c r="V171" s="42" t="b">
        <v>0</v>
      </c>
      <c r="W171" s="33" t="s">
        <v>39</v>
      </c>
      <c r="X171" s="54"/>
      <c r="Y171" s="34"/>
      <c r="Z171" s="34"/>
    </row>
    <row r="172">
      <c r="E172" s="26" t="b">
        <v>1</v>
      </c>
      <c r="F172" s="25" t="b">
        <v>0</v>
      </c>
      <c r="G172" s="25" t="b">
        <v>0</v>
      </c>
      <c r="H172" s="25" t="b">
        <v>0</v>
      </c>
      <c r="I172" s="60">
        <v>45489.0</v>
      </c>
      <c r="J172" s="60">
        <v>45504.0</v>
      </c>
      <c r="K172" s="45">
        <v>360.0</v>
      </c>
      <c r="L172" s="87" t="s">
        <v>377</v>
      </c>
      <c r="M172" s="30" t="s">
        <v>38</v>
      </c>
      <c r="N172" s="65" t="b">
        <v>1</v>
      </c>
      <c r="O172" s="63" t="b">
        <v>1</v>
      </c>
      <c r="P172" s="32" t="b">
        <v>0</v>
      </c>
      <c r="Q172" s="32" t="b">
        <v>0</v>
      </c>
      <c r="R172" s="32" t="b">
        <v>0</v>
      </c>
      <c r="S172" s="32" t="b">
        <v>0</v>
      </c>
      <c r="T172" s="32" t="b">
        <v>0</v>
      </c>
      <c r="U172" s="32" t="b">
        <v>0</v>
      </c>
      <c r="V172" s="32" t="b">
        <v>0</v>
      </c>
      <c r="W172" s="86" t="s">
        <v>378</v>
      </c>
      <c r="X172" s="33"/>
      <c r="Y172" s="34"/>
      <c r="Z172" s="34"/>
    </row>
    <row r="173">
      <c r="E173" s="25" t="b">
        <v>1</v>
      </c>
      <c r="F173" s="25" t="b">
        <v>0</v>
      </c>
      <c r="G173" s="25" t="b">
        <v>0</v>
      </c>
      <c r="H173" s="25" t="b">
        <v>0</v>
      </c>
      <c r="I173" s="27">
        <v>44281.0</v>
      </c>
      <c r="J173" s="27">
        <v>44284.0</v>
      </c>
      <c r="K173" s="28">
        <v>72.0</v>
      </c>
      <c r="L173" s="29" t="s">
        <v>379</v>
      </c>
      <c r="M173" s="30" t="s">
        <v>38</v>
      </c>
      <c r="N173" s="31" t="b">
        <v>1</v>
      </c>
      <c r="O173" s="32" t="b">
        <v>1</v>
      </c>
      <c r="P173" s="32" t="b">
        <v>0</v>
      </c>
      <c r="Q173" s="32" t="b">
        <v>0</v>
      </c>
      <c r="R173" s="32" t="b">
        <v>0</v>
      </c>
      <c r="S173" s="32" t="b">
        <v>0</v>
      </c>
      <c r="T173" s="32" t="b">
        <v>0</v>
      </c>
      <c r="U173" s="32" t="b">
        <v>0</v>
      </c>
      <c r="V173" s="32" t="b">
        <v>0</v>
      </c>
      <c r="W173" s="33" t="s">
        <v>41</v>
      </c>
      <c r="X173" s="33"/>
      <c r="Y173" s="34"/>
      <c r="Z173" s="34"/>
    </row>
    <row r="174">
      <c r="E174" s="25" t="b">
        <v>1</v>
      </c>
      <c r="F174" s="25" t="b">
        <v>0</v>
      </c>
      <c r="G174" s="25" t="b">
        <v>0</v>
      </c>
      <c r="H174" s="25" t="b">
        <v>0</v>
      </c>
      <c r="I174" s="27">
        <v>43710.0</v>
      </c>
      <c r="J174" s="27">
        <v>44071.0</v>
      </c>
      <c r="K174" s="28">
        <v>8496.0</v>
      </c>
      <c r="L174" s="29" t="s">
        <v>380</v>
      </c>
      <c r="M174" s="30" t="s">
        <v>381</v>
      </c>
      <c r="N174" s="31" t="b">
        <v>0</v>
      </c>
      <c r="O174" s="32" t="b">
        <v>0</v>
      </c>
      <c r="P174" s="32" t="b">
        <v>0</v>
      </c>
      <c r="Q174" s="32" t="b">
        <v>0</v>
      </c>
      <c r="R174" s="32" t="b">
        <v>0</v>
      </c>
      <c r="S174" s="32" t="b">
        <v>0</v>
      </c>
      <c r="T174" s="32" t="b">
        <v>0</v>
      </c>
      <c r="U174" s="32" t="b">
        <v>0</v>
      </c>
      <c r="V174" s="32" t="b">
        <v>0</v>
      </c>
      <c r="W174" s="33" t="s">
        <v>52</v>
      </c>
      <c r="X174" s="33" t="s">
        <v>149</v>
      </c>
      <c r="Y174" s="34"/>
      <c r="Z174" s="34"/>
    </row>
    <row r="175">
      <c r="E175" s="25" t="b">
        <v>0</v>
      </c>
      <c r="F175" s="25" t="b">
        <v>1</v>
      </c>
      <c r="G175" s="25" t="b">
        <v>0</v>
      </c>
      <c r="H175" s="25" t="b">
        <v>0</v>
      </c>
      <c r="I175" s="27">
        <v>43463.0</v>
      </c>
      <c r="J175" s="27">
        <v>43464.0</v>
      </c>
      <c r="K175" s="28">
        <v>48.0</v>
      </c>
      <c r="L175" s="29" t="s">
        <v>382</v>
      </c>
      <c r="M175" s="30" t="s">
        <v>38</v>
      </c>
      <c r="N175" s="31" t="b">
        <v>0</v>
      </c>
      <c r="O175" s="32" t="b">
        <v>0</v>
      </c>
      <c r="P175" s="32" t="b">
        <v>0</v>
      </c>
      <c r="Q175" s="32" t="b">
        <v>0</v>
      </c>
      <c r="R175" s="32" t="b">
        <v>0</v>
      </c>
      <c r="S175" s="32" t="b">
        <v>0</v>
      </c>
      <c r="T175" s="32" t="b">
        <v>0</v>
      </c>
      <c r="U175" s="32" t="b">
        <v>0</v>
      </c>
      <c r="V175" s="32" t="b">
        <v>0</v>
      </c>
      <c r="W175" s="33" t="s">
        <v>52</v>
      </c>
      <c r="X175" s="33"/>
      <c r="Y175" s="34"/>
      <c r="Z175" s="34"/>
    </row>
    <row r="176">
      <c r="E176" s="25" t="b">
        <v>0</v>
      </c>
      <c r="F176" s="25" t="b">
        <v>1</v>
      </c>
      <c r="G176" s="25" t="b">
        <v>0</v>
      </c>
      <c r="H176" s="25" t="b">
        <v>0</v>
      </c>
      <c r="I176" s="27">
        <v>43461.0</v>
      </c>
      <c r="J176" s="27">
        <v>43495.0</v>
      </c>
      <c r="K176" s="28">
        <v>96.0</v>
      </c>
      <c r="L176" s="29" t="s">
        <v>383</v>
      </c>
      <c r="M176" s="30" t="s">
        <v>38</v>
      </c>
      <c r="N176" s="31" t="b">
        <v>1</v>
      </c>
      <c r="O176" s="32" t="b">
        <v>1</v>
      </c>
      <c r="P176" s="32" t="b">
        <v>0</v>
      </c>
      <c r="Q176" s="32" t="b">
        <v>0</v>
      </c>
      <c r="R176" s="32" t="b">
        <v>0</v>
      </c>
      <c r="S176" s="32" t="b">
        <v>0</v>
      </c>
      <c r="T176" s="32" t="b">
        <v>0</v>
      </c>
      <c r="U176" s="32" t="b">
        <v>1</v>
      </c>
      <c r="V176" s="32" t="b">
        <v>0</v>
      </c>
      <c r="W176" s="33" t="s">
        <v>52</v>
      </c>
      <c r="X176" s="33"/>
      <c r="Y176" s="34"/>
      <c r="Z176" s="34"/>
    </row>
    <row r="177">
      <c r="E177" s="25" t="b">
        <v>1</v>
      </c>
      <c r="F177" s="25" t="b">
        <v>0</v>
      </c>
      <c r="G177" s="25" t="b">
        <v>0</v>
      </c>
      <c r="H177" s="25" t="b">
        <v>0</v>
      </c>
      <c r="I177" s="27">
        <v>43316.0</v>
      </c>
      <c r="J177" s="27">
        <v>43317.0</v>
      </c>
      <c r="K177" s="28">
        <v>12.0</v>
      </c>
      <c r="L177" s="29" t="s">
        <v>384</v>
      </c>
      <c r="M177" s="30" t="s">
        <v>38</v>
      </c>
      <c r="N177" s="31" t="b">
        <v>0</v>
      </c>
      <c r="O177" s="32" t="b">
        <v>0</v>
      </c>
      <c r="P177" s="32" t="b">
        <v>0</v>
      </c>
      <c r="Q177" s="32" t="b">
        <v>0</v>
      </c>
      <c r="R177" s="32" t="b">
        <v>0</v>
      </c>
      <c r="S177" s="32" t="b">
        <v>0</v>
      </c>
      <c r="T177" s="32" t="b">
        <v>0</v>
      </c>
      <c r="U177" s="32" t="b">
        <v>0</v>
      </c>
      <c r="V177" s="32" t="b">
        <v>0</v>
      </c>
      <c r="W177" s="33" t="s">
        <v>41</v>
      </c>
      <c r="X177" s="33"/>
      <c r="Y177" s="34"/>
      <c r="Z177" s="34"/>
    </row>
    <row r="178">
      <c r="E178" s="25" t="b">
        <v>0</v>
      </c>
      <c r="F178" s="25" t="b">
        <v>0</v>
      </c>
      <c r="G178" s="25" t="b">
        <v>1</v>
      </c>
      <c r="H178" s="25" t="b">
        <v>0</v>
      </c>
      <c r="I178" s="27">
        <v>42326.0</v>
      </c>
      <c r="J178" s="27">
        <v>42347.0</v>
      </c>
      <c r="K178" s="28">
        <v>528.0</v>
      </c>
      <c r="L178" s="55" t="s">
        <v>385</v>
      </c>
      <c r="M178" s="30" t="s">
        <v>38</v>
      </c>
      <c r="N178" s="31" t="b">
        <v>1</v>
      </c>
      <c r="O178" s="32" t="b">
        <v>1</v>
      </c>
      <c r="P178" s="32" t="b">
        <v>0</v>
      </c>
      <c r="Q178" s="32" t="b">
        <v>0</v>
      </c>
      <c r="R178" s="32" t="b">
        <v>0</v>
      </c>
      <c r="S178" s="32" t="b">
        <v>0</v>
      </c>
      <c r="T178" s="32" t="b">
        <v>1</v>
      </c>
      <c r="U178" s="32" t="b">
        <v>1</v>
      </c>
      <c r="V178" s="32" t="b">
        <v>0</v>
      </c>
      <c r="W178" s="33" t="s">
        <v>73</v>
      </c>
      <c r="X178" s="33" t="s">
        <v>386</v>
      </c>
      <c r="Y178" s="34"/>
      <c r="Z178" s="34"/>
    </row>
    <row r="179">
      <c r="A179" s="41">
        <v>6.0</v>
      </c>
      <c r="B179" s="22" t="s">
        <v>387</v>
      </c>
      <c r="C179" s="23" t="s">
        <v>388</v>
      </c>
      <c r="D179" s="35" t="s">
        <v>29</v>
      </c>
      <c r="E179" s="25" t="b">
        <v>0</v>
      </c>
      <c r="F179" s="25" t="b">
        <v>0</v>
      </c>
      <c r="G179" s="25" t="b">
        <v>0</v>
      </c>
      <c r="H179" s="25" t="b">
        <v>0</v>
      </c>
      <c r="I179" s="36" t="s">
        <v>47</v>
      </c>
      <c r="J179" s="36" t="s">
        <v>47</v>
      </c>
      <c r="K179" s="28" t="s">
        <v>47</v>
      </c>
      <c r="L179" s="37" t="s">
        <v>47</v>
      </c>
      <c r="M179" s="27" t="s">
        <v>47</v>
      </c>
      <c r="N179" s="31" t="b">
        <v>0</v>
      </c>
      <c r="O179" s="32" t="b">
        <v>0</v>
      </c>
      <c r="P179" s="32" t="b">
        <v>0</v>
      </c>
      <c r="Q179" s="32" t="b">
        <v>0</v>
      </c>
      <c r="R179" s="32" t="b">
        <v>0</v>
      </c>
      <c r="S179" s="32" t="b">
        <v>0</v>
      </c>
      <c r="T179" s="32" t="b">
        <v>0</v>
      </c>
      <c r="U179" s="32" t="b">
        <v>0</v>
      </c>
      <c r="V179" s="32" t="b">
        <v>0</v>
      </c>
      <c r="W179" s="34"/>
      <c r="X179" s="34"/>
      <c r="Y179" s="34"/>
      <c r="Z179" s="34"/>
    </row>
    <row r="180">
      <c r="A180" s="41">
        <v>7.0</v>
      </c>
      <c r="B180" s="22" t="s">
        <v>389</v>
      </c>
      <c r="C180" s="23" t="s">
        <v>390</v>
      </c>
      <c r="D180" s="35" t="s">
        <v>29</v>
      </c>
      <c r="E180" s="25" t="b">
        <v>0</v>
      </c>
      <c r="F180" s="25" t="b">
        <v>0</v>
      </c>
      <c r="G180" s="25" t="b">
        <v>0</v>
      </c>
      <c r="H180" s="25" t="b">
        <v>0</v>
      </c>
      <c r="I180" s="36" t="s">
        <v>47</v>
      </c>
      <c r="J180" s="36" t="s">
        <v>47</v>
      </c>
      <c r="K180" s="28" t="s">
        <v>47</v>
      </c>
      <c r="L180" s="37" t="s">
        <v>47</v>
      </c>
      <c r="M180" s="27" t="s">
        <v>47</v>
      </c>
      <c r="N180" s="31" t="b">
        <v>0</v>
      </c>
      <c r="O180" s="32" t="b">
        <v>0</v>
      </c>
      <c r="P180" s="32" t="b">
        <v>0</v>
      </c>
      <c r="Q180" s="32" t="b">
        <v>0</v>
      </c>
      <c r="R180" s="32" t="b">
        <v>0</v>
      </c>
      <c r="S180" s="32" t="b">
        <v>0</v>
      </c>
      <c r="T180" s="32" t="b">
        <v>0</v>
      </c>
      <c r="U180" s="32" t="b">
        <v>0</v>
      </c>
      <c r="V180" s="32" t="b">
        <v>0</v>
      </c>
      <c r="W180" s="34"/>
      <c r="X180" s="34"/>
      <c r="Y180" s="34"/>
      <c r="Z180" s="34"/>
    </row>
    <row r="181">
      <c r="A181" s="41">
        <v>8.0</v>
      </c>
      <c r="B181" s="22" t="s">
        <v>391</v>
      </c>
      <c r="C181" s="23" t="s">
        <v>392</v>
      </c>
      <c r="D181" s="35" t="s">
        <v>29</v>
      </c>
      <c r="E181" s="25" t="b">
        <v>0</v>
      </c>
      <c r="F181" s="25" t="b">
        <v>0</v>
      </c>
      <c r="G181" s="25" t="b">
        <v>0</v>
      </c>
      <c r="H181" s="25" t="b">
        <v>0</v>
      </c>
      <c r="I181" s="36" t="s">
        <v>47</v>
      </c>
      <c r="J181" s="36" t="s">
        <v>47</v>
      </c>
      <c r="K181" s="28" t="s">
        <v>47</v>
      </c>
      <c r="L181" s="37" t="s">
        <v>47</v>
      </c>
      <c r="M181" s="27" t="s">
        <v>47</v>
      </c>
      <c r="N181" s="31" t="b">
        <v>0</v>
      </c>
      <c r="O181" s="32" t="b">
        <v>0</v>
      </c>
      <c r="P181" s="32" t="b">
        <v>0</v>
      </c>
      <c r="Q181" s="32" t="b">
        <v>0</v>
      </c>
      <c r="R181" s="32" t="b">
        <v>0</v>
      </c>
      <c r="S181" s="32" t="b">
        <v>0</v>
      </c>
      <c r="T181" s="32" t="b">
        <v>0</v>
      </c>
      <c r="U181" s="32" t="b">
        <v>0</v>
      </c>
      <c r="V181" s="32" t="b">
        <v>0</v>
      </c>
      <c r="W181" s="34"/>
      <c r="X181" s="34"/>
      <c r="Y181" s="34"/>
      <c r="Z181" s="34"/>
    </row>
    <row r="182">
      <c r="A182" s="41">
        <v>9.0</v>
      </c>
      <c r="B182" s="22" t="s">
        <v>393</v>
      </c>
      <c r="C182" s="23" t="s">
        <v>394</v>
      </c>
      <c r="D182" s="18" t="s">
        <v>32</v>
      </c>
      <c r="E182" s="25" t="b">
        <v>0</v>
      </c>
      <c r="F182" s="25" t="b">
        <v>0</v>
      </c>
      <c r="G182" s="25" t="b">
        <v>1</v>
      </c>
      <c r="H182" s="25" t="b">
        <v>0</v>
      </c>
      <c r="I182" s="27">
        <v>39995.0</v>
      </c>
      <c r="J182" s="27" t="s">
        <v>58</v>
      </c>
      <c r="K182" s="28">
        <f>(updateDate!B$1-date(year(I182),month(I182),day(I182)+1))*24</f>
        <v>135864</v>
      </c>
      <c r="L182" s="138" t="s">
        <v>395</v>
      </c>
      <c r="M182" s="30" t="s">
        <v>38</v>
      </c>
      <c r="N182" s="31" t="b">
        <v>1</v>
      </c>
      <c r="O182" s="32" t="b">
        <v>1</v>
      </c>
      <c r="P182" s="32" t="b">
        <v>1</v>
      </c>
      <c r="Q182" s="32" t="b">
        <v>1</v>
      </c>
      <c r="R182" s="32" t="b">
        <v>0</v>
      </c>
      <c r="S182" s="32" t="b">
        <v>0</v>
      </c>
      <c r="T182" s="32" t="b">
        <v>0</v>
      </c>
      <c r="U182" s="32" t="b">
        <v>0</v>
      </c>
      <c r="V182" s="32" t="b">
        <v>0</v>
      </c>
      <c r="W182" s="33" t="s">
        <v>65</v>
      </c>
      <c r="X182" s="33" t="s">
        <v>396</v>
      </c>
      <c r="Y182" s="34"/>
      <c r="Z182" s="34"/>
    </row>
    <row r="183">
      <c r="E183" s="25" t="b">
        <v>1</v>
      </c>
      <c r="F183" s="25" t="b">
        <v>0</v>
      </c>
      <c r="G183" s="25" t="b">
        <v>0</v>
      </c>
      <c r="H183" s="25" t="b">
        <v>0</v>
      </c>
      <c r="I183" s="27">
        <v>42642.0</v>
      </c>
      <c r="J183" s="27" t="s">
        <v>58</v>
      </c>
      <c r="K183" s="28">
        <f>(updateDate!B$1-date(year(I183),month(I183),day(I183)+1))*24</f>
        <v>72336</v>
      </c>
      <c r="L183" s="55" t="s">
        <v>397</v>
      </c>
      <c r="M183" s="30" t="s">
        <v>38</v>
      </c>
      <c r="N183" s="31" t="b">
        <v>1</v>
      </c>
      <c r="O183" s="32" t="b">
        <v>0</v>
      </c>
      <c r="P183" s="32" t="b">
        <v>0</v>
      </c>
      <c r="Q183" s="32" t="b">
        <v>0</v>
      </c>
      <c r="R183" s="32" t="b">
        <v>1</v>
      </c>
      <c r="S183" s="32" t="b">
        <v>0</v>
      </c>
      <c r="T183" s="32" t="b">
        <v>0</v>
      </c>
      <c r="U183" s="32" t="b">
        <v>0</v>
      </c>
      <c r="V183" s="32" t="b">
        <v>0</v>
      </c>
      <c r="W183" s="33" t="s">
        <v>85</v>
      </c>
      <c r="X183" s="34"/>
      <c r="Y183" s="34"/>
      <c r="Z183" s="34"/>
    </row>
    <row r="184">
      <c r="E184" s="25" t="b">
        <v>0</v>
      </c>
      <c r="F184" s="25" t="b">
        <v>0</v>
      </c>
      <c r="G184" s="25" t="b">
        <v>1</v>
      </c>
      <c r="H184" s="25" t="b">
        <v>0</v>
      </c>
      <c r="I184" s="27">
        <v>42564.0</v>
      </c>
      <c r="J184" s="27" t="s">
        <v>58</v>
      </c>
      <c r="K184" s="28">
        <f>(updateDate!B$1-date(year(I184),month(I184),day(I184)+1))*24</f>
        <v>74208</v>
      </c>
      <c r="L184" s="55" t="s">
        <v>398</v>
      </c>
      <c r="M184" s="30" t="s">
        <v>38</v>
      </c>
      <c r="N184" s="31" t="b">
        <v>1</v>
      </c>
      <c r="O184" s="32" t="b">
        <v>0</v>
      </c>
      <c r="P184" s="32" t="b">
        <v>0</v>
      </c>
      <c r="Q184" s="32" t="b">
        <v>0</v>
      </c>
      <c r="R184" s="32" t="b">
        <v>0</v>
      </c>
      <c r="S184" s="32" t="b">
        <v>1</v>
      </c>
      <c r="T184" s="32" t="b">
        <v>0</v>
      </c>
      <c r="U184" s="32" t="b">
        <v>0</v>
      </c>
      <c r="V184" s="32" t="b">
        <v>0</v>
      </c>
      <c r="W184" s="33" t="s">
        <v>399</v>
      </c>
      <c r="X184" s="34"/>
      <c r="Y184" s="34"/>
      <c r="Z184" s="34"/>
    </row>
    <row r="185">
      <c r="E185" s="25" t="b">
        <v>0</v>
      </c>
      <c r="F185" s="25" t="b">
        <v>0</v>
      </c>
      <c r="G185" s="25" t="b">
        <v>1</v>
      </c>
      <c r="H185" s="25" t="b">
        <v>0</v>
      </c>
      <c r="I185" s="27">
        <v>42979.0</v>
      </c>
      <c r="J185" s="27" t="s">
        <v>58</v>
      </c>
      <c r="K185" s="28">
        <f>(updateDate!B$1-date(year(I185),month(I185),day(I185)+1))*24</f>
        <v>64248</v>
      </c>
      <c r="L185" s="55" t="s">
        <v>400</v>
      </c>
      <c r="M185" s="30" t="s">
        <v>38</v>
      </c>
      <c r="N185" s="31" t="b">
        <v>1</v>
      </c>
      <c r="O185" s="32" t="b">
        <v>0</v>
      </c>
      <c r="P185" s="32" t="b">
        <v>0</v>
      </c>
      <c r="Q185" s="32" t="b">
        <v>0</v>
      </c>
      <c r="R185" s="32" t="b">
        <v>0</v>
      </c>
      <c r="S185" s="32" t="b">
        <v>0</v>
      </c>
      <c r="T185" s="32" t="b">
        <v>1</v>
      </c>
      <c r="U185" s="32" t="b">
        <v>0</v>
      </c>
      <c r="V185" s="32" t="b">
        <v>0</v>
      </c>
      <c r="W185" s="33" t="s">
        <v>401</v>
      </c>
      <c r="X185" s="34"/>
      <c r="Y185" s="34"/>
      <c r="Z185" s="34"/>
    </row>
    <row r="186">
      <c r="A186" s="41">
        <v>10.0</v>
      </c>
      <c r="B186" s="22" t="s">
        <v>402</v>
      </c>
      <c r="C186" s="23" t="s">
        <v>403</v>
      </c>
      <c r="D186" s="18" t="s">
        <v>32</v>
      </c>
      <c r="E186" s="25" t="b">
        <v>0</v>
      </c>
      <c r="F186" s="25" t="b">
        <v>0</v>
      </c>
      <c r="G186" s="25" t="b">
        <v>1</v>
      </c>
      <c r="H186" s="25" t="b">
        <v>0</v>
      </c>
      <c r="I186" s="27">
        <v>43084.0</v>
      </c>
      <c r="J186" s="27" t="s">
        <v>58</v>
      </c>
      <c r="K186" s="28">
        <f>(updateDate!B$1-date(year(I186),month(I186),day(I186)+1))*24</f>
        <v>61728</v>
      </c>
      <c r="L186" s="121" t="s">
        <v>404</v>
      </c>
      <c r="M186" s="30" t="s">
        <v>38</v>
      </c>
      <c r="N186" s="80" t="b">
        <v>1</v>
      </c>
      <c r="O186" s="25" t="b">
        <v>0</v>
      </c>
      <c r="P186" s="25" t="b">
        <v>0</v>
      </c>
      <c r="Q186" s="25" t="b">
        <v>0</v>
      </c>
      <c r="R186" s="25" t="b">
        <v>0</v>
      </c>
      <c r="S186" s="25" t="b">
        <v>0</v>
      </c>
      <c r="T186" s="25" t="b">
        <v>1</v>
      </c>
      <c r="U186" s="25" t="b">
        <v>0</v>
      </c>
      <c r="V186" s="25" t="b">
        <v>0</v>
      </c>
      <c r="W186" s="33" t="s">
        <v>405</v>
      </c>
      <c r="X186" s="33"/>
      <c r="Y186" s="33"/>
      <c r="Z186" s="33"/>
    </row>
    <row r="187">
      <c r="E187" s="25" t="b">
        <v>0</v>
      </c>
      <c r="F187" s="25" t="b">
        <v>0</v>
      </c>
      <c r="G187" s="25" t="b">
        <v>1</v>
      </c>
      <c r="H187" s="25" t="b">
        <v>0</v>
      </c>
      <c r="I187" s="60">
        <v>42461.0</v>
      </c>
      <c r="J187" s="27" t="s">
        <v>58</v>
      </c>
      <c r="K187" s="28">
        <f>(updateDate!B$1-date(year(I187),month(I187),day(I187)+1))*24</f>
        <v>76680</v>
      </c>
      <c r="L187" s="121" t="s">
        <v>406</v>
      </c>
      <c r="M187" s="30" t="s">
        <v>38</v>
      </c>
      <c r="N187" s="80" t="b">
        <v>1</v>
      </c>
      <c r="O187" s="25" t="b">
        <v>1</v>
      </c>
      <c r="P187" s="25" t="b">
        <v>1</v>
      </c>
      <c r="Q187" s="25" t="b">
        <v>1</v>
      </c>
      <c r="R187" s="25" t="b">
        <v>0</v>
      </c>
      <c r="S187" s="25" t="b">
        <v>0</v>
      </c>
      <c r="T187" s="25" t="b">
        <v>0</v>
      </c>
      <c r="U187" s="25" t="b">
        <v>0</v>
      </c>
      <c r="V187" s="25" t="b">
        <v>0</v>
      </c>
      <c r="W187" s="33" t="s">
        <v>407</v>
      </c>
      <c r="X187" s="33" t="s">
        <v>98</v>
      </c>
      <c r="Y187" s="33"/>
      <c r="Z187" s="33"/>
    </row>
    <row r="188">
      <c r="E188" s="25" t="b">
        <v>0</v>
      </c>
      <c r="F188" s="25" t="b">
        <v>0</v>
      </c>
      <c r="G188" s="25" t="b">
        <v>1</v>
      </c>
      <c r="H188" s="25" t="b">
        <v>0</v>
      </c>
      <c r="I188" s="27">
        <v>42177.0</v>
      </c>
      <c r="J188" s="27" t="s">
        <v>58</v>
      </c>
      <c r="K188" s="28">
        <f>(updateDate!B$1-date(year(I188),month(I188),day(I188)+1))*24</f>
        <v>83496</v>
      </c>
      <c r="L188" s="121" t="s">
        <v>408</v>
      </c>
      <c r="M188" s="30" t="s">
        <v>38</v>
      </c>
      <c r="N188" s="80" t="b">
        <v>1</v>
      </c>
      <c r="O188" s="25" t="b">
        <v>0</v>
      </c>
      <c r="P188" s="25" t="b">
        <v>0</v>
      </c>
      <c r="Q188" s="25" t="b">
        <v>0</v>
      </c>
      <c r="R188" s="25" t="b">
        <v>1</v>
      </c>
      <c r="S188" s="25" t="b">
        <v>0</v>
      </c>
      <c r="T188" s="25" t="b">
        <v>0</v>
      </c>
      <c r="U188" s="25" t="b">
        <v>0</v>
      </c>
      <c r="V188" s="25" t="b">
        <v>0</v>
      </c>
      <c r="W188" s="33" t="s">
        <v>407</v>
      </c>
      <c r="X188" s="33"/>
      <c r="Y188" s="33"/>
      <c r="Z188" s="33"/>
    </row>
    <row r="189">
      <c r="A189" s="41">
        <v>11.0</v>
      </c>
      <c r="B189" s="22" t="s">
        <v>409</v>
      </c>
      <c r="C189" s="23" t="s">
        <v>410</v>
      </c>
      <c r="D189" s="24" t="s">
        <v>36</v>
      </c>
      <c r="E189" s="25" t="b">
        <v>0</v>
      </c>
      <c r="F189" s="25" t="b">
        <v>0</v>
      </c>
      <c r="G189" s="25" t="b">
        <v>1</v>
      </c>
      <c r="H189" s="25" t="b">
        <v>0</v>
      </c>
      <c r="I189" s="27">
        <v>42522.0</v>
      </c>
      <c r="J189" s="27">
        <v>42522.0</v>
      </c>
      <c r="K189" s="28">
        <v>3.0</v>
      </c>
      <c r="L189" s="29" t="s">
        <v>411</v>
      </c>
      <c r="M189" s="30" t="s">
        <v>38</v>
      </c>
      <c r="N189" s="31" t="b">
        <v>1</v>
      </c>
      <c r="O189" s="32" t="b">
        <v>0</v>
      </c>
      <c r="P189" s="32" t="b">
        <v>0</v>
      </c>
      <c r="Q189" s="32" t="b">
        <v>0</v>
      </c>
      <c r="R189" s="32" t="b">
        <v>0</v>
      </c>
      <c r="S189" s="32" t="b">
        <v>0</v>
      </c>
      <c r="T189" s="32" t="b">
        <v>0</v>
      </c>
      <c r="U189" s="32" t="b">
        <v>1</v>
      </c>
      <c r="V189" s="32" t="b">
        <v>0</v>
      </c>
      <c r="W189" s="33" t="s">
        <v>412</v>
      </c>
      <c r="X189" s="33"/>
      <c r="Y189" s="34"/>
      <c r="Z189" s="34"/>
    </row>
    <row r="190">
      <c r="E190" s="25" t="b">
        <v>0</v>
      </c>
      <c r="F190" s="25" t="b">
        <v>0</v>
      </c>
      <c r="G190" s="25" t="b">
        <v>1</v>
      </c>
      <c r="H190" s="25" t="b">
        <v>0</v>
      </c>
      <c r="I190" s="27">
        <v>42440.0</v>
      </c>
      <c r="J190" s="27">
        <v>42440.0</v>
      </c>
      <c r="K190" s="28">
        <v>2.0</v>
      </c>
      <c r="L190" s="29" t="s">
        <v>413</v>
      </c>
      <c r="M190" s="30" t="s">
        <v>38</v>
      </c>
      <c r="N190" s="31" t="b">
        <v>1</v>
      </c>
      <c r="O190" s="32" t="b">
        <v>0</v>
      </c>
      <c r="P190" s="32" t="b">
        <v>0</v>
      </c>
      <c r="Q190" s="32" t="b">
        <v>1</v>
      </c>
      <c r="R190" s="32" t="b">
        <v>0</v>
      </c>
      <c r="S190" s="32" t="b">
        <v>0</v>
      </c>
      <c r="T190" s="32" t="b">
        <v>0</v>
      </c>
      <c r="U190" s="32" t="b">
        <v>0</v>
      </c>
      <c r="V190" s="32" t="b">
        <v>0</v>
      </c>
      <c r="W190" s="33" t="s">
        <v>412</v>
      </c>
      <c r="X190" s="33"/>
      <c r="Y190" s="34"/>
      <c r="Z190" s="34"/>
    </row>
    <row r="191">
      <c r="A191" s="41">
        <v>12.0</v>
      </c>
      <c r="B191" s="22" t="s">
        <v>414</v>
      </c>
      <c r="C191" s="23" t="s">
        <v>415</v>
      </c>
      <c r="D191" s="35" t="s">
        <v>29</v>
      </c>
      <c r="E191" s="25" t="b">
        <v>0</v>
      </c>
      <c r="F191" s="25" t="b">
        <v>0</v>
      </c>
      <c r="G191" s="25" t="b">
        <v>0</v>
      </c>
      <c r="H191" s="25" t="b">
        <v>0</v>
      </c>
      <c r="I191" s="36" t="s">
        <v>47</v>
      </c>
      <c r="J191" s="36" t="s">
        <v>47</v>
      </c>
      <c r="K191" s="28" t="s">
        <v>47</v>
      </c>
      <c r="L191" s="37" t="s">
        <v>47</v>
      </c>
      <c r="M191" s="27" t="s">
        <v>47</v>
      </c>
      <c r="N191" s="31" t="b">
        <v>0</v>
      </c>
      <c r="O191" s="32" t="b">
        <v>0</v>
      </c>
      <c r="P191" s="32" t="b">
        <v>0</v>
      </c>
      <c r="Q191" s="32" t="b">
        <v>0</v>
      </c>
      <c r="R191" s="32" t="b">
        <v>0</v>
      </c>
      <c r="S191" s="32" t="b">
        <v>0</v>
      </c>
      <c r="T191" s="32" t="b">
        <v>0</v>
      </c>
      <c r="U191" s="32" t="b">
        <v>0</v>
      </c>
      <c r="V191" s="32" t="b">
        <v>0</v>
      </c>
      <c r="W191" s="33"/>
      <c r="X191" s="33"/>
      <c r="Y191" s="34"/>
      <c r="Z191" s="34"/>
    </row>
    <row r="192">
      <c r="A192" s="139">
        <v>13.0</v>
      </c>
      <c r="B192" s="22" t="s">
        <v>416</v>
      </c>
      <c r="C192" s="23" t="s">
        <v>417</v>
      </c>
      <c r="D192" s="16" t="s">
        <v>30</v>
      </c>
      <c r="E192" s="102" t="b">
        <v>1</v>
      </c>
      <c r="F192" s="42" t="b">
        <v>0</v>
      </c>
      <c r="G192" s="102" t="b">
        <v>0</v>
      </c>
      <c r="H192" s="42" t="b">
        <v>0</v>
      </c>
      <c r="I192" s="140">
        <v>45640.0</v>
      </c>
      <c r="J192" s="140">
        <v>45641.0</v>
      </c>
      <c r="K192" s="134">
        <v>24.0</v>
      </c>
      <c r="L192" s="141" t="s">
        <v>418</v>
      </c>
      <c r="M192" s="142" t="s">
        <v>419</v>
      </c>
      <c r="N192" s="132" t="b">
        <v>0</v>
      </c>
      <c r="O192" s="42" t="b">
        <v>0</v>
      </c>
      <c r="P192" s="42" t="b">
        <v>0</v>
      </c>
      <c r="Q192" s="42" t="b">
        <v>0</v>
      </c>
      <c r="R192" s="42" t="b">
        <v>0</v>
      </c>
      <c r="S192" s="42" t="b">
        <v>0</v>
      </c>
      <c r="T192" s="42" t="b">
        <v>0</v>
      </c>
      <c r="U192" s="42" t="b">
        <v>0</v>
      </c>
      <c r="V192" s="42" t="b">
        <v>0</v>
      </c>
      <c r="W192" s="97" t="s">
        <v>420</v>
      </c>
      <c r="X192" s="51"/>
      <c r="Y192" s="143"/>
      <c r="Z192" s="144"/>
    </row>
    <row r="193">
      <c r="E193" s="102" t="b">
        <v>1</v>
      </c>
      <c r="F193" s="42" t="b">
        <v>0</v>
      </c>
      <c r="G193" s="102" t="b">
        <v>0</v>
      </c>
      <c r="H193" s="42" t="b">
        <v>0</v>
      </c>
      <c r="I193" s="140">
        <v>45632.0</v>
      </c>
      <c r="J193" s="140">
        <v>45633.0</v>
      </c>
      <c r="K193" s="134">
        <v>24.0</v>
      </c>
      <c r="L193" s="141" t="s">
        <v>421</v>
      </c>
      <c r="M193" s="142" t="s">
        <v>419</v>
      </c>
      <c r="N193" s="48" t="b">
        <v>0</v>
      </c>
      <c r="O193" s="42" t="b">
        <v>0</v>
      </c>
      <c r="P193" s="42" t="b">
        <v>0</v>
      </c>
      <c r="Q193" s="42" t="b">
        <v>0</v>
      </c>
      <c r="R193" s="42" t="b">
        <v>0</v>
      </c>
      <c r="S193" s="42" t="b">
        <v>0</v>
      </c>
      <c r="T193" s="42" t="b">
        <v>0</v>
      </c>
      <c r="U193" s="42" t="b">
        <v>0</v>
      </c>
      <c r="V193" s="42" t="b">
        <v>0</v>
      </c>
      <c r="W193" s="97" t="s">
        <v>420</v>
      </c>
      <c r="X193" s="51"/>
      <c r="Y193" s="143"/>
      <c r="Z193" s="144"/>
    </row>
    <row r="194">
      <c r="E194" s="102" t="b">
        <v>0</v>
      </c>
      <c r="F194" s="42" t="b">
        <v>0</v>
      </c>
      <c r="G194" s="102" t="b">
        <v>1</v>
      </c>
      <c r="H194" s="42" t="b">
        <v>0</v>
      </c>
      <c r="I194" s="140">
        <v>45620.0</v>
      </c>
      <c r="J194" s="140">
        <v>45621.0</v>
      </c>
      <c r="K194" s="134">
        <v>24.0</v>
      </c>
      <c r="L194" s="141" t="s">
        <v>422</v>
      </c>
      <c r="M194" s="145" t="s">
        <v>423</v>
      </c>
      <c r="N194" s="48" t="b">
        <v>0</v>
      </c>
      <c r="O194" s="42" t="b">
        <v>0</v>
      </c>
      <c r="P194" s="42" t="b">
        <v>0</v>
      </c>
      <c r="Q194" s="42" t="b">
        <v>0</v>
      </c>
      <c r="R194" s="42" t="b">
        <v>0</v>
      </c>
      <c r="S194" s="42" t="b">
        <v>0</v>
      </c>
      <c r="T194" s="42" t="b">
        <v>0</v>
      </c>
      <c r="U194" s="42" t="b">
        <v>0</v>
      </c>
      <c r="V194" s="42" t="b">
        <v>0</v>
      </c>
      <c r="W194" s="97" t="s">
        <v>420</v>
      </c>
      <c r="X194" s="51"/>
      <c r="Y194" s="143"/>
      <c r="Z194" s="144"/>
    </row>
    <row r="195">
      <c r="E195" s="102" t="b">
        <v>0</v>
      </c>
      <c r="F195" s="42" t="b">
        <v>0</v>
      </c>
      <c r="G195" s="102" t="b">
        <v>1</v>
      </c>
      <c r="H195" s="42" t="b">
        <v>0</v>
      </c>
      <c r="I195" s="140">
        <v>45612.0</v>
      </c>
      <c r="J195" s="140">
        <v>45612.0</v>
      </c>
      <c r="K195" s="134">
        <v>24.0</v>
      </c>
      <c r="L195" s="141" t="s">
        <v>424</v>
      </c>
      <c r="M195" s="145" t="s">
        <v>425</v>
      </c>
      <c r="N195" s="48" t="b">
        <v>0</v>
      </c>
      <c r="O195" s="42" t="b">
        <v>0</v>
      </c>
      <c r="P195" s="42" t="b">
        <v>0</v>
      </c>
      <c r="Q195" s="42" t="b">
        <v>0</v>
      </c>
      <c r="R195" s="42" t="b">
        <v>0</v>
      </c>
      <c r="S195" s="42" t="b">
        <v>0</v>
      </c>
      <c r="T195" s="42" t="b">
        <v>0</v>
      </c>
      <c r="U195" s="42" t="b">
        <v>0</v>
      </c>
      <c r="V195" s="42" t="b">
        <v>0</v>
      </c>
      <c r="W195" s="97" t="s">
        <v>420</v>
      </c>
      <c r="X195" s="51"/>
      <c r="Y195" s="143"/>
      <c r="Z195" s="144"/>
    </row>
    <row r="196">
      <c r="E196" s="102" t="b">
        <v>0</v>
      </c>
      <c r="F196" s="42" t="b">
        <v>0</v>
      </c>
      <c r="G196" s="102" t="b">
        <v>1</v>
      </c>
      <c r="H196" s="42" t="b">
        <v>0</v>
      </c>
      <c r="I196" s="140">
        <v>45612.0</v>
      </c>
      <c r="J196" s="140">
        <v>45633.0</v>
      </c>
      <c r="K196" s="134">
        <v>504.0</v>
      </c>
      <c r="L196" s="141" t="s">
        <v>426</v>
      </c>
      <c r="M196" s="145" t="s">
        <v>427</v>
      </c>
      <c r="N196" s="48" t="b">
        <v>0</v>
      </c>
      <c r="O196" s="42" t="b">
        <v>0</v>
      </c>
      <c r="P196" s="42" t="b">
        <v>0</v>
      </c>
      <c r="Q196" s="42" t="b">
        <v>0</v>
      </c>
      <c r="R196" s="42" t="b">
        <v>0</v>
      </c>
      <c r="S196" s="42" t="b">
        <v>0</v>
      </c>
      <c r="T196" s="42" t="b">
        <v>0</v>
      </c>
      <c r="U196" s="42" t="b">
        <v>0</v>
      </c>
      <c r="V196" s="42" t="b">
        <v>0</v>
      </c>
      <c r="W196" s="97" t="s">
        <v>428</v>
      </c>
      <c r="X196" s="97" t="s">
        <v>420</v>
      </c>
      <c r="Y196" s="143"/>
      <c r="Z196" s="144"/>
    </row>
    <row r="197">
      <c r="E197" s="102" t="b">
        <v>0</v>
      </c>
      <c r="F197" s="42" t="b">
        <v>0</v>
      </c>
      <c r="G197" s="102" t="b">
        <v>1</v>
      </c>
      <c r="H197" s="42" t="b">
        <v>0</v>
      </c>
      <c r="I197" s="93">
        <v>45608.0</v>
      </c>
      <c r="J197" s="93">
        <v>45495.0</v>
      </c>
      <c r="K197" s="134">
        <v>24.0</v>
      </c>
      <c r="L197" s="141" t="s">
        <v>429</v>
      </c>
      <c r="M197" s="145" t="s">
        <v>430</v>
      </c>
      <c r="N197" s="48" t="b">
        <v>0</v>
      </c>
      <c r="O197" s="42" t="b">
        <v>0</v>
      </c>
      <c r="P197" s="42" t="b">
        <v>0</v>
      </c>
      <c r="Q197" s="42" t="b">
        <v>0</v>
      </c>
      <c r="R197" s="42" t="b">
        <v>0</v>
      </c>
      <c r="S197" s="42" t="b">
        <v>0</v>
      </c>
      <c r="T197" s="42" t="b">
        <v>0</v>
      </c>
      <c r="U197" s="42" t="b">
        <v>0</v>
      </c>
      <c r="V197" s="42" t="b">
        <v>0</v>
      </c>
      <c r="W197" s="146" t="s">
        <v>431</v>
      </c>
      <c r="X197" s="51"/>
      <c r="Y197" s="143"/>
      <c r="Z197" s="144"/>
    </row>
    <row r="198">
      <c r="E198" s="102" t="b">
        <v>1</v>
      </c>
      <c r="F198" s="42" t="b">
        <v>0</v>
      </c>
      <c r="G198" s="102" t="b">
        <v>0</v>
      </c>
      <c r="H198" s="42" t="b">
        <v>0</v>
      </c>
      <c r="I198" s="93">
        <v>45580.0</v>
      </c>
      <c r="J198" s="93">
        <v>45583.0</v>
      </c>
      <c r="K198" s="94">
        <v>72.0</v>
      </c>
      <c r="L198" s="141" t="s">
        <v>432</v>
      </c>
      <c r="M198" s="145" t="s">
        <v>433</v>
      </c>
      <c r="N198" s="48" t="b">
        <v>0</v>
      </c>
      <c r="O198" s="42" t="b">
        <v>0</v>
      </c>
      <c r="P198" s="42" t="b">
        <v>0</v>
      </c>
      <c r="Q198" s="42" t="b">
        <v>0</v>
      </c>
      <c r="R198" s="42" t="b">
        <v>0</v>
      </c>
      <c r="S198" s="42" t="b">
        <v>0</v>
      </c>
      <c r="T198" s="42" t="b">
        <v>0</v>
      </c>
      <c r="U198" s="42" t="b">
        <v>0</v>
      </c>
      <c r="V198" s="42" t="b">
        <v>0</v>
      </c>
      <c r="W198" s="97" t="s">
        <v>434</v>
      </c>
      <c r="X198" s="51"/>
      <c r="Y198" s="143"/>
      <c r="Z198" s="144"/>
    </row>
    <row r="199">
      <c r="E199" s="102" t="b">
        <v>1</v>
      </c>
      <c r="F199" s="42" t="b">
        <v>0</v>
      </c>
      <c r="G199" s="102" t="b">
        <v>0</v>
      </c>
      <c r="H199" s="42" t="b">
        <v>0</v>
      </c>
      <c r="I199" s="93">
        <v>45579.0</v>
      </c>
      <c r="J199" s="93">
        <v>45579.0</v>
      </c>
      <c r="K199" s="94">
        <v>24.0</v>
      </c>
      <c r="L199" s="141" t="s">
        <v>435</v>
      </c>
      <c r="M199" s="145" t="s">
        <v>436</v>
      </c>
      <c r="N199" s="48" t="b">
        <v>0</v>
      </c>
      <c r="O199" s="42" t="b">
        <v>0</v>
      </c>
      <c r="P199" s="42" t="b">
        <v>0</v>
      </c>
      <c r="Q199" s="42" t="b">
        <v>0</v>
      </c>
      <c r="R199" s="42" t="b">
        <v>0</v>
      </c>
      <c r="S199" s="42" t="b">
        <v>0</v>
      </c>
      <c r="T199" s="42" t="b">
        <v>0</v>
      </c>
      <c r="U199" s="42" t="b">
        <v>0</v>
      </c>
      <c r="V199" s="42" t="b">
        <v>0</v>
      </c>
      <c r="W199" s="97" t="s">
        <v>437</v>
      </c>
      <c r="X199" s="51"/>
      <c r="Y199" s="143"/>
      <c r="Z199" s="144"/>
    </row>
    <row r="200">
      <c r="E200" s="102" t="b">
        <v>1</v>
      </c>
      <c r="F200" s="42" t="b">
        <v>0</v>
      </c>
      <c r="G200" s="102" t="b">
        <v>0</v>
      </c>
      <c r="H200" s="42" t="b">
        <v>0</v>
      </c>
      <c r="I200" s="93">
        <v>45563.0</v>
      </c>
      <c r="J200" s="93">
        <v>45565.0</v>
      </c>
      <c r="K200" s="94">
        <v>48.0</v>
      </c>
      <c r="L200" s="141" t="s">
        <v>438</v>
      </c>
      <c r="M200" s="145" t="s">
        <v>439</v>
      </c>
      <c r="N200" s="48" t="b">
        <v>0</v>
      </c>
      <c r="O200" s="42" t="b">
        <v>0</v>
      </c>
      <c r="P200" s="42" t="b">
        <v>0</v>
      </c>
      <c r="Q200" s="42" t="b">
        <v>0</v>
      </c>
      <c r="R200" s="42" t="b">
        <v>0</v>
      </c>
      <c r="S200" s="42" t="b">
        <v>0</v>
      </c>
      <c r="T200" s="42" t="b">
        <v>0</v>
      </c>
      <c r="U200" s="42" t="b">
        <v>0</v>
      </c>
      <c r="V200" s="42" t="b">
        <v>0</v>
      </c>
      <c r="W200" s="97" t="s">
        <v>440</v>
      </c>
      <c r="X200" s="54"/>
      <c r="Y200" s="144"/>
      <c r="Z200" s="144"/>
    </row>
    <row r="201">
      <c r="E201" s="102" t="b">
        <v>0</v>
      </c>
      <c r="F201" s="42" t="b">
        <v>0</v>
      </c>
      <c r="G201" s="102" t="b">
        <v>1</v>
      </c>
      <c r="H201" s="42" t="b">
        <v>0</v>
      </c>
      <c r="I201" s="98">
        <v>45556.0</v>
      </c>
      <c r="J201" s="98">
        <v>45557.0</v>
      </c>
      <c r="K201" s="147">
        <v>6.0</v>
      </c>
      <c r="L201" s="100" t="s">
        <v>441</v>
      </c>
      <c r="M201" s="145" t="s">
        <v>442</v>
      </c>
      <c r="N201" s="48" t="b">
        <v>0</v>
      </c>
      <c r="O201" s="42" t="b">
        <v>0</v>
      </c>
      <c r="P201" s="42" t="b">
        <v>0</v>
      </c>
      <c r="Q201" s="42" t="b">
        <v>0</v>
      </c>
      <c r="R201" s="42" t="b">
        <v>0</v>
      </c>
      <c r="S201" s="42" t="b">
        <v>0</v>
      </c>
      <c r="T201" s="42" t="b">
        <v>0</v>
      </c>
      <c r="U201" s="42" t="b">
        <v>0</v>
      </c>
      <c r="V201" s="42" t="b">
        <v>0</v>
      </c>
      <c r="W201" s="54" t="s">
        <v>443</v>
      </c>
      <c r="X201" s="54"/>
      <c r="Y201" s="144"/>
      <c r="Z201" s="144"/>
    </row>
    <row r="202">
      <c r="E202" s="102" t="b">
        <v>0</v>
      </c>
      <c r="F202" s="42" t="b">
        <v>0</v>
      </c>
      <c r="G202" s="102" t="b">
        <v>1</v>
      </c>
      <c r="H202" s="42" t="b">
        <v>0</v>
      </c>
      <c r="I202" s="98">
        <v>45540.0</v>
      </c>
      <c r="J202" s="98">
        <v>45541.0</v>
      </c>
      <c r="K202" s="147">
        <v>24.0</v>
      </c>
      <c r="L202" s="141" t="s">
        <v>444</v>
      </c>
      <c r="M202" s="145" t="s">
        <v>445</v>
      </c>
      <c r="N202" s="48" t="b">
        <v>0</v>
      </c>
      <c r="O202" s="42" t="b">
        <v>0</v>
      </c>
      <c r="P202" s="42" t="b">
        <v>0</v>
      </c>
      <c r="Q202" s="42" t="b">
        <v>0</v>
      </c>
      <c r="R202" s="42" t="b">
        <v>0</v>
      </c>
      <c r="S202" s="42" t="b">
        <v>0</v>
      </c>
      <c r="T202" s="42" t="b">
        <v>0</v>
      </c>
      <c r="U202" s="42" t="b">
        <v>0</v>
      </c>
      <c r="V202" s="42" t="b">
        <v>0</v>
      </c>
      <c r="W202" s="79" t="s">
        <v>446</v>
      </c>
      <c r="X202" s="79"/>
      <c r="Y202" s="144"/>
      <c r="Z202" s="144"/>
    </row>
    <row r="203">
      <c r="E203" s="102" t="b">
        <v>1</v>
      </c>
      <c r="F203" s="42" t="b">
        <v>0</v>
      </c>
      <c r="G203" s="102" t="b">
        <v>0</v>
      </c>
      <c r="H203" s="42" t="b">
        <v>0</v>
      </c>
      <c r="I203" s="98">
        <v>45545.0</v>
      </c>
      <c r="J203" s="98">
        <v>45550.0</v>
      </c>
      <c r="K203" s="147">
        <v>120.0</v>
      </c>
      <c r="L203" s="141" t="s">
        <v>447</v>
      </c>
      <c r="M203" s="145" t="s">
        <v>427</v>
      </c>
      <c r="N203" s="48" t="b">
        <v>0</v>
      </c>
      <c r="O203" s="42" t="b">
        <v>0</v>
      </c>
      <c r="P203" s="42" t="b">
        <v>0</v>
      </c>
      <c r="Q203" s="42" t="b">
        <v>0</v>
      </c>
      <c r="R203" s="42" t="b">
        <v>0</v>
      </c>
      <c r="S203" s="42" t="b">
        <v>0</v>
      </c>
      <c r="T203" s="42" t="b">
        <v>0</v>
      </c>
      <c r="U203" s="42" t="b">
        <v>0</v>
      </c>
      <c r="V203" s="42" t="b">
        <v>0</v>
      </c>
      <c r="W203" s="79" t="s">
        <v>448</v>
      </c>
      <c r="X203" s="79"/>
      <c r="Y203" s="144"/>
      <c r="Z203" s="144"/>
    </row>
    <row r="204">
      <c r="E204" s="102" t="b">
        <v>0</v>
      </c>
      <c r="F204" s="42" t="b">
        <v>0</v>
      </c>
      <c r="G204" s="102" t="b">
        <v>1</v>
      </c>
      <c r="H204" s="42" t="b">
        <v>0</v>
      </c>
      <c r="I204" s="98">
        <v>45550.0</v>
      </c>
      <c r="J204" s="98">
        <v>45551.0</v>
      </c>
      <c r="K204" s="147">
        <v>24.0</v>
      </c>
      <c r="L204" s="141" t="s">
        <v>449</v>
      </c>
      <c r="M204" s="145" t="s">
        <v>450</v>
      </c>
      <c r="N204" s="48" t="b">
        <v>0</v>
      </c>
      <c r="O204" s="42" t="b">
        <v>0</v>
      </c>
      <c r="P204" s="42" t="b">
        <v>0</v>
      </c>
      <c r="Q204" s="42" t="b">
        <v>0</v>
      </c>
      <c r="R204" s="42" t="b">
        <v>0</v>
      </c>
      <c r="S204" s="42" t="b">
        <v>0</v>
      </c>
      <c r="T204" s="42" t="b">
        <v>0</v>
      </c>
      <c r="U204" s="42" t="b">
        <v>0</v>
      </c>
      <c r="V204" s="42" t="b">
        <v>0</v>
      </c>
      <c r="W204" s="79" t="s">
        <v>386</v>
      </c>
      <c r="X204" s="79"/>
      <c r="Y204" s="144"/>
      <c r="Z204" s="144"/>
    </row>
    <row r="205">
      <c r="E205" s="43" t="b">
        <v>1</v>
      </c>
      <c r="F205" s="42" t="b">
        <v>0</v>
      </c>
      <c r="G205" s="43" t="b">
        <v>0</v>
      </c>
      <c r="H205" s="42" t="b">
        <v>0</v>
      </c>
      <c r="I205" s="98">
        <v>45525.0</v>
      </c>
      <c r="J205" s="98">
        <v>45526.0</v>
      </c>
      <c r="K205" s="147">
        <v>24.0</v>
      </c>
      <c r="L205" s="100" t="s">
        <v>451</v>
      </c>
      <c r="M205" s="100" t="s">
        <v>452</v>
      </c>
      <c r="N205" s="48" t="b">
        <v>0</v>
      </c>
      <c r="O205" s="42" t="b">
        <v>0</v>
      </c>
      <c r="P205" s="42" t="b">
        <v>0</v>
      </c>
      <c r="Q205" s="42" t="b">
        <v>0</v>
      </c>
      <c r="R205" s="42" t="b">
        <v>0</v>
      </c>
      <c r="S205" s="42" t="b">
        <v>0</v>
      </c>
      <c r="T205" s="42" t="b">
        <v>0</v>
      </c>
      <c r="U205" s="42" t="b">
        <v>0</v>
      </c>
      <c r="V205" s="42" t="b">
        <v>0</v>
      </c>
      <c r="W205" s="49" t="s">
        <v>453</v>
      </c>
      <c r="X205" s="54"/>
      <c r="Y205" s="144"/>
      <c r="Z205" s="144"/>
    </row>
    <row r="206">
      <c r="E206" s="102" t="b">
        <v>0</v>
      </c>
      <c r="F206" s="42" t="b">
        <v>0</v>
      </c>
      <c r="G206" s="43" t="b">
        <v>1</v>
      </c>
      <c r="H206" s="42" t="b">
        <v>0</v>
      </c>
      <c r="I206" s="98">
        <v>45521.0</v>
      </c>
      <c r="J206" s="98">
        <v>45523.0</v>
      </c>
      <c r="K206" s="147">
        <v>72.0</v>
      </c>
      <c r="L206" s="100" t="s">
        <v>454</v>
      </c>
      <c r="M206" s="100" t="s">
        <v>455</v>
      </c>
      <c r="N206" s="48" t="b">
        <v>0</v>
      </c>
      <c r="O206" s="42" t="b">
        <v>0</v>
      </c>
      <c r="P206" s="42" t="b">
        <v>0</v>
      </c>
      <c r="Q206" s="42" t="b">
        <v>0</v>
      </c>
      <c r="R206" s="42" t="b">
        <v>0</v>
      </c>
      <c r="S206" s="42" t="b">
        <v>0</v>
      </c>
      <c r="T206" s="42" t="b">
        <v>0</v>
      </c>
      <c r="U206" s="42" t="b">
        <v>0</v>
      </c>
      <c r="V206" s="42" t="b">
        <v>0</v>
      </c>
      <c r="W206" s="49" t="s">
        <v>453</v>
      </c>
      <c r="X206" s="54"/>
      <c r="Y206" s="144"/>
      <c r="Z206" s="144"/>
    </row>
    <row r="207">
      <c r="E207" s="102" t="b">
        <v>0</v>
      </c>
      <c r="F207" s="42" t="b">
        <v>0</v>
      </c>
      <c r="G207" s="102" t="b">
        <v>1</v>
      </c>
      <c r="H207" s="42" t="b">
        <v>0</v>
      </c>
      <c r="I207" s="93">
        <v>45494.0</v>
      </c>
      <c r="J207" s="93">
        <v>45495.0</v>
      </c>
      <c r="K207" s="134">
        <v>24.0</v>
      </c>
      <c r="L207" s="100" t="s">
        <v>456</v>
      </c>
      <c r="M207" s="141" t="s">
        <v>457</v>
      </c>
      <c r="N207" s="48" t="b">
        <v>0</v>
      </c>
      <c r="O207" s="42" t="b">
        <v>0</v>
      </c>
      <c r="P207" s="42" t="b">
        <v>0</v>
      </c>
      <c r="Q207" s="42" t="b">
        <v>0</v>
      </c>
      <c r="R207" s="42" t="b">
        <v>0</v>
      </c>
      <c r="S207" s="42" t="b">
        <v>0</v>
      </c>
      <c r="T207" s="42" t="b">
        <v>0</v>
      </c>
      <c r="U207" s="42" t="b">
        <v>0</v>
      </c>
      <c r="V207" s="42" t="b">
        <v>0</v>
      </c>
      <c r="W207" s="49" t="s">
        <v>458</v>
      </c>
      <c r="X207" s="54"/>
      <c r="Y207" s="144"/>
      <c r="Z207" s="144"/>
    </row>
    <row r="208">
      <c r="E208" s="82" t="b">
        <v>0</v>
      </c>
      <c r="F208" s="80" t="b">
        <v>0</v>
      </c>
      <c r="G208" s="82" t="b">
        <v>1</v>
      </c>
      <c r="H208" s="80" t="b">
        <v>0</v>
      </c>
      <c r="I208" s="148">
        <v>45461.0</v>
      </c>
      <c r="J208" s="148">
        <v>45465.0</v>
      </c>
      <c r="K208" s="45">
        <v>96.0</v>
      </c>
      <c r="L208" s="149" t="s">
        <v>459</v>
      </c>
      <c r="M208" s="150" t="s">
        <v>460</v>
      </c>
      <c r="N208" s="80" t="b">
        <v>0</v>
      </c>
      <c r="O208" s="80" t="b">
        <v>0</v>
      </c>
      <c r="P208" s="80" t="b">
        <v>0</v>
      </c>
      <c r="Q208" s="80" t="b">
        <v>0</v>
      </c>
      <c r="R208" s="80" t="b">
        <v>0</v>
      </c>
      <c r="S208" s="80" t="b">
        <v>0</v>
      </c>
      <c r="T208" s="80" t="b">
        <v>0</v>
      </c>
      <c r="U208" s="80" t="b">
        <v>0</v>
      </c>
      <c r="V208" s="80" t="b">
        <v>0</v>
      </c>
      <c r="W208" s="86" t="s">
        <v>461</v>
      </c>
      <c r="X208" s="79"/>
      <c r="Y208" s="144"/>
      <c r="Z208" s="144"/>
    </row>
    <row r="209">
      <c r="E209" s="82" t="b">
        <v>1</v>
      </c>
      <c r="F209" s="80" t="b">
        <v>0</v>
      </c>
      <c r="G209" s="80" t="b">
        <v>0</v>
      </c>
      <c r="H209" s="80" t="b">
        <v>0</v>
      </c>
      <c r="I209" s="148">
        <v>45433.0</v>
      </c>
      <c r="J209" s="148">
        <v>45435.0</v>
      </c>
      <c r="K209" s="45">
        <v>48.0</v>
      </c>
      <c r="L209" s="151" t="s">
        <v>462</v>
      </c>
      <c r="M209" s="150" t="s">
        <v>463</v>
      </c>
      <c r="N209" s="80" t="b">
        <v>0</v>
      </c>
      <c r="O209" s="80" t="b">
        <v>0</v>
      </c>
      <c r="P209" s="80" t="b">
        <v>0</v>
      </c>
      <c r="Q209" s="80" t="b">
        <v>0</v>
      </c>
      <c r="R209" s="80" t="b">
        <v>0</v>
      </c>
      <c r="S209" s="80" t="b">
        <v>0</v>
      </c>
      <c r="T209" s="80" t="b">
        <v>0</v>
      </c>
      <c r="U209" s="80" t="b">
        <v>0</v>
      </c>
      <c r="V209" s="80" t="b">
        <v>0</v>
      </c>
      <c r="W209" s="152" t="s">
        <v>464</v>
      </c>
      <c r="X209" s="79"/>
      <c r="Y209" s="144"/>
      <c r="Z209" s="144"/>
    </row>
    <row r="210">
      <c r="E210" s="82" t="b">
        <v>1</v>
      </c>
      <c r="F210" s="80" t="b">
        <v>0</v>
      </c>
      <c r="G210" s="80" t="b">
        <v>0</v>
      </c>
      <c r="H210" s="80" t="b">
        <v>0</v>
      </c>
      <c r="I210" s="148">
        <v>45426.0</v>
      </c>
      <c r="J210" s="148">
        <v>45428.0</v>
      </c>
      <c r="K210" s="45">
        <v>48.0</v>
      </c>
      <c r="L210" s="151" t="s">
        <v>465</v>
      </c>
      <c r="M210" s="150" t="s">
        <v>463</v>
      </c>
      <c r="N210" s="80" t="b">
        <v>0</v>
      </c>
      <c r="O210" s="80" t="b">
        <v>0</v>
      </c>
      <c r="P210" s="80" t="b">
        <v>0</v>
      </c>
      <c r="Q210" s="80" t="b">
        <v>0</v>
      </c>
      <c r="R210" s="80" t="b">
        <v>0</v>
      </c>
      <c r="S210" s="80" t="b">
        <v>0</v>
      </c>
      <c r="T210" s="80" t="b">
        <v>0</v>
      </c>
      <c r="U210" s="80" t="b">
        <v>0</v>
      </c>
      <c r="V210" s="80" t="b">
        <v>0</v>
      </c>
      <c r="W210" s="152" t="s">
        <v>466</v>
      </c>
      <c r="X210" s="79"/>
      <c r="Y210" s="144"/>
      <c r="Z210" s="144"/>
    </row>
    <row r="211">
      <c r="E211" s="82" t="b">
        <v>1</v>
      </c>
      <c r="F211" s="80" t="b">
        <v>0</v>
      </c>
      <c r="G211" s="80" t="b">
        <v>0</v>
      </c>
      <c r="H211" s="80" t="b">
        <v>0</v>
      </c>
      <c r="I211" s="148">
        <v>45388.0</v>
      </c>
      <c r="J211" s="148">
        <v>45389.0</v>
      </c>
      <c r="K211" s="45">
        <v>24.0</v>
      </c>
      <c r="L211" s="153" t="s">
        <v>467</v>
      </c>
      <c r="M211" s="150" t="s">
        <v>468</v>
      </c>
      <c r="N211" s="80" t="b">
        <v>0</v>
      </c>
      <c r="O211" s="80" t="b">
        <v>0</v>
      </c>
      <c r="P211" s="80" t="b">
        <v>0</v>
      </c>
      <c r="Q211" s="80" t="b">
        <v>0</v>
      </c>
      <c r="R211" s="80" t="b">
        <v>0</v>
      </c>
      <c r="S211" s="80" t="b">
        <v>0</v>
      </c>
      <c r="T211" s="80" t="b">
        <v>0</v>
      </c>
      <c r="U211" s="80" t="b">
        <v>0</v>
      </c>
      <c r="V211" s="80" t="b">
        <v>0</v>
      </c>
      <c r="W211" s="154" t="s">
        <v>469</v>
      </c>
      <c r="X211" s="79"/>
      <c r="Y211" s="144"/>
      <c r="Z211" s="144"/>
    </row>
    <row r="212">
      <c r="E212" s="80" t="b">
        <v>1</v>
      </c>
      <c r="F212" s="80" t="b">
        <v>0</v>
      </c>
      <c r="G212" s="80" t="b">
        <v>0</v>
      </c>
      <c r="H212" s="80" t="b">
        <v>0</v>
      </c>
      <c r="I212" s="148">
        <v>45338.0</v>
      </c>
      <c r="J212" s="148">
        <v>45353.0</v>
      </c>
      <c r="K212" s="45">
        <v>384.0</v>
      </c>
      <c r="L212" s="155" t="s">
        <v>470</v>
      </c>
      <c r="M212" s="40" t="s">
        <v>427</v>
      </c>
      <c r="N212" s="80" t="b">
        <v>0</v>
      </c>
      <c r="O212" s="80" t="b">
        <v>0</v>
      </c>
      <c r="P212" s="80" t="b">
        <v>0</v>
      </c>
      <c r="Q212" s="80" t="b">
        <v>0</v>
      </c>
      <c r="R212" s="80" t="b">
        <v>0</v>
      </c>
      <c r="S212" s="80" t="b">
        <v>0</v>
      </c>
      <c r="T212" s="80" t="b">
        <v>0</v>
      </c>
      <c r="U212" s="80" t="b">
        <v>0</v>
      </c>
      <c r="V212" s="80" t="b">
        <v>0</v>
      </c>
      <c r="W212" s="156" t="s">
        <v>471</v>
      </c>
      <c r="X212" s="79"/>
      <c r="Y212" s="144"/>
      <c r="Z212" s="144"/>
    </row>
    <row r="213">
      <c r="E213" s="82" t="b">
        <v>1</v>
      </c>
      <c r="F213" s="80" t="b">
        <v>0</v>
      </c>
      <c r="G213" s="80" t="b">
        <v>0</v>
      </c>
      <c r="H213" s="80" t="b">
        <v>0</v>
      </c>
      <c r="I213" s="148">
        <v>45333.0</v>
      </c>
      <c r="J213" s="148">
        <v>45351.0</v>
      </c>
      <c r="K213" s="45">
        <v>456.0</v>
      </c>
      <c r="L213" s="157" t="s">
        <v>472</v>
      </c>
      <c r="M213" s="150" t="s">
        <v>419</v>
      </c>
      <c r="N213" s="80" t="b">
        <v>0</v>
      </c>
      <c r="O213" s="80" t="b">
        <v>0</v>
      </c>
      <c r="P213" s="80" t="b">
        <v>0</v>
      </c>
      <c r="Q213" s="80" t="b">
        <v>0</v>
      </c>
      <c r="R213" s="80" t="b">
        <v>0</v>
      </c>
      <c r="S213" s="80" t="b">
        <v>0</v>
      </c>
      <c r="T213" s="80" t="b">
        <v>0</v>
      </c>
      <c r="U213" s="80" t="b">
        <v>0</v>
      </c>
      <c r="V213" s="80" t="b">
        <v>0</v>
      </c>
      <c r="W213" s="156" t="s">
        <v>473</v>
      </c>
      <c r="X213" s="79"/>
      <c r="Y213" s="144"/>
      <c r="Z213" s="144"/>
    </row>
    <row r="214">
      <c r="E214" s="82" t="b">
        <v>1</v>
      </c>
      <c r="F214" s="80" t="b">
        <v>0</v>
      </c>
      <c r="G214" s="80" t="b">
        <v>0</v>
      </c>
      <c r="H214" s="80" t="b">
        <v>0</v>
      </c>
      <c r="I214" s="148">
        <v>45332.0</v>
      </c>
      <c r="J214" s="148">
        <v>45346.0</v>
      </c>
      <c r="K214" s="45">
        <v>360.0</v>
      </c>
      <c r="L214" s="158" t="s">
        <v>474</v>
      </c>
      <c r="M214" s="150" t="s">
        <v>475</v>
      </c>
      <c r="N214" s="80" t="b">
        <v>0</v>
      </c>
      <c r="O214" s="80" t="b">
        <v>0</v>
      </c>
      <c r="P214" s="80" t="b">
        <v>0</v>
      </c>
      <c r="Q214" s="80" t="b">
        <v>0</v>
      </c>
      <c r="R214" s="80" t="b">
        <v>0</v>
      </c>
      <c r="S214" s="80" t="b">
        <v>0</v>
      </c>
      <c r="T214" s="80" t="b">
        <v>0</v>
      </c>
      <c r="U214" s="80" t="b">
        <v>0</v>
      </c>
      <c r="V214" s="80" t="b">
        <v>0</v>
      </c>
      <c r="W214" s="156" t="s">
        <v>476</v>
      </c>
      <c r="X214" s="79"/>
      <c r="Y214" s="144"/>
      <c r="Z214" s="144"/>
    </row>
    <row r="215">
      <c r="E215" s="80" t="b">
        <v>1</v>
      </c>
      <c r="F215" s="80" t="b">
        <v>0</v>
      </c>
      <c r="G215" s="80" t="b">
        <v>0</v>
      </c>
      <c r="H215" s="80" t="b">
        <v>0</v>
      </c>
      <c r="I215" s="159">
        <v>45049.0</v>
      </c>
      <c r="J215" s="160" t="s">
        <v>58</v>
      </c>
      <c r="K215" s="28">
        <f>(updateDate!B$1-date(year(I215),month(I215),day(I215)+1))*24</f>
        <v>14568</v>
      </c>
      <c r="L215" s="81" t="s">
        <v>477</v>
      </c>
      <c r="M215" s="40" t="s">
        <v>427</v>
      </c>
      <c r="N215" s="80" t="b">
        <v>0</v>
      </c>
      <c r="O215" s="80" t="b">
        <v>0</v>
      </c>
      <c r="P215" s="80" t="b">
        <v>0</v>
      </c>
      <c r="Q215" s="80" t="b">
        <v>0</v>
      </c>
      <c r="R215" s="80" t="b">
        <v>0</v>
      </c>
      <c r="S215" s="80" t="b">
        <v>0</v>
      </c>
      <c r="T215" s="80" t="b">
        <v>0</v>
      </c>
      <c r="U215" s="80" t="b">
        <v>0</v>
      </c>
      <c r="V215" s="80" t="b">
        <v>0</v>
      </c>
      <c r="W215" s="79" t="s">
        <v>39</v>
      </c>
      <c r="X215" s="79" t="s">
        <v>478</v>
      </c>
      <c r="Y215" s="161" t="s">
        <v>479</v>
      </c>
      <c r="Z215" s="144"/>
    </row>
    <row r="216">
      <c r="E216" s="80" t="b">
        <v>0</v>
      </c>
      <c r="F216" s="80" t="b">
        <v>0</v>
      </c>
      <c r="G216" s="82" t="b">
        <v>1</v>
      </c>
      <c r="H216" s="80" t="b">
        <v>0</v>
      </c>
      <c r="I216" s="75">
        <v>45047.0</v>
      </c>
      <c r="J216" s="160" t="s">
        <v>58</v>
      </c>
      <c r="K216" s="28">
        <f>(updateDate!B$1-date(year(I216),month(I216),day(I216)+1))*24</f>
        <v>14616</v>
      </c>
      <c r="L216" s="162" t="s">
        <v>480</v>
      </c>
      <c r="M216" s="78" t="s">
        <v>38</v>
      </c>
      <c r="N216" s="69" t="b">
        <v>1</v>
      </c>
      <c r="O216" s="69" t="b">
        <v>0</v>
      </c>
      <c r="P216" s="69" t="b">
        <v>0</v>
      </c>
      <c r="Q216" s="69" t="b">
        <v>0</v>
      </c>
      <c r="R216" s="69" t="b">
        <v>0</v>
      </c>
      <c r="S216" s="69" t="b">
        <v>0</v>
      </c>
      <c r="T216" s="69" t="b">
        <v>0</v>
      </c>
      <c r="U216" s="69" t="b">
        <v>0</v>
      </c>
      <c r="V216" s="69" t="b">
        <v>1</v>
      </c>
      <c r="W216" s="54" t="s">
        <v>481</v>
      </c>
      <c r="X216" s="79"/>
      <c r="Y216" s="163"/>
      <c r="Z216" s="163"/>
    </row>
    <row r="217">
      <c r="E217" s="80" t="b">
        <v>1</v>
      </c>
      <c r="F217" s="80" t="b">
        <v>0</v>
      </c>
      <c r="G217" s="80" t="b">
        <v>0</v>
      </c>
      <c r="H217" s="80" t="b">
        <v>0</v>
      </c>
      <c r="I217" s="38">
        <v>44729.0</v>
      </c>
      <c r="J217" s="38">
        <v>44733.0</v>
      </c>
      <c r="K217" s="28">
        <v>84.0</v>
      </c>
      <c r="L217" s="81" t="s">
        <v>482</v>
      </c>
      <c r="M217" s="40" t="s">
        <v>483</v>
      </c>
      <c r="N217" s="31" t="b">
        <v>0</v>
      </c>
      <c r="O217" s="31" t="b">
        <v>0</v>
      </c>
      <c r="P217" s="31" t="b">
        <v>0</v>
      </c>
      <c r="Q217" s="31" t="b">
        <v>0</v>
      </c>
      <c r="R217" s="31" t="b">
        <v>0</v>
      </c>
      <c r="S217" s="31" t="b">
        <v>0</v>
      </c>
      <c r="T217" s="31" t="b">
        <v>0</v>
      </c>
      <c r="U217" s="31" t="b">
        <v>0</v>
      </c>
      <c r="V217" s="31" t="b">
        <v>0</v>
      </c>
      <c r="W217" s="33" t="s">
        <v>41</v>
      </c>
      <c r="X217" s="34"/>
      <c r="Y217" s="34"/>
      <c r="Z217" s="34"/>
    </row>
    <row r="218" ht="25.5" customHeight="1">
      <c r="E218" s="80" t="b">
        <v>0</v>
      </c>
      <c r="F218" s="80" t="b">
        <v>0</v>
      </c>
      <c r="G218" s="80" t="b">
        <v>0</v>
      </c>
      <c r="H218" s="80" t="b">
        <v>1</v>
      </c>
      <c r="I218" s="38">
        <v>43984.0</v>
      </c>
      <c r="J218" s="38" t="s">
        <v>58</v>
      </c>
      <c r="K218" s="28">
        <f>(updateDate!B$1-date(year(I218),month(I218),day(I218)+1))*24</f>
        <v>40128</v>
      </c>
      <c r="L218" s="39" t="s">
        <v>484</v>
      </c>
      <c r="M218" s="40" t="s">
        <v>38</v>
      </c>
      <c r="N218" s="31" t="b">
        <v>1</v>
      </c>
      <c r="O218" s="31" t="b">
        <v>0</v>
      </c>
      <c r="P218" s="31" t="b">
        <v>0</v>
      </c>
      <c r="Q218" s="31" t="b">
        <v>0</v>
      </c>
      <c r="R218" s="31" t="b">
        <v>0</v>
      </c>
      <c r="S218" s="31" t="b">
        <v>0</v>
      </c>
      <c r="T218" s="31" t="b">
        <v>0</v>
      </c>
      <c r="U218" s="31" t="b">
        <v>1</v>
      </c>
      <c r="V218" s="31" t="b">
        <v>1</v>
      </c>
      <c r="W218" s="33" t="s">
        <v>401</v>
      </c>
      <c r="X218" s="34"/>
      <c r="Y218" s="34"/>
      <c r="Z218" s="34"/>
    </row>
    <row r="219" ht="25.5" customHeight="1">
      <c r="E219" s="82" t="b">
        <v>1</v>
      </c>
      <c r="F219" s="82" t="b">
        <v>0</v>
      </c>
      <c r="G219" s="82" t="b">
        <v>0</v>
      </c>
      <c r="H219" s="82" t="b">
        <v>0</v>
      </c>
      <c r="I219" s="83">
        <v>45231.0</v>
      </c>
      <c r="J219" s="83">
        <v>45233.0</v>
      </c>
      <c r="K219" s="28">
        <v>48.0</v>
      </c>
      <c r="L219" s="164" t="s">
        <v>485</v>
      </c>
      <c r="M219" s="150" t="s">
        <v>486</v>
      </c>
      <c r="N219" s="65" t="b">
        <v>0</v>
      </c>
      <c r="O219" s="65" t="b">
        <v>0</v>
      </c>
      <c r="P219" s="65" t="b">
        <v>0</v>
      </c>
      <c r="Q219" s="65" t="b">
        <v>0</v>
      </c>
      <c r="R219" s="65" t="b">
        <v>0</v>
      </c>
      <c r="S219" s="65" t="b">
        <v>0</v>
      </c>
      <c r="T219" s="65" t="b">
        <v>0</v>
      </c>
      <c r="U219" s="65" t="b">
        <v>0</v>
      </c>
      <c r="V219" s="65" t="b">
        <v>0</v>
      </c>
      <c r="W219" s="165" t="s">
        <v>437</v>
      </c>
      <c r="X219" s="166"/>
      <c r="Y219" s="143"/>
      <c r="Z219" s="167"/>
    </row>
    <row r="220" ht="25.5" customHeight="1">
      <c r="E220" s="82" t="b">
        <v>0</v>
      </c>
      <c r="F220" s="82" t="b">
        <v>0</v>
      </c>
      <c r="G220" s="82" t="b">
        <v>1</v>
      </c>
      <c r="H220" s="82" t="b">
        <v>0</v>
      </c>
      <c r="I220" s="38">
        <v>45164.0</v>
      </c>
      <c r="J220" s="38">
        <v>45166.0</v>
      </c>
      <c r="K220" s="28">
        <v>72.0</v>
      </c>
      <c r="L220" s="168" t="s">
        <v>487</v>
      </c>
      <c r="M220" s="169" t="s">
        <v>486</v>
      </c>
      <c r="N220" s="31" t="b">
        <v>0</v>
      </c>
      <c r="O220" s="31"/>
      <c r="P220" s="31"/>
      <c r="Q220" s="31"/>
      <c r="R220" s="31"/>
      <c r="S220" s="31"/>
      <c r="T220" s="31"/>
      <c r="U220" s="31"/>
      <c r="V220" s="31"/>
      <c r="W220" s="170" t="s">
        <v>488</v>
      </c>
      <c r="X220" s="171" t="s">
        <v>489</v>
      </c>
      <c r="Y220" s="143"/>
      <c r="Z220" s="167"/>
    </row>
    <row r="221" ht="25.5" customHeight="1">
      <c r="E221" s="82" t="b">
        <v>1</v>
      </c>
      <c r="F221" s="82" t="b">
        <v>0</v>
      </c>
      <c r="G221" s="82" t="b">
        <v>0</v>
      </c>
      <c r="H221" s="82" t="b">
        <v>0</v>
      </c>
      <c r="I221" s="172">
        <v>45084.0</v>
      </c>
      <c r="J221" s="172">
        <v>45085.0</v>
      </c>
      <c r="K221" s="28">
        <v>24.0</v>
      </c>
      <c r="L221" s="81" t="s">
        <v>490</v>
      </c>
      <c r="M221" s="169" t="s">
        <v>486</v>
      </c>
      <c r="N221" s="31" t="b">
        <v>0</v>
      </c>
      <c r="O221" s="31"/>
      <c r="P221" s="31"/>
      <c r="Q221" s="31"/>
      <c r="R221" s="31"/>
      <c r="S221" s="31"/>
      <c r="T221" s="31"/>
      <c r="U221" s="31"/>
      <c r="V221" s="31"/>
      <c r="W221" s="170" t="s">
        <v>488</v>
      </c>
      <c r="X221" s="173" t="s">
        <v>491</v>
      </c>
      <c r="Y221" s="143"/>
      <c r="Z221" s="167"/>
    </row>
    <row r="222" ht="25.5" customHeight="1">
      <c r="E222" s="82" t="b">
        <v>1</v>
      </c>
      <c r="F222" s="82" t="b">
        <v>0</v>
      </c>
      <c r="G222" s="82" t="b">
        <v>0</v>
      </c>
      <c r="H222" s="82" t="b">
        <v>0</v>
      </c>
      <c r="I222" s="174">
        <v>45055.0</v>
      </c>
      <c r="J222" s="174">
        <v>45058.0</v>
      </c>
      <c r="K222" s="28">
        <v>72.0</v>
      </c>
      <c r="L222" s="175" t="s">
        <v>492</v>
      </c>
      <c r="M222" s="169" t="s">
        <v>486</v>
      </c>
      <c r="N222" s="31" t="b">
        <v>0</v>
      </c>
      <c r="O222" s="31"/>
      <c r="P222" s="31"/>
      <c r="Q222" s="31"/>
      <c r="R222" s="31"/>
      <c r="S222" s="31"/>
      <c r="T222" s="31"/>
      <c r="U222" s="31"/>
      <c r="V222" s="31"/>
      <c r="W222" s="170" t="s">
        <v>488</v>
      </c>
      <c r="X222" s="173" t="s">
        <v>493</v>
      </c>
      <c r="Y222" s="143"/>
      <c r="Z222" s="167"/>
    </row>
    <row r="223" ht="25.5" customHeight="1">
      <c r="E223" s="82" t="b">
        <v>1</v>
      </c>
      <c r="F223" s="82" t="b">
        <v>0</v>
      </c>
      <c r="G223" s="82" t="b">
        <v>0</v>
      </c>
      <c r="H223" s="82" t="b">
        <v>0</v>
      </c>
      <c r="I223" s="83">
        <v>45043.0</v>
      </c>
      <c r="J223" s="83">
        <v>45048.0</v>
      </c>
      <c r="K223" s="28">
        <v>120.0</v>
      </c>
      <c r="L223" s="81" t="s">
        <v>494</v>
      </c>
      <c r="M223" s="150" t="s">
        <v>486</v>
      </c>
      <c r="N223" s="31" t="b">
        <v>0</v>
      </c>
      <c r="O223" s="31"/>
      <c r="P223" s="31"/>
      <c r="Q223" s="31"/>
      <c r="R223" s="31"/>
      <c r="S223" s="31"/>
      <c r="T223" s="31"/>
      <c r="U223" s="31"/>
      <c r="V223" s="31"/>
      <c r="W223" s="104" t="s">
        <v>488</v>
      </c>
      <c r="X223" s="176" t="s">
        <v>495</v>
      </c>
      <c r="Y223" s="143"/>
      <c r="Z223" s="167"/>
    </row>
    <row r="224" ht="25.5" customHeight="1">
      <c r="E224" s="82" t="b">
        <v>1</v>
      </c>
      <c r="F224" s="82" t="b">
        <v>0</v>
      </c>
      <c r="G224" s="82" t="b">
        <v>0</v>
      </c>
      <c r="H224" s="82" t="b">
        <v>0</v>
      </c>
      <c r="I224" s="83">
        <v>45038.0</v>
      </c>
      <c r="J224" s="83">
        <v>45040.0</v>
      </c>
      <c r="K224" s="28">
        <v>48.0</v>
      </c>
      <c r="L224" s="81" t="s">
        <v>496</v>
      </c>
      <c r="M224" s="150" t="s">
        <v>486</v>
      </c>
      <c r="N224" s="31" t="b">
        <v>0</v>
      </c>
      <c r="O224" s="31"/>
      <c r="P224" s="31"/>
      <c r="Q224" s="31"/>
      <c r="R224" s="31"/>
      <c r="S224" s="31"/>
      <c r="T224" s="31"/>
      <c r="U224" s="31"/>
      <c r="V224" s="31"/>
      <c r="W224" s="104" t="s">
        <v>488</v>
      </c>
      <c r="X224" s="176" t="s">
        <v>428</v>
      </c>
      <c r="Y224" s="177" t="s">
        <v>497</v>
      </c>
      <c r="Z224" s="167"/>
    </row>
    <row r="225" ht="25.5" customHeight="1">
      <c r="E225" s="82" t="b">
        <v>0</v>
      </c>
      <c r="F225" s="82" t="b">
        <v>0</v>
      </c>
      <c r="G225" s="82" t="b">
        <v>1</v>
      </c>
      <c r="H225" s="82" t="b">
        <v>0</v>
      </c>
      <c r="I225" s="83">
        <v>45003.0</v>
      </c>
      <c r="J225" s="83">
        <v>45008.0</v>
      </c>
      <c r="K225" s="28">
        <v>120.0</v>
      </c>
      <c r="L225" s="81" t="s">
        <v>498</v>
      </c>
      <c r="M225" s="150" t="s">
        <v>486</v>
      </c>
      <c r="N225" s="31" t="b">
        <v>0</v>
      </c>
      <c r="O225" s="31"/>
      <c r="P225" s="31"/>
      <c r="Q225" s="31"/>
      <c r="R225" s="31"/>
      <c r="S225" s="31"/>
      <c r="T225" s="31"/>
      <c r="U225" s="31"/>
      <c r="V225" s="31"/>
      <c r="W225" s="104" t="s">
        <v>488</v>
      </c>
      <c r="X225" s="104" t="s">
        <v>499</v>
      </c>
      <c r="Y225" s="51"/>
      <c r="Z225" s="34"/>
    </row>
    <row r="226" ht="25.5" customHeight="1">
      <c r="E226" s="82" t="b">
        <v>1</v>
      </c>
      <c r="F226" s="82" t="b">
        <v>0</v>
      </c>
      <c r="G226" s="82" t="b">
        <v>0</v>
      </c>
      <c r="H226" s="82" t="b">
        <v>0</v>
      </c>
      <c r="I226" s="83">
        <v>44983.0</v>
      </c>
      <c r="J226" s="83">
        <v>44985.0</v>
      </c>
      <c r="K226" s="28">
        <v>62.0</v>
      </c>
      <c r="L226" s="81" t="s">
        <v>500</v>
      </c>
      <c r="M226" s="150" t="s">
        <v>486</v>
      </c>
      <c r="N226" s="31" t="b">
        <v>0</v>
      </c>
      <c r="O226" s="31"/>
      <c r="P226" s="31"/>
      <c r="Q226" s="31"/>
      <c r="R226" s="31"/>
      <c r="S226" s="31"/>
      <c r="T226" s="31"/>
      <c r="U226" s="31"/>
      <c r="V226" s="31"/>
      <c r="W226" s="104" t="s">
        <v>488</v>
      </c>
      <c r="X226" s="104" t="s">
        <v>501</v>
      </c>
      <c r="Y226" s="51"/>
      <c r="Z226" s="34"/>
    </row>
    <row r="227" ht="25.5" customHeight="1">
      <c r="E227" s="82" t="b">
        <v>1</v>
      </c>
      <c r="F227" s="82" t="b">
        <v>0</v>
      </c>
      <c r="G227" s="82" t="b">
        <v>0</v>
      </c>
      <c r="H227" s="82" t="b">
        <v>0</v>
      </c>
      <c r="I227" s="83">
        <v>44974.0</v>
      </c>
      <c r="J227" s="83">
        <v>44976.0</v>
      </c>
      <c r="K227" s="28">
        <v>47.0</v>
      </c>
      <c r="L227" s="81" t="s">
        <v>502</v>
      </c>
      <c r="M227" s="150" t="s">
        <v>486</v>
      </c>
      <c r="N227" s="31" t="b">
        <v>0</v>
      </c>
      <c r="O227" s="31"/>
      <c r="P227" s="31"/>
      <c r="Q227" s="31"/>
      <c r="R227" s="31"/>
      <c r="S227" s="31"/>
      <c r="T227" s="31"/>
      <c r="U227" s="31"/>
      <c r="V227" s="31"/>
      <c r="W227" s="104" t="s">
        <v>488</v>
      </c>
      <c r="X227" s="104" t="s">
        <v>503</v>
      </c>
      <c r="Y227" s="51"/>
      <c r="Z227" s="34"/>
    </row>
    <row r="228" ht="25.5" customHeight="1">
      <c r="E228" s="82" t="b">
        <v>1</v>
      </c>
      <c r="F228" s="82" t="b">
        <v>0</v>
      </c>
      <c r="G228" s="82" t="b">
        <v>0</v>
      </c>
      <c r="H228" s="82" t="b">
        <v>0</v>
      </c>
      <c r="I228" s="83">
        <v>44898.0</v>
      </c>
      <c r="J228" s="83">
        <v>44899.0</v>
      </c>
      <c r="K228" s="28">
        <v>24.0</v>
      </c>
      <c r="L228" s="81" t="s">
        <v>504</v>
      </c>
      <c r="M228" s="150" t="s">
        <v>486</v>
      </c>
      <c r="N228" s="31" t="b">
        <v>0</v>
      </c>
      <c r="O228" s="31"/>
      <c r="P228" s="31"/>
      <c r="Q228" s="31"/>
      <c r="R228" s="31"/>
      <c r="S228" s="31"/>
      <c r="T228" s="31"/>
      <c r="U228" s="31"/>
      <c r="V228" s="31"/>
      <c r="W228" s="104" t="s">
        <v>488</v>
      </c>
      <c r="X228" s="50"/>
      <c r="Y228" s="51"/>
      <c r="Z228" s="34"/>
    </row>
    <row r="229" ht="25.5" customHeight="1">
      <c r="E229" s="82" t="b">
        <v>0</v>
      </c>
      <c r="F229" s="82" t="b">
        <v>0</v>
      </c>
      <c r="G229" s="82" t="b">
        <v>1</v>
      </c>
      <c r="H229" s="82" t="b">
        <v>0</v>
      </c>
      <c r="I229" s="83">
        <v>44887.0</v>
      </c>
      <c r="J229" s="83">
        <v>44889.0</v>
      </c>
      <c r="K229" s="28">
        <v>48.0</v>
      </c>
      <c r="L229" s="81" t="s">
        <v>505</v>
      </c>
      <c r="M229" s="150" t="s">
        <v>486</v>
      </c>
      <c r="N229" s="31" t="b">
        <v>0</v>
      </c>
      <c r="O229" s="31"/>
      <c r="P229" s="31"/>
      <c r="Q229" s="31"/>
      <c r="R229" s="31"/>
      <c r="S229" s="31"/>
      <c r="T229" s="31"/>
      <c r="U229" s="31"/>
      <c r="V229" s="31"/>
      <c r="W229" s="104" t="s">
        <v>488</v>
      </c>
      <c r="X229" s="50"/>
      <c r="Y229" s="51"/>
      <c r="Z229" s="34"/>
    </row>
    <row r="230" ht="25.5" customHeight="1">
      <c r="E230" s="82" t="b">
        <v>1</v>
      </c>
      <c r="F230" s="82" t="b">
        <v>0</v>
      </c>
      <c r="G230" s="82" t="b">
        <v>0</v>
      </c>
      <c r="H230" s="82" t="b">
        <v>0</v>
      </c>
      <c r="I230" s="83">
        <v>44878.0</v>
      </c>
      <c r="J230" s="83">
        <v>44878.0</v>
      </c>
      <c r="K230" s="28">
        <v>24.0</v>
      </c>
      <c r="L230" s="81" t="s">
        <v>506</v>
      </c>
      <c r="M230" s="150" t="s">
        <v>486</v>
      </c>
      <c r="N230" s="31" t="b">
        <v>0</v>
      </c>
      <c r="O230" s="31"/>
      <c r="P230" s="31"/>
      <c r="Q230" s="31"/>
      <c r="R230" s="31"/>
      <c r="S230" s="31"/>
      <c r="T230" s="31"/>
      <c r="U230" s="31"/>
      <c r="V230" s="31"/>
      <c r="W230" s="104" t="s">
        <v>488</v>
      </c>
      <c r="X230" s="50"/>
      <c r="Y230" s="51"/>
      <c r="Z230" s="34"/>
    </row>
    <row r="231" ht="25.5" customHeight="1">
      <c r="E231" s="82" t="b">
        <v>1</v>
      </c>
      <c r="F231" s="82" t="b">
        <v>0</v>
      </c>
      <c r="G231" s="82" t="b">
        <v>0</v>
      </c>
      <c r="H231" s="82" t="b">
        <v>0</v>
      </c>
      <c r="I231" s="83">
        <v>44761.0</v>
      </c>
      <c r="J231" s="83">
        <v>44762.0</v>
      </c>
      <c r="K231" s="28">
        <v>24.0</v>
      </c>
      <c r="L231" s="81" t="s">
        <v>507</v>
      </c>
      <c r="M231" s="150" t="s">
        <v>486</v>
      </c>
      <c r="N231" s="31" t="b">
        <v>0</v>
      </c>
      <c r="O231" s="31"/>
      <c r="P231" s="31"/>
      <c r="Q231" s="31"/>
      <c r="R231" s="31"/>
      <c r="S231" s="31"/>
      <c r="T231" s="31"/>
      <c r="U231" s="31"/>
      <c r="V231" s="31"/>
      <c r="W231" s="104" t="s">
        <v>488</v>
      </c>
      <c r="X231" s="50"/>
      <c r="Y231" s="51"/>
      <c r="Z231" s="34"/>
    </row>
    <row r="232" ht="25.5" customHeight="1">
      <c r="E232" s="82" t="b">
        <v>1</v>
      </c>
      <c r="F232" s="82" t="b">
        <v>0</v>
      </c>
      <c r="G232" s="82" t="b">
        <v>0</v>
      </c>
      <c r="H232" s="82" t="b">
        <v>0</v>
      </c>
      <c r="I232" s="83">
        <v>44729.0</v>
      </c>
      <c r="J232" s="83">
        <v>44731.0</v>
      </c>
      <c r="K232" s="28">
        <v>48.0</v>
      </c>
      <c r="L232" s="81" t="s">
        <v>508</v>
      </c>
      <c r="M232" s="150" t="s">
        <v>486</v>
      </c>
      <c r="N232" s="31" t="b">
        <v>0</v>
      </c>
      <c r="O232" s="31"/>
      <c r="P232" s="31"/>
      <c r="Q232" s="31"/>
      <c r="R232" s="31"/>
      <c r="S232" s="31"/>
      <c r="T232" s="31"/>
      <c r="U232" s="31"/>
      <c r="V232" s="31"/>
      <c r="W232" s="104" t="s">
        <v>488</v>
      </c>
      <c r="X232" s="50"/>
      <c r="Y232" s="51"/>
      <c r="Z232" s="34"/>
    </row>
    <row r="233" ht="25.5" customHeight="1">
      <c r="E233" s="82" t="b">
        <v>1</v>
      </c>
      <c r="F233" s="82" t="b">
        <v>0</v>
      </c>
      <c r="G233" s="82" t="b">
        <v>0</v>
      </c>
      <c r="H233" s="82" t="b">
        <v>0</v>
      </c>
      <c r="I233" s="83">
        <v>44728.0</v>
      </c>
      <c r="J233" s="83">
        <v>44729.0</v>
      </c>
      <c r="K233" s="28">
        <v>24.0</v>
      </c>
      <c r="L233" s="81" t="s">
        <v>509</v>
      </c>
      <c r="M233" s="150" t="s">
        <v>486</v>
      </c>
      <c r="N233" s="31" t="b">
        <v>0</v>
      </c>
      <c r="O233" s="31"/>
      <c r="P233" s="31"/>
      <c r="Q233" s="31"/>
      <c r="R233" s="31"/>
      <c r="S233" s="31"/>
      <c r="T233" s="31"/>
      <c r="U233" s="31"/>
      <c r="V233" s="31"/>
      <c r="W233" s="104" t="s">
        <v>488</v>
      </c>
      <c r="X233" s="50"/>
      <c r="Y233" s="51"/>
      <c r="Z233" s="34"/>
    </row>
    <row r="234" ht="25.5" customHeight="1">
      <c r="E234" s="82" t="b">
        <v>1</v>
      </c>
      <c r="F234" s="82" t="b">
        <v>0</v>
      </c>
      <c r="G234" s="82" t="b">
        <v>0</v>
      </c>
      <c r="H234" s="82" t="b">
        <v>0</v>
      </c>
      <c r="I234" s="83">
        <v>44723.0</v>
      </c>
      <c r="J234" s="83">
        <v>44726.0</v>
      </c>
      <c r="K234" s="28">
        <v>62.0</v>
      </c>
      <c r="L234" s="81" t="s">
        <v>510</v>
      </c>
      <c r="M234" s="150" t="s">
        <v>486</v>
      </c>
      <c r="N234" s="31" t="b">
        <v>0</v>
      </c>
      <c r="O234" s="31"/>
      <c r="P234" s="31"/>
      <c r="Q234" s="31"/>
      <c r="R234" s="31"/>
      <c r="S234" s="31"/>
      <c r="T234" s="31"/>
      <c r="U234" s="31"/>
      <c r="V234" s="31"/>
      <c r="W234" s="104" t="s">
        <v>488</v>
      </c>
      <c r="X234" s="50"/>
      <c r="Y234" s="51"/>
      <c r="Z234" s="34"/>
    </row>
    <row r="235" ht="25.5" customHeight="1">
      <c r="E235" s="82" t="b">
        <v>1</v>
      </c>
      <c r="F235" s="82" t="b">
        <v>0</v>
      </c>
      <c r="G235" s="82" t="b">
        <v>0</v>
      </c>
      <c r="H235" s="82" t="b">
        <v>0</v>
      </c>
      <c r="I235" s="83">
        <v>44722.0</v>
      </c>
      <c r="J235" s="83">
        <v>44725.0</v>
      </c>
      <c r="K235" s="28">
        <v>59.0</v>
      </c>
      <c r="L235" s="81" t="s">
        <v>511</v>
      </c>
      <c r="M235" s="150" t="s">
        <v>486</v>
      </c>
      <c r="N235" s="31" t="b">
        <v>0</v>
      </c>
      <c r="O235" s="31"/>
      <c r="P235" s="31"/>
      <c r="Q235" s="31"/>
      <c r="R235" s="31"/>
      <c r="S235" s="31"/>
      <c r="T235" s="31"/>
      <c r="U235" s="31"/>
      <c r="V235" s="31"/>
      <c r="W235" s="104" t="s">
        <v>488</v>
      </c>
      <c r="X235" s="50"/>
      <c r="Y235" s="51"/>
      <c r="Z235" s="34"/>
    </row>
    <row r="236" ht="25.5" customHeight="1">
      <c r="E236" s="82" t="b">
        <v>1</v>
      </c>
      <c r="F236" s="82" t="b">
        <v>0</v>
      </c>
      <c r="G236" s="82" t="b">
        <v>0</v>
      </c>
      <c r="H236" s="82" t="b">
        <v>0</v>
      </c>
      <c r="I236" s="83">
        <v>44722.0</v>
      </c>
      <c r="J236" s="83">
        <v>44723.0</v>
      </c>
      <c r="K236" s="28">
        <v>24.0</v>
      </c>
      <c r="L236" s="81" t="s">
        <v>512</v>
      </c>
      <c r="M236" s="150" t="s">
        <v>486</v>
      </c>
      <c r="N236" s="31" t="b">
        <v>0</v>
      </c>
      <c r="O236" s="31"/>
      <c r="P236" s="31"/>
      <c r="Q236" s="31"/>
      <c r="R236" s="31"/>
      <c r="S236" s="31"/>
      <c r="T236" s="31"/>
      <c r="U236" s="31"/>
      <c r="V236" s="31"/>
      <c r="W236" s="104" t="s">
        <v>488</v>
      </c>
      <c r="X236" s="50"/>
      <c r="Y236" s="51"/>
      <c r="Z236" s="34"/>
    </row>
    <row r="237" ht="25.5" customHeight="1">
      <c r="E237" s="131" t="b">
        <v>1</v>
      </c>
      <c r="F237" s="131" t="b">
        <v>0</v>
      </c>
      <c r="G237" s="131" t="b">
        <v>0</v>
      </c>
      <c r="H237" s="131" t="b">
        <v>0</v>
      </c>
      <c r="I237" s="38">
        <v>44535.0</v>
      </c>
      <c r="J237" s="38">
        <v>44536.0</v>
      </c>
      <c r="K237" s="28">
        <v>24.0</v>
      </c>
      <c r="L237" s="175"/>
      <c r="M237" s="169" t="s">
        <v>486</v>
      </c>
      <c r="N237" s="31" t="b">
        <v>0</v>
      </c>
      <c r="O237" s="31"/>
      <c r="P237" s="31"/>
      <c r="Q237" s="31"/>
      <c r="R237" s="31"/>
      <c r="S237" s="31"/>
      <c r="T237" s="31"/>
      <c r="U237" s="31"/>
      <c r="V237" s="31"/>
      <c r="W237" s="178" t="s">
        <v>513</v>
      </c>
      <c r="X237" s="50"/>
      <c r="Y237" s="51"/>
      <c r="Z237" s="34"/>
    </row>
    <row r="238" ht="25.5" customHeight="1">
      <c r="E238" s="131" t="b">
        <v>1</v>
      </c>
      <c r="F238" s="131" t="b">
        <v>0</v>
      </c>
      <c r="G238" s="131" t="b">
        <v>0</v>
      </c>
      <c r="H238" s="131" t="b">
        <v>0</v>
      </c>
      <c r="I238" s="38">
        <v>44446.0</v>
      </c>
      <c r="J238" s="38">
        <v>44446.0</v>
      </c>
      <c r="K238" s="28">
        <v>24.0</v>
      </c>
      <c r="L238" s="175"/>
      <c r="M238" s="169" t="s">
        <v>486</v>
      </c>
      <c r="N238" s="31" t="b">
        <v>0</v>
      </c>
      <c r="O238" s="31"/>
      <c r="P238" s="31"/>
      <c r="Q238" s="31"/>
      <c r="R238" s="31"/>
      <c r="S238" s="31"/>
      <c r="T238" s="31"/>
      <c r="U238" s="31"/>
      <c r="V238" s="31"/>
      <c r="W238" s="178" t="s">
        <v>513</v>
      </c>
      <c r="X238" s="50"/>
      <c r="Y238" s="51"/>
      <c r="Z238" s="34"/>
    </row>
    <row r="239" ht="25.5" customHeight="1">
      <c r="E239" s="131" t="b">
        <v>1</v>
      </c>
      <c r="F239" s="131" t="b">
        <v>0</v>
      </c>
      <c r="G239" s="131" t="b">
        <v>0</v>
      </c>
      <c r="H239" s="131" t="b">
        <v>0</v>
      </c>
      <c r="I239" s="38">
        <v>44233.0</v>
      </c>
      <c r="J239" s="38">
        <v>44233.0</v>
      </c>
      <c r="K239" s="28">
        <v>24.0</v>
      </c>
      <c r="L239" s="175"/>
      <c r="M239" s="169" t="s">
        <v>486</v>
      </c>
      <c r="N239" s="31" t="b">
        <v>0</v>
      </c>
      <c r="O239" s="31"/>
      <c r="P239" s="31"/>
      <c r="Q239" s="31"/>
      <c r="R239" s="31"/>
      <c r="S239" s="31"/>
      <c r="T239" s="31"/>
      <c r="U239" s="31"/>
      <c r="V239" s="31"/>
      <c r="W239" s="178" t="s">
        <v>513</v>
      </c>
      <c r="X239" s="50"/>
      <c r="Y239" s="51"/>
      <c r="Z239" s="34"/>
    </row>
    <row r="240" ht="25.5" customHeight="1">
      <c r="E240" s="131" t="b">
        <v>1</v>
      </c>
      <c r="F240" s="131" t="b">
        <v>0</v>
      </c>
      <c r="G240" s="131" t="b">
        <v>0</v>
      </c>
      <c r="H240" s="131" t="b">
        <v>0</v>
      </c>
      <c r="I240" s="38">
        <v>44225.0</v>
      </c>
      <c r="J240" s="38">
        <v>44229.0</v>
      </c>
      <c r="K240" s="28">
        <v>96.0</v>
      </c>
      <c r="L240" s="175"/>
      <c r="M240" s="169" t="s">
        <v>486</v>
      </c>
      <c r="N240" s="31" t="b">
        <v>0</v>
      </c>
      <c r="O240" s="31"/>
      <c r="P240" s="31"/>
      <c r="Q240" s="31"/>
      <c r="R240" s="31"/>
      <c r="S240" s="31"/>
      <c r="T240" s="31"/>
      <c r="U240" s="31"/>
      <c r="V240" s="31"/>
      <c r="W240" s="178" t="s">
        <v>513</v>
      </c>
      <c r="X240" s="50"/>
      <c r="Y240" s="51"/>
      <c r="Z240" s="34"/>
    </row>
    <row r="241" ht="25.5" customHeight="1">
      <c r="E241" s="131" t="b">
        <v>1</v>
      </c>
      <c r="F241" s="131" t="b">
        <v>0</v>
      </c>
      <c r="G241" s="131" t="b">
        <v>0</v>
      </c>
      <c r="H241" s="131" t="b">
        <v>0</v>
      </c>
      <c r="I241" s="38">
        <v>44225.0</v>
      </c>
      <c r="J241" s="38">
        <v>44233.0</v>
      </c>
      <c r="K241" s="28">
        <v>192.0</v>
      </c>
      <c r="L241" s="175"/>
      <c r="M241" s="169" t="s">
        <v>486</v>
      </c>
      <c r="N241" s="31" t="b">
        <v>0</v>
      </c>
      <c r="O241" s="31"/>
      <c r="P241" s="31"/>
      <c r="Q241" s="31"/>
      <c r="R241" s="31"/>
      <c r="S241" s="31"/>
      <c r="T241" s="31"/>
      <c r="U241" s="31"/>
      <c r="V241" s="31"/>
      <c r="W241" s="178" t="s">
        <v>513</v>
      </c>
      <c r="X241" s="50"/>
      <c r="Y241" s="51"/>
      <c r="Z241" s="34"/>
    </row>
    <row r="242" ht="25.5" customHeight="1">
      <c r="E242" s="131" t="b">
        <v>1</v>
      </c>
      <c r="F242" s="131" t="b">
        <v>0</v>
      </c>
      <c r="G242" s="131" t="b">
        <v>0</v>
      </c>
      <c r="H242" s="131" t="b">
        <v>0</v>
      </c>
      <c r="I242" s="179">
        <v>44223.0</v>
      </c>
      <c r="J242" s="38">
        <v>44224.0</v>
      </c>
      <c r="K242" s="28">
        <v>24.0</v>
      </c>
      <c r="L242" s="175"/>
      <c r="M242" s="169" t="s">
        <v>486</v>
      </c>
      <c r="N242" s="31" t="b">
        <v>0</v>
      </c>
      <c r="O242" s="31"/>
      <c r="P242" s="31"/>
      <c r="Q242" s="31"/>
      <c r="R242" s="31"/>
      <c r="S242" s="31"/>
      <c r="T242" s="31"/>
      <c r="U242" s="31"/>
      <c r="V242" s="31"/>
      <c r="W242" s="178" t="s">
        <v>513</v>
      </c>
      <c r="X242" s="50"/>
      <c r="Y242" s="51"/>
      <c r="Z242" s="34"/>
    </row>
    <row r="243" ht="25.5" customHeight="1">
      <c r="E243" s="131" t="b">
        <v>1</v>
      </c>
      <c r="F243" s="131" t="b">
        <v>0</v>
      </c>
      <c r="G243" s="131" t="b">
        <v>0</v>
      </c>
      <c r="H243" s="131" t="b">
        <v>0</v>
      </c>
      <c r="I243" s="38">
        <v>44222.0</v>
      </c>
      <c r="J243" s="38">
        <v>44222.0</v>
      </c>
      <c r="K243" s="28">
        <v>24.0</v>
      </c>
      <c r="L243" s="175"/>
      <c r="M243" s="169" t="s">
        <v>486</v>
      </c>
      <c r="N243" s="31" t="b">
        <v>0</v>
      </c>
      <c r="O243" s="31"/>
      <c r="P243" s="31"/>
      <c r="Q243" s="31"/>
      <c r="R243" s="31"/>
      <c r="S243" s="31"/>
      <c r="T243" s="31"/>
      <c r="U243" s="31"/>
      <c r="V243" s="31"/>
      <c r="W243" s="178" t="s">
        <v>513</v>
      </c>
      <c r="X243" s="50"/>
      <c r="Y243" s="51"/>
      <c r="Z243" s="34"/>
    </row>
    <row r="244" ht="25.5" customHeight="1">
      <c r="E244" s="131" t="b">
        <v>0</v>
      </c>
      <c r="F244" s="131" t="b">
        <v>1</v>
      </c>
      <c r="G244" s="131" t="b">
        <v>0</v>
      </c>
      <c r="H244" s="131" t="b">
        <v>0</v>
      </c>
      <c r="I244" s="38">
        <v>44163.0</v>
      </c>
      <c r="J244" s="38">
        <v>44163.0</v>
      </c>
      <c r="K244" s="28">
        <v>24.0</v>
      </c>
      <c r="L244" s="175"/>
      <c r="M244" s="169" t="s">
        <v>486</v>
      </c>
      <c r="N244" s="31" t="b">
        <v>0</v>
      </c>
      <c r="O244" s="31"/>
      <c r="P244" s="31"/>
      <c r="Q244" s="31"/>
      <c r="R244" s="31"/>
      <c r="S244" s="31"/>
      <c r="T244" s="31"/>
      <c r="U244" s="31"/>
      <c r="V244" s="31"/>
      <c r="W244" s="178" t="s">
        <v>513</v>
      </c>
      <c r="X244" s="50"/>
      <c r="Y244" s="51"/>
      <c r="Z244" s="34"/>
    </row>
    <row r="245" ht="25.5" customHeight="1">
      <c r="E245" s="131" t="b">
        <v>1</v>
      </c>
      <c r="F245" s="131" t="b">
        <v>0</v>
      </c>
      <c r="G245" s="131" t="b">
        <v>0</v>
      </c>
      <c r="H245" s="131" t="b">
        <v>0</v>
      </c>
      <c r="I245" s="38">
        <v>44134.0</v>
      </c>
      <c r="J245" s="38">
        <v>44135.0</v>
      </c>
      <c r="K245" s="28">
        <v>24.0</v>
      </c>
      <c r="L245" s="175"/>
      <c r="M245" s="169" t="s">
        <v>486</v>
      </c>
      <c r="N245" s="31" t="b">
        <v>0</v>
      </c>
      <c r="O245" s="31"/>
      <c r="P245" s="31"/>
      <c r="Q245" s="31"/>
      <c r="R245" s="31"/>
      <c r="S245" s="31"/>
      <c r="T245" s="31"/>
      <c r="U245" s="31"/>
      <c r="V245" s="31"/>
      <c r="W245" s="178" t="s">
        <v>513</v>
      </c>
      <c r="X245" s="50"/>
      <c r="Y245" s="51"/>
      <c r="Z245" s="34"/>
    </row>
    <row r="246" ht="25.5" customHeight="1">
      <c r="E246" s="131" t="b">
        <v>1</v>
      </c>
      <c r="F246" s="131" t="b">
        <v>0</v>
      </c>
      <c r="G246" s="131" t="b">
        <v>0</v>
      </c>
      <c r="H246" s="131" t="b">
        <v>0</v>
      </c>
      <c r="I246" s="38">
        <v>44120.0</v>
      </c>
      <c r="J246" s="38">
        <v>44121.0</v>
      </c>
      <c r="K246" s="28">
        <v>24.0</v>
      </c>
      <c r="L246" s="175"/>
      <c r="M246" s="169" t="s">
        <v>486</v>
      </c>
      <c r="N246" s="31" t="b">
        <v>0</v>
      </c>
      <c r="O246" s="31"/>
      <c r="P246" s="31"/>
      <c r="Q246" s="31"/>
      <c r="R246" s="31"/>
      <c r="S246" s="31"/>
      <c r="T246" s="31"/>
      <c r="U246" s="31"/>
      <c r="V246" s="31"/>
      <c r="W246" s="178" t="s">
        <v>513</v>
      </c>
      <c r="X246" s="50"/>
      <c r="Y246" s="51"/>
      <c r="Z246" s="34"/>
    </row>
    <row r="247" ht="25.5" customHeight="1">
      <c r="E247" s="131" t="b">
        <v>1</v>
      </c>
      <c r="F247" s="131" t="b">
        <v>0</v>
      </c>
      <c r="G247" s="131" t="b">
        <v>0</v>
      </c>
      <c r="H247" s="131" t="b">
        <v>0</v>
      </c>
      <c r="I247" s="38">
        <v>44099.0</v>
      </c>
      <c r="J247" s="38">
        <v>44100.0</v>
      </c>
      <c r="K247" s="28">
        <v>24.0</v>
      </c>
      <c r="L247" s="175"/>
      <c r="M247" s="169" t="s">
        <v>486</v>
      </c>
      <c r="N247" s="31" t="b">
        <v>0</v>
      </c>
      <c r="O247" s="31"/>
      <c r="P247" s="31"/>
      <c r="Q247" s="31"/>
      <c r="R247" s="31"/>
      <c r="S247" s="31"/>
      <c r="T247" s="31"/>
      <c r="U247" s="31"/>
      <c r="V247" s="31"/>
      <c r="W247" s="178" t="s">
        <v>513</v>
      </c>
      <c r="X247" s="50"/>
      <c r="Y247" s="51"/>
      <c r="Z247" s="34"/>
    </row>
    <row r="248" ht="25.5" customHeight="1">
      <c r="E248" s="131" t="b">
        <v>1</v>
      </c>
      <c r="F248" s="131" t="b">
        <v>0</v>
      </c>
      <c r="G248" s="131" t="b">
        <v>0</v>
      </c>
      <c r="H248" s="131" t="b">
        <v>0</v>
      </c>
      <c r="I248" s="38">
        <v>43884.0</v>
      </c>
      <c r="J248" s="38">
        <v>43889.0</v>
      </c>
      <c r="K248" s="28">
        <v>120.0</v>
      </c>
      <c r="L248" s="175"/>
      <c r="M248" s="169" t="s">
        <v>486</v>
      </c>
      <c r="N248" s="31" t="b">
        <v>0</v>
      </c>
      <c r="O248" s="31"/>
      <c r="P248" s="31"/>
      <c r="Q248" s="31"/>
      <c r="R248" s="31"/>
      <c r="S248" s="31"/>
      <c r="T248" s="31"/>
      <c r="U248" s="31"/>
      <c r="V248" s="31"/>
      <c r="W248" s="178" t="s">
        <v>513</v>
      </c>
      <c r="X248" s="50"/>
      <c r="Y248" s="51"/>
      <c r="Z248" s="34"/>
    </row>
    <row r="249" ht="25.5" customHeight="1">
      <c r="E249" s="131" t="b">
        <v>1</v>
      </c>
      <c r="F249" s="131" t="b">
        <v>0</v>
      </c>
      <c r="G249" s="131" t="b">
        <v>0</v>
      </c>
      <c r="H249" s="131" t="b">
        <v>0</v>
      </c>
      <c r="I249" s="38">
        <v>43861.0</v>
      </c>
      <c r="J249" s="38">
        <v>43861.0</v>
      </c>
      <c r="K249" s="28">
        <v>24.0</v>
      </c>
      <c r="L249" s="175"/>
      <c r="M249" s="169" t="s">
        <v>486</v>
      </c>
      <c r="N249" s="31" t="b">
        <v>0</v>
      </c>
      <c r="O249" s="31"/>
      <c r="P249" s="31"/>
      <c r="Q249" s="31"/>
      <c r="R249" s="31"/>
      <c r="S249" s="31"/>
      <c r="T249" s="31"/>
      <c r="U249" s="31"/>
      <c r="V249" s="31"/>
      <c r="W249" s="178" t="s">
        <v>513</v>
      </c>
      <c r="X249" s="50"/>
      <c r="Y249" s="51"/>
      <c r="Z249" s="34"/>
    </row>
    <row r="250" ht="25.5" customHeight="1">
      <c r="E250" s="131" t="b">
        <v>1</v>
      </c>
      <c r="F250" s="131" t="b">
        <v>0</v>
      </c>
      <c r="G250" s="131" t="b">
        <v>0</v>
      </c>
      <c r="H250" s="131" t="b">
        <v>0</v>
      </c>
      <c r="I250" s="38">
        <v>43834.0</v>
      </c>
      <c r="J250" s="38">
        <v>43835.0</v>
      </c>
      <c r="K250" s="28">
        <v>24.0</v>
      </c>
      <c r="L250" s="175"/>
      <c r="M250" s="169" t="s">
        <v>486</v>
      </c>
      <c r="N250" s="31" t="b">
        <v>0</v>
      </c>
      <c r="O250" s="31"/>
      <c r="P250" s="31"/>
      <c r="Q250" s="31"/>
      <c r="R250" s="31"/>
      <c r="S250" s="31"/>
      <c r="T250" s="31"/>
      <c r="U250" s="31"/>
      <c r="V250" s="31"/>
      <c r="W250" s="178" t="s">
        <v>513</v>
      </c>
      <c r="X250" s="50"/>
      <c r="Y250" s="51"/>
      <c r="Z250" s="34"/>
    </row>
    <row r="251" ht="25.5" customHeight="1">
      <c r="E251" s="131" t="b">
        <v>1</v>
      </c>
      <c r="F251" s="131" t="b">
        <v>0</v>
      </c>
      <c r="G251" s="131" t="b">
        <v>0</v>
      </c>
      <c r="H251" s="131" t="b">
        <v>0</v>
      </c>
      <c r="I251" s="38">
        <v>43826.0</v>
      </c>
      <c r="J251" s="38">
        <v>43827.0</v>
      </c>
      <c r="K251" s="28">
        <v>24.0</v>
      </c>
      <c r="L251" s="175"/>
      <c r="M251" s="169" t="s">
        <v>486</v>
      </c>
      <c r="N251" s="31" t="b">
        <v>0</v>
      </c>
      <c r="O251" s="31"/>
      <c r="P251" s="31"/>
      <c r="Q251" s="31"/>
      <c r="R251" s="31"/>
      <c r="S251" s="31"/>
      <c r="T251" s="31"/>
      <c r="U251" s="31"/>
      <c r="V251" s="31"/>
      <c r="W251" s="178" t="s">
        <v>513</v>
      </c>
      <c r="X251" s="50"/>
      <c r="Y251" s="51"/>
      <c r="Z251" s="34"/>
    </row>
    <row r="252" ht="25.5" customHeight="1">
      <c r="E252" s="131" t="b">
        <v>1</v>
      </c>
      <c r="F252" s="131" t="b">
        <v>0</v>
      </c>
      <c r="G252" s="131" t="b">
        <v>0</v>
      </c>
      <c r="H252" s="131" t="b">
        <v>0</v>
      </c>
      <c r="I252" s="38">
        <v>43821.0</v>
      </c>
      <c r="J252" s="38">
        <v>43823.0</v>
      </c>
      <c r="K252" s="28">
        <v>48.0</v>
      </c>
      <c r="L252" s="175"/>
      <c r="M252" s="169" t="s">
        <v>486</v>
      </c>
      <c r="N252" s="31" t="b">
        <v>0</v>
      </c>
      <c r="O252" s="31"/>
      <c r="P252" s="31"/>
      <c r="Q252" s="31"/>
      <c r="R252" s="31"/>
      <c r="S252" s="31"/>
      <c r="T252" s="31"/>
      <c r="U252" s="31"/>
      <c r="V252" s="31"/>
      <c r="W252" s="178" t="s">
        <v>513</v>
      </c>
      <c r="X252" s="50"/>
      <c r="Y252" s="51"/>
      <c r="Z252" s="34"/>
    </row>
    <row r="253" ht="25.5" customHeight="1">
      <c r="E253" s="131" t="b">
        <v>1</v>
      </c>
      <c r="F253" s="131" t="b">
        <v>0</v>
      </c>
      <c r="G253" s="131" t="b">
        <v>0</v>
      </c>
      <c r="H253" s="131" t="b">
        <v>0</v>
      </c>
      <c r="I253" s="38">
        <v>43819.0</v>
      </c>
      <c r="J253" s="38">
        <v>43820.0</v>
      </c>
      <c r="K253" s="28">
        <v>24.0</v>
      </c>
      <c r="L253" s="175"/>
      <c r="M253" s="169" t="s">
        <v>486</v>
      </c>
      <c r="N253" s="31" t="b">
        <v>0</v>
      </c>
      <c r="O253" s="31"/>
      <c r="P253" s="31"/>
      <c r="Q253" s="31"/>
      <c r="R253" s="31"/>
      <c r="S253" s="31"/>
      <c r="T253" s="31"/>
      <c r="U253" s="31"/>
      <c r="V253" s="31"/>
      <c r="W253" s="178" t="s">
        <v>513</v>
      </c>
      <c r="X253" s="50"/>
      <c r="Y253" s="51"/>
      <c r="Z253" s="34"/>
    </row>
    <row r="254" ht="25.5" customHeight="1">
      <c r="E254" s="131" t="b">
        <v>1</v>
      </c>
      <c r="F254" s="131" t="b">
        <v>0</v>
      </c>
      <c r="G254" s="131" t="b">
        <v>0</v>
      </c>
      <c r="H254" s="131" t="b">
        <v>0</v>
      </c>
      <c r="I254" s="38">
        <v>43818.0</v>
      </c>
      <c r="J254" s="38">
        <v>43820.0</v>
      </c>
      <c r="K254" s="28">
        <v>48.0</v>
      </c>
      <c r="L254" s="175"/>
      <c r="M254" s="169" t="s">
        <v>486</v>
      </c>
      <c r="N254" s="31" t="b">
        <v>0</v>
      </c>
      <c r="O254" s="31"/>
      <c r="P254" s="31"/>
      <c r="Q254" s="31"/>
      <c r="R254" s="31"/>
      <c r="S254" s="31"/>
      <c r="T254" s="31"/>
      <c r="U254" s="31"/>
      <c r="V254" s="31"/>
      <c r="W254" s="178" t="s">
        <v>513</v>
      </c>
      <c r="X254" s="50"/>
      <c r="Y254" s="51"/>
      <c r="Z254" s="34"/>
    </row>
    <row r="255" ht="25.5" customHeight="1">
      <c r="E255" s="131" t="b">
        <v>1</v>
      </c>
      <c r="F255" s="131" t="b">
        <v>0</v>
      </c>
      <c r="G255" s="131" t="b">
        <v>0</v>
      </c>
      <c r="H255" s="131" t="b">
        <v>0</v>
      </c>
      <c r="I255" s="38">
        <v>43817.0</v>
      </c>
      <c r="J255" s="38">
        <v>43817.0</v>
      </c>
      <c r="K255" s="28">
        <v>24.0</v>
      </c>
      <c r="L255" s="175"/>
      <c r="M255" s="169" t="s">
        <v>486</v>
      </c>
      <c r="N255" s="31" t="b">
        <v>0</v>
      </c>
      <c r="O255" s="31"/>
      <c r="P255" s="31"/>
      <c r="Q255" s="31"/>
      <c r="R255" s="31"/>
      <c r="S255" s="31"/>
      <c r="T255" s="31"/>
      <c r="U255" s="31"/>
      <c r="V255" s="31"/>
      <c r="W255" s="178" t="s">
        <v>513</v>
      </c>
      <c r="X255" s="50"/>
      <c r="Y255" s="51"/>
      <c r="Z255" s="34"/>
    </row>
    <row r="256" ht="25.5" customHeight="1">
      <c r="E256" s="131" t="b">
        <v>1</v>
      </c>
      <c r="F256" s="131" t="b">
        <v>0</v>
      </c>
      <c r="G256" s="131" t="b">
        <v>0</v>
      </c>
      <c r="H256" s="131" t="b">
        <v>0</v>
      </c>
      <c r="I256" s="38">
        <v>43814.0</v>
      </c>
      <c r="J256" s="38">
        <v>43814.0</v>
      </c>
      <c r="K256" s="28">
        <v>24.0</v>
      </c>
      <c r="L256" s="175"/>
      <c r="M256" s="169" t="s">
        <v>486</v>
      </c>
      <c r="N256" s="31" t="b">
        <v>0</v>
      </c>
      <c r="O256" s="31"/>
      <c r="P256" s="31"/>
      <c r="Q256" s="31"/>
      <c r="R256" s="31"/>
      <c r="S256" s="31"/>
      <c r="T256" s="31"/>
      <c r="U256" s="31"/>
      <c r="V256" s="31"/>
      <c r="W256" s="178" t="s">
        <v>513</v>
      </c>
      <c r="X256" s="50"/>
      <c r="Y256" s="51"/>
      <c r="Z256" s="34"/>
    </row>
    <row r="257" ht="25.5" customHeight="1">
      <c r="E257" s="131" t="b">
        <v>1</v>
      </c>
      <c r="F257" s="131" t="b">
        <v>0</v>
      </c>
      <c r="G257" s="131" t="b">
        <v>0</v>
      </c>
      <c r="H257" s="131" t="b">
        <v>0</v>
      </c>
      <c r="I257" s="38">
        <v>43812.0</v>
      </c>
      <c r="J257" s="38">
        <v>43812.0</v>
      </c>
      <c r="K257" s="28">
        <v>24.0</v>
      </c>
      <c r="L257" s="175"/>
      <c r="M257" s="169" t="s">
        <v>486</v>
      </c>
      <c r="N257" s="31" t="b">
        <v>0</v>
      </c>
      <c r="O257" s="31"/>
      <c r="P257" s="31"/>
      <c r="Q257" s="31"/>
      <c r="R257" s="31"/>
      <c r="S257" s="31"/>
      <c r="T257" s="31"/>
      <c r="U257" s="31"/>
      <c r="V257" s="31"/>
      <c r="W257" s="178" t="s">
        <v>513</v>
      </c>
      <c r="X257" s="50"/>
      <c r="Y257" s="51"/>
      <c r="Z257" s="34"/>
    </row>
    <row r="258" ht="25.5" customHeight="1">
      <c r="E258" s="131" t="b">
        <v>1</v>
      </c>
      <c r="F258" s="131" t="b">
        <v>0</v>
      </c>
      <c r="G258" s="131" t="b">
        <v>0</v>
      </c>
      <c r="H258" s="131" t="b">
        <v>0</v>
      </c>
      <c r="I258" s="38">
        <v>43811.0</v>
      </c>
      <c r="J258" s="38">
        <v>43812.0</v>
      </c>
      <c r="K258" s="28">
        <v>24.0</v>
      </c>
      <c r="L258" s="175"/>
      <c r="M258" s="169" t="s">
        <v>486</v>
      </c>
      <c r="N258" s="31" t="b">
        <v>0</v>
      </c>
      <c r="O258" s="31"/>
      <c r="P258" s="31"/>
      <c r="Q258" s="31"/>
      <c r="R258" s="31"/>
      <c r="S258" s="31"/>
      <c r="T258" s="31"/>
      <c r="U258" s="31"/>
      <c r="V258" s="31"/>
      <c r="W258" s="178" t="s">
        <v>513</v>
      </c>
      <c r="X258" s="50"/>
      <c r="Y258" s="51"/>
      <c r="Z258" s="34"/>
    </row>
    <row r="259" ht="25.5" customHeight="1">
      <c r="E259" s="131" t="b">
        <v>1</v>
      </c>
      <c r="F259" s="131" t="b">
        <v>0</v>
      </c>
      <c r="G259" s="131" t="b">
        <v>0</v>
      </c>
      <c r="H259" s="131" t="b">
        <v>0</v>
      </c>
      <c r="I259" s="38">
        <v>43810.0</v>
      </c>
      <c r="J259" s="38">
        <v>43810.0</v>
      </c>
      <c r="K259" s="28">
        <v>24.0</v>
      </c>
      <c r="L259" s="175"/>
      <c r="M259" s="169" t="s">
        <v>486</v>
      </c>
      <c r="N259" s="31" t="b">
        <v>0</v>
      </c>
      <c r="O259" s="31"/>
      <c r="P259" s="31"/>
      <c r="Q259" s="31"/>
      <c r="R259" s="31"/>
      <c r="S259" s="31"/>
      <c r="T259" s="31"/>
      <c r="U259" s="31"/>
      <c r="V259" s="31"/>
      <c r="W259" s="178" t="s">
        <v>513</v>
      </c>
      <c r="X259" s="50"/>
      <c r="Y259" s="51"/>
      <c r="Z259" s="34"/>
    </row>
    <row r="260" ht="25.5" customHeight="1">
      <c r="E260" s="131" t="b">
        <v>1</v>
      </c>
      <c r="F260" s="131" t="b">
        <v>0</v>
      </c>
      <c r="G260" s="131" t="b">
        <v>0</v>
      </c>
      <c r="H260" s="131" t="b">
        <v>0</v>
      </c>
      <c r="I260" s="38">
        <v>43809.0</v>
      </c>
      <c r="J260" s="38">
        <v>43810.0</v>
      </c>
      <c r="K260" s="28">
        <v>24.0</v>
      </c>
      <c r="L260" s="175"/>
      <c r="M260" s="169" t="s">
        <v>486</v>
      </c>
      <c r="N260" s="31" t="b">
        <v>0</v>
      </c>
      <c r="O260" s="31"/>
      <c r="P260" s="31"/>
      <c r="Q260" s="31"/>
      <c r="R260" s="31"/>
      <c r="S260" s="31"/>
      <c r="T260" s="31"/>
      <c r="U260" s="31"/>
      <c r="V260" s="31"/>
      <c r="W260" s="178" t="s">
        <v>513</v>
      </c>
      <c r="X260" s="50"/>
      <c r="Y260" s="51"/>
      <c r="Z260" s="34"/>
    </row>
    <row r="261" ht="25.5" customHeight="1">
      <c r="E261" s="131" t="b">
        <v>1</v>
      </c>
      <c r="F261" s="131" t="b">
        <v>0</v>
      </c>
      <c r="G261" s="131" t="b">
        <v>0</v>
      </c>
      <c r="H261" s="131" t="b">
        <v>0</v>
      </c>
      <c r="I261" s="38">
        <v>43809.0</v>
      </c>
      <c r="J261" s="38">
        <v>43810.0</v>
      </c>
      <c r="K261" s="28">
        <v>24.0</v>
      </c>
      <c r="L261" s="175"/>
      <c r="M261" s="169" t="s">
        <v>486</v>
      </c>
      <c r="N261" s="31" t="b">
        <v>0</v>
      </c>
      <c r="O261" s="31"/>
      <c r="P261" s="31"/>
      <c r="Q261" s="31"/>
      <c r="R261" s="31"/>
      <c r="S261" s="31"/>
      <c r="T261" s="31"/>
      <c r="U261" s="31"/>
      <c r="V261" s="31"/>
      <c r="W261" s="178" t="s">
        <v>513</v>
      </c>
      <c r="X261" s="50"/>
      <c r="Y261" s="51"/>
      <c r="Z261" s="34"/>
    </row>
    <row r="262" ht="25.5" customHeight="1">
      <c r="E262" s="131" t="b">
        <v>0</v>
      </c>
      <c r="F262" s="131" t="b">
        <v>0</v>
      </c>
      <c r="G262" s="131" t="b">
        <v>1</v>
      </c>
      <c r="H262" s="131" t="b">
        <v>0</v>
      </c>
      <c r="I262" s="38">
        <v>43690.0</v>
      </c>
      <c r="J262" s="38">
        <v>43691.0</v>
      </c>
      <c r="K262" s="28">
        <v>24.0</v>
      </c>
      <c r="L262" s="175"/>
      <c r="M262" s="169" t="s">
        <v>486</v>
      </c>
      <c r="N262" s="31" t="b">
        <v>0</v>
      </c>
      <c r="O262" s="31"/>
      <c r="P262" s="31"/>
      <c r="Q262" s="31"/>
      <c r="R262" s="31"/>
      <c r="S262" s="31"/>
      <c r="T262" s="31"/>
      <c r="U262" s="31"/>
      <c r="V262" s="31"/>
      <c r="W262" s="178" t="s">
        <v>513</v>
      </c>
      <c r="X262" s="50"/>
      <c r="Y262" s="51"/>
      <c r="Z262" s="34"/>
    </row>
    <row r="263" ht="25.5" customHeight="1">
      <c r="E263" s="131" t="b">
        <v>1</v>
      </c>
      <c r="F263" s="131" t="b">
        <v>0</v>
      </c>
      <c r="G263" s="131" t="b">
        <v>0</v>
      </c>
      <c r="H263" s="131" t="b">
        <v>0</v>
      </c>
      <c r="I263" s="38">
        <v>43664.0</v>
      </c>
      <c r="J263" s="38">
        <v>43666.0</v>
      </c>
      <c r="K263" s="28">
        <v>48.0</v>
      </c>
      <c r="L263" s="175"/>
      <c r="M263" s="169" t="s">
        <v>486</v>
      </c>
      <c r="N263" s="31" t="b">
        <v>0</v>
      </c>
      <c r="O263" s="31"/>
      <c r="P263" s="31"/>
      <c r="Q263" s="31"/>
      <c r="R263" s="31"/>
      <c r="S263" s="31"/>
      <c r="T263" s="31"/>
      <c r="U263" s="31"/>
      <c r="V263" s="31"/>
      <c r="W263" s="178" t="s">
        <v>513</v>
      </c>
      <c r="X263" s="50"/>
      <c r="Y263" s="51"/>
      <c r="Z263" s="34"/>
    </row>
    <row r="264" ht="25.5" customHeight="1">
      <c r="E264" s="131" t="b">
        <v>1</v>
      </c>
      <c r="F264" s="131" t="b">
        <v>0</v>
      </c>
      <c r="G264" s="131" t="b">
        <v>0</v>
      </c>
      <c r="H264" s="131" t="b">
        <v>0</v>
      </c>
      <c r="I264" s="38">
        <v>43662.0</v>
      </c>
      <c r="J264" s="38">
        <v>43663.0</v>
      </c>
      <c r="K264" s="28">
        <v>24.0</v>
      </c>
      <c r="L264" s="175"/>
      <c r="M264" s="169" t="s">
        <v>486</v>
      </c>
      <c r="N264" s="31" t="b">
        <v>0</v>
      </c>
      <c r="O264" s="31"/>
      <c r="P264" s="31"/>
      <c r="Q264" s="31"/>
      <c r="R264" s="31"/>
      <c r="S264" s="31"/>
      <c r="T264" s="31"/>
      <c r="U264" s="31"/>
      <c r="V264" s="31"/>
      <c r="W264" s="178" t="s">
        <v>513</v>
      </c>
      <c r="X264" s="50"/>
      <c r="Y264" s="51"/>
      <c r="Z264" s="34"/>
    </row>
    <row r="265" ht="25.5" customHeight="1">
      <c r="E265" s="131" t="b">
        <v>1</v>
      </c>
      <c r="F265" s="131" t="b">
        <v>0</v>
      </c>
      <c r="G265" s="131" t="b">
        <v>0</v>
      </c>
      <c r="H265" s="131" t="b">
        <v>0</v>
      </c>
      <c r="I265" s="38">
        <v>43651.0</v>
      </c>
      <c r="J265" s="38">
        <v>43652.0</v>
      </c>
      <c r="K265" s="28">
        <v>24.0</v>
      </c>
      <c r="L265" s="175"/>
      <c r="M265" s="169" t="s">
        <v>486</v>
      </c>
      <c r="N265" s="31" t="b">
        <v>0</v>
      </c>
      <c r="O265" s="31"/>
      <c r="P265" s="31"/>
      <c r="Q265" s="31"/>
      <c r="R265" s="31"/>
      <c r="S265" s="31"/>
      <c r="T265" s="31"/>
      <c r="U265" s="31"/>
      <c r="V265" s="31"/>
      <c r="W265" s="178" t="s">
        <v>513</v>
      </c>
      <c r="X265" s="50"/>
      <c r="Y265" s="51"/>
      <c r="Z265" s="34"/>
    </row>
    <row r="266" ht="25.5" customHeight="1">
      <c r="E266" s="131" t="b">
        <v>1</v>
      </c>
      <c r="F266" s="131" t="b">
        <v>0</v>
      </c>
      <c r="G266" s="131" t="b">
        <v>0</v>
      </c>
      <c r="H266" s="131" t="b">
        <v>0</v>
      </c>
      <c r="I266" s="38">
        <v>43648.0</v>
      </c>
      <c r="J266" s="38">
        <v>43649.0</v>
      </c>
      <c r="K266" s="28">
        <v>24.0</v>
      </c>
      <c r="L266" s="175"/>
      <c r="M266" s="169" t="s">
        <v>486</v>
      </c>
      <c r="N266" s="31" t="b">
        <v>0</v>
      </c>
      <c r="O266" s="31"/>
      <c r="P266" s="31"/>
      <c r="Q266" s="31"/>
      <c r="R266" s="31"/>
      <c r="S266" s="31"/>
      <c r="T266" s="31"/>
      <c r="U266" s="31"/>
      <c r="V266" s="31"/>
      <c r="W266" s="178" t="s">
        <v>513</v>
      </c>
      <c r="X266" s="50"/>
      <c r="Y266" s="51"/>
      <c r="Z266" s="34"/>
    </row>
    <row r="267" ht="25.5" customHeight="1">
      <c r="E267" s="131" t="b">
        <v>0</v>
      </c>
      <c r="F267" s="131" t="b">
        <v>0</v>
      </c>
      <c r="G267" s="131" t="b">
        <v>1</v>
      </c>
      <c r="H267" s="131" t="b">
        <v>0</v>
      </c>
      <c r="I267" s="38">
        <v>43647.0</v>
      </c>
      <c r="J267" s="38">
        <v>43647.0</v>
      </c>
      <c r="K267" s="28">
        <v>24.0</v>
      </c>
      <c r="L267" s="175"/>
      <c r="M267" s="169" t="s">
        <v>486</v>
      </c>
      <c r="N267" s="31" t="b">
        <v>0</v>
      </c>
      <c r="O267" s="31"/>
      <c r="P267" s="31"/>
      <c r="Q267" s="31"/>
      <c r="R267" s="31"/>
      <c r="S267" s="31"/>
      <c r="T267" s="31"/>
      <c r="U267" s="31"/>
      <c r="V267" s="31"/>
      <c r="W267" s="178" t="s">
        <v>513</v>
      </c>
      <c r="X267" s="50"/>
      <c r="Y267" s="51"/>
      <c r="Z267" s="34"/>
    </row>
    <row r="268" ht="25.5" customHeight="1">
      <c r="E268" s="131" t="b">
        <v>0</v>
      </c>
      <c r="F268" s="131" t="b">
        <v>1</v>
      </c>
      <c r="G268" s="131" t="b">
        <v>0</v>
      </c>
      <c r="H268" s="131" t="b">
        <v>0</v>
      </c>
      <c r="I268" s="38">
        <v>43625.0</v>
      </c>
      <c r="J268" s="38">
        <v>43626.0</v>
      </c>
      <c r="K268" s="28">
        <v>24.0</v>
      </c>
      <c r="L268" s="175"/>
      <c r="M268" s="169" t="s">
        <v>486</v>
      </c>
      <c r="N268" s="31" t="b">
        <v>0</v>
      </c>
      <c r="O268" s="31"/>
      <c r="P268" s="31"/>
      <c r="Q268" s="31"/>
      <c r="R268" s="31"/>
      <c r="S268" s="31"/>
      <c r="T268" s="31"/>
      <c r="U268" s="31"/>
      <c r="V268" s="31"/>
      <c r="W268" s="178" t="s">
        <v>513</v>
      </c>
      <c r="X268" s="50"/>
      <c r="Y268" s="51"/>
      <c r="Z268" s="34"/>
    </row>
    <row r="269" ht="25.5" customHeight="1">
      <c r="E269" s="131" t="b">
        <v>1</v>
      </c>
      <c r="F269" s="131" t="b">
        <v>0</v>
      </c>
      <c r="G269" s="131" t="b">
        <v>0</v>
      </c>
      <c r="H269" s="131" t="b">
        <v>0</v>
      </c>
      <c r="I269" s="38">
        <v>43556.0</v>
      </c>
      <c r="J269" s="38">
        <v>43557.0</v>
      </c>
      <c r="K269" s="28">
        <v>24.0</v>
      </c>
      <c r="L269" s="175"/>
      <c r="M269" s="169" t="s">
        <v>486</v>
      </c>
      <c r="N269" s="31" t="b">
        <v>0</v>
      </c>
      <c r="O269" s="31"/>
      <c r="P269" s="31"/>
      <c r="Q269" s="31"/>
      <c r="R269" s="31"/>
      <c r="S269" s="31"/>
      <c r="T269" s="31"/>
      <c r="U269" s="31"/>
      <c r="V269" s="31"/>
      <c r="W269" s="178" t="s">
        <v>513</v>
      </c>
      <c r="X269" s="50"/>
      <c r="Y269" s="51"/>
      <c r="Z269" s="34"/>
    </row>
    <row r="270" ht="25.5" customHeight="1">
      <c r="E270" s="131" t="b">
        <v>1</v>
      </c>
      <c r="F270" s="131" t="b">
        <v>0</v>
      </c>
      <c r="G270" s="131" t="b">
        <v>0</v>
      </c>
      <c r="H270" s="131" t="b">
        <v>0</v>
      </c>
      <c r="I270" s="38">
        <v>43519.0</v>
      </c>
      <c r="J270" s="38">
        <v>43525.0</v>
      </c>
      <c r="K270" s="28">
        <v>144.0</v>
      </c>
      <c r="L270" s="175"/>
      <c r="M270" s="169" t="s">
        <v>486</v>
      </c>
      <c r="N270" s="31" t="b">
        <v>0</v>
      </c>
      <c r="O270" s="31"/>
      <c r="P270" s="31"/>
      <c r="Q270" s="31"/>
      <c r="R270" s="31"/>
      <c r="S270" s="31"/>
      <c r="T270" s="31"/>
      <c r="U270" s="31"/>
      <c r="V270" s="31"/>
      <c r="W270" s="178" t="s">
        <v>513</v>
      </c>
      <c r="X270" s="50"/>
      <c r="Y270" s="51"/>
      <c r="Z270" s="34"/>
    </row>
    <row r="271" ht="25.5" customHeight="1">
      <c r="E271" s="131" t="b">
        <v>1</v>
      </c>
      <c r="F271" s="131" t="b">
        <v>0</v>
      </c>
      <c r="G271" s="131" t="b">
        <v>0</v>
      </c>
      <c r="H271" s="131" t="b">
        <v>0</v>
      </c>
      <c r="I271" s="38">
        <v>43508.0</v>
      </c>
      <c r="J271" s="38">
        <v>43513.0</v>
      </c>
      <c r="K271" s="28">
        <v>120.0</v>
      </c>
      <c r="L271" s="175"/>
      <c r="M271" s="169" t="s">
        <v>486</v>
      </c>
      <c r="N271" s="31" t="b">
        <v>0</v>
      </c>
      <c r="O271" s="31"/>
      <c r="P271" s="31"/>
      <c r="Q271" s="31"/>
      <c r="R271" s="31"/>
      <c r="S271" s="31"/>
      <c r="T271" s="31"/>
      <c r="U271" s="31"/>
      <c r="V271" s="31"/>
      <c r="W271" s="178" t="s">
        <v>513</v>
      </c>
      <c r="X271" s="50"/>
      <c r="Y271" s="51"/>
      <c r="Z271" s="34"/>
    </row>
    <row r="272" ht="25.5" customHeight="1">
      <c r="E272" s="131" t="b">
        <v>1</v>
      </c>
      <c r="F272" s="131" t="b">
        <v>0</v>
      </c>
      <c r="G272" s="131" t="b">
        <v>0</v>
      </c>
      <c r="H272" s="131" t="b">
        <v>0</v>
      </c>
      <c r="I272" s="38">
        <v>43508.0</v>
      </c>
      <c r="J272" s="38">
        <v>43509.0</v>
      </c>
      <c r="K272" s="28">
        <v>24.0</v>
      </c>
      <c r="L272" s="175"/>
      <c r="M272" s="169" t="s">
        <v>486</v>
      </c>
      <c r="N272" s="31" t="b">
        <v>0</v>
      </c>
      <c r="O272" s="31"/>
      <c r="P272" s="31"/>
      <c r="Q272" s="31"/>
      <c r="R272" s="31"/>
      <c r="S272" s="31"/>
      <c r="T272" s="31"/>
      <c r="U272" s="31"/>
      <c r="V272" s="31"/>
      <c r="W272" s="178" t="s">
        <v>513</v>
      </c>
      <c r="X272" s="50"/>
      <c r="Y272" s="51"/>
      <c r="Z272" s="34"/>
    </row>
    <row r="273" ht="25.5" customHeight="1">
      <c r="E273" s="131" t="b">
        <v>0</v>
      </c>
      <c r="F273" s="131" t="b">
        <v>1</v>
      </c>
      <c r="G273" s="131" t="b">
        <v>0</v>
      </c>
      <c r="H273" s="131" t="b">
        <v>0</v>
      </c>
      <c r="I273" s="38">
        <v>43421.0</v>
      </c>
      <c r="J273" s="38">
        <v>43422.0</v>
      </c>
      <c r="K273" s="28">
        <v>24.0</v>
      </c>
      <c r="L273" s="175"/>
      <c r="M273" s="169" t="s">
        <v>486</v>
      </c>
      <c r="N273" s="31" t="b">
        <v>0</v>
      </c>
      <c r="O273" s="31"/>
      <c r="P273" s="31"/>
      <c r="Q273" s="31"/>
      <c r="R273" s="31"/>
      <c r="S273" s="31"/>
      <c r="T273" s="31"/>
      <c r="U273" s="31"/>
      <c r="V273" s="31"/>
      <c r="W273" s="178" t="s">
        <v>513</v>
      </c>
      <c r="X273" s="50"/>
      <c r="Y273" s="51"/>
      <c r="Z273" s="34"/>
    </row>
    <row r="274" ht="25.5" customHeight="1">
      <c r="E274" s="131" t="b">
        <v>1</v>
      </c>
      <c r="F274" s="131" t="b">
        <v>0</v>
      </c>
      <c r="G274" s="131" t="b">
        <v>0</v>
      </c>
      <c r="H274" s="131" t="b">
        <v>0</v>
      </c>
      <c r="I274" s="38">
        <v>43364.0</v>
      </c>
      <c r="J274" s="38">
        <v>43369.0</v>
      </c>
      <c r="K274" s="28">
        <v>120.0</v>
      </c>
      <c r="L274" s="175"/>
      <c r="M274" s="169" t="s">
        <v>486</v>
      </c>
      <c r="N274" s="31" t="b">
        <v>0</v>
      </c>
      <c r="O274" s="31"/>
      <c r="P274" s="31"/>
      <c r="Q274" s="31"/>
      <c r="R274" s="31"/>
      <c r="S274" s="31"/>
      <c r="T274" s="31"/>
      <c r="U274" s="31"/>
      <c r="V274" s="31"/>
      <c r="W274" s="178" t="s">
        <v>513</v>
      </c>
      <c r="X274" s="50"/>
      <c r="Y274" s="51"/>
      <c r="Z274" s="34"/>
    </row>
    <row r="275" ht="25.5" customHeight="1">
      <c r="E275" s="131" t="b">
        <v>0</v>
      </c>
      <c r="F275" s="131" t="b">
        <v>0</v>
      </c>
      <c r="G275" s="131" t="b">
        <v>1</v>
      </c>
      <c r="H275" s="131" t="b">
        <v>0</v>
      </c>
      <c r="I275" s="38">
        <v>43354.0</v>
      </c>
      <c r="J275" s="38">
        <v>43355.0</v>
      </c>
      <c r="K275" s="28">
        <v>24.0</v>
      </c>
      <c r="L275" s="175"/>
      <c r="M275" s="169" t="s">
        <v>486</v>
      </c>
      <c r="N275" s="31" t="b">
        <v>0</v>
      </c>
      <c r="O275" s="31"/>
      <c r="P275" s="31"/>
      <c r="Q275" s="31"/>
      <c r="R275" s="31"/>
      <c r="S275" s="31"/>
      <c r="T275" s="31"/>
      <c r="U275" s="31"/>
      <c r="V275" s="31"/>
      <c r="W275" s="178" t="s">
        <v>513</v>
      </c>
      <c r="X275" s="50"/>
      <c r="Y275" s="51"/>
      <c r="Z275" s="34"/>
    </row>
    <row r="276" ht="25.5" customHeight="1">
      <c r="E276" s="131" t="b">
        <v>1</v>
      </c>
      <c r="F276" s="131" t="b">
        <v>0</v>
      </c>
      <c r="G276" s="131" t="b">
        <v>0</v>
      </c>
      <c r="H276" s="131" t="b">
        <v>0</v>
      </c>
      <c r="I276" s="38">
        <v>43330.0</v>
      </c>
      <c r="J276" s="38">
        <v>43331.0</v>
      </c>
      <c r="K276" s="28">
        <v>24.0</v>
      </c>
      <c r="L276" s="175"/>
      <c r="M276" s="169" t="s">
        <v>486</v>
      </c>
      <c r="N276" s="31" t="b">
        <v>0</v>
      </c>
      <c r="O276" s="31"/>
      <c r="P276" s="31"/>
      <c r="Q276" s="31"/>
      <c r="R276" s="31"/>
      <c r="S276" s="31"/>
      <c r="T276" s="31"/>
      <c r="U276" s="31"/>
      <c r="V276" s="31"/>
      <c r="W276" s="178" t="s">
        <v>513</v>
      </c>
      <c r="X276" s="50"/>
      <c r="Y276" s="51"/>
      <c r="Z276" s="34"/>
    </row>
    <row r="277" ht="25.5" customHeight="1">
      <c r="E277" s="131" t="b">
        <v>1</v>
      </c>
      <c r="F277" s="131" t="b">
        <v>0</v>
      </c>
      <c r="G277" s="131" t="b">
        <v>0</v>
      </c>
      <c r="H277" s="131" t="b">
        <v>0</v>
      </c>
      <c r="I277" s="38">
        <v>43321.0</v>
      </c>
      <c r="J277" s="38">
        <v>43322.0</v>
      </c>
      <c r="K277" s="28">
        <v>24.0</v>
      </c>
      <c r="L277" s="175"/>
      <c r="M277" s="169" t="s">
        <v>486</v>
      </c>
      <c r="N277" s="31" t="b">
        <v>0</v>
      </c>
      <c r="O277" s="31"/>
      <c r="P277" s="31"/>
      <c r="Q277" s="31"/>
      <c r="R277" s="31"/>
      <c r="S277" s="31"/>
      <c r="T277" s="31"/>
      <c r="U277" s="31"/>
      <c r="V277" s="31"/>
      <c r="W277" s="178" t="s">
        <v>513</v>
      </c>
      <c r="X277" s="50"/>
      <c r="Y277" s="51"/>
      <c r="Z277" s="34"/>
    </row>
    <row r="278" ht="25.5" customHeight="1">
      <c r="E278" s="131" t="b">
        <v>1</v>
      </c>
      <c r="F278" s="131" t="b">
        <v>0</v>
      </c>
      <c r="G278" s="131" t="b">
        <v>0</v>
      </c>
      <c r="H278" s="131" t="b">
        <v>0</v>
      </c>
      <c r="I278" s="38">
        <v>43306.0</v>
      </c>
      <c r="J278" s="38">
        <v>43307.0</v>
      </c>
      <c r="K278" s="28">
        <v>24.0</v>
      </c>
      <c r="L278" s="175"/>
      <c r="M278" s="169" t="s">
        <v>486</v>
      </c>
      <c r="N278" s="31" t="b">
        <v>0</v>
      </c>
      <c r="O278" s="31"/>
      <c r="P278" s="31"/>
      <c r="Q278" s="31"/>
      <c r="R278" s="31"/>
      <c r="S278" s="31"/>
      <c r="T278" s="31"/>
      <c r="U278" s="31"/>
      <c r="V278" s="31"/>
      <c r="W278" s="178" t="s">
        <v>513</v>
      </c>
      <c r="X278" s="50"/>
      <c r="Y278" s="51"/>
      <c r="Z278" s="34"/>
    </row>
    <row r="279" ht="25.5" customHeight="1">
      <c r="E279" s="131" t="b">
        <v>1</v>
      </c>
      <c r="F279" s="131" t="b">
        <v>0</v>
      </c>
      <c r="G279" s="131" t="b">
        <v>0</v>
      </c>
      <c r="H279" s="131" t="b">
        <v>0</v>
      </c>
      <c r="I279" s="38">
        <v>43305.0</v>
      </c>
      <c r="J279" s="38">
        <v>43305.0</v>
      </c>
      <c r="K279" s="28">
        <v>24.0</v>
      </c>
      <c r="L279" s="175"/>
      <c r="M279" s="169" t="s">
        <v>486</v>
      </c>
      <c r="N279" s="31" t="b">
        <v>0</v>
      </c>
      <c r="O279" s="31"/>
      <c r="P279" s="31"/>
      <c r="Q279" s="31"/>
      <c r="R279" s="31"/>
      <c r="S279" s="31"/>
      <c r="T279" s="31"/>
      <c r="U279" s="31"/>
      <c r="V279" s="31"/>
      <c r="W279" s="178" t="s">
        <v>513</v>
      </c>
      <c r="X279" s="50"/>
      <c r="Y279" s="51"/>
      <c r="Z279" s="34"/>
    </row>
    <row r="280" ht="25.5" customHeight="1">
      <c r="E280" s="131" t="b">
        <v>0</v>
      </c>
      <c r="F280" s="131" t="b">
        <v>0</v>
      </c>
      <c r="G280" s="131" t="b">
        <v>1</v>
      </c>
      <c r="H280" s="131" t="b">
        <v>0</v>
      </c>
      <c r="I280" s="38">
        <v>43301.0</v>
      </c>
      <c r="J280" s="38">
        <v>43307.0</v>
      </c>
      <c r="K280" s="28">
        <v>144.0</v>
      </c>
      <c r="L280" s="175"/>
      <c r="M280" s="169" t="s">
        <v>486</v>
      </c>
      <c r="N280" s="31" t="b">
        <v>0</v>
      </c>
      <c r="O280" s="31"/>
      <c r="P280" s="31"/>
      <c r="Q280" s="31"/>
      <c r="R280" s="31"/>
      <c r="S280" s="31"/>
      <c r="T280" s="31"/>
      <c r="U280" s="31"/>
      <c r="V280" s="31"/>
      <c r="W280" s="178" t="s">
        <v>513</v>
      </c>
      <c r="X280" s="50"/>
      <c r="Y280" s="51"/>
      <c r="Z280" s="34"/>
    </row>
    <row r="281" ht="25.5" customHeight="1">
      <c r="E281" s="131" t="b">
        <v>1</v>
      </c>
      <c r="F281" s="131" t="b">
        <v>0</v>
      </c>
      <c r="G281" s="131" t="b">
        <v>0</v>
      </c>
      <c r="H281" s="131" t="b">
        <v>0</v>
      </c>
      <c r="I281" s="38">
        <v>43259.0</v>
      </c>
      <c r="J281" s="38">
        <v>43260.0</v>
      </c>
      <c r="K281" s="28">
        <v>24.0</v>
      </c>
      <c r="L281" s="175"/>
      <c r="M281" s="169" t="s">
        <v>486</v>
      </c>
      <c r="N281" s="31" t="b">
        <v>0</v>
      </c>
      <c r="O281" s="31"/>
      <c r="P281" s="31"/>
      <c r="Q281" s="31"/>
      <c r="R281" s="31"/>
      <c r="S281" s="31"/>
      <c r="T281" s="31"/>
      <c r="U281" s="31"/>
      <c r="V281" s="31"/>
      <c r="W281" s="178" t="s">
        <v>513</v>
      </c>
      <c r="X281" s="50"/>
      <c r="Y281" s="51"/>
      <c r="Z281" s="34"/>
    </row>
    <row r="282" ht="25.5" customHeight="1">
      <c r="E282" s="131" t="b">
        <v>1</v>
      </c>
      <c r="F282" s="131" t="b">
        <v>0</v>
      </c>
      <c r="G282" s="131" t="b">
        <v>0</v>
      </c>
      <c r="H282" s="131" t="b">
        <v>0</v>
      </c>
      <c r="I282" s="38">
        <v>43244.0</v>
      </c>
      <c r="J282" s="38">
        <v>43247.0</v>
      </c>
      <c r="K282" s="28">
        <v>72.0</v>
      </c>
      <c r="L282" s="175"/>
      <c r="M282" s="169" t="s">
        <v>486</v>
      </c>
      <c r="N282" s="31" t="b">
        <v>0</v>
      </c>
      <c r="O282" s="31"/>
      <c r="P282" s="31"/>
      <c r="Q282" s="31"/>
      <c r="R282" s="31"/>
      <c r="S282" s="31"/>
      <c r="T282" s="31"/>
      <c r="U282" s="31"/>
      <c r="V282" s="31"/>
      <c r="W282" s="178" t="s">
        <v>513</v>
      </c>
      <c r="X282" s="50"/>
      <c r="Y282" s="51"/>
      <c r="Z282" s="34"/>
    </row>
    <row r="283" ht="25.5" customHeight="1">
      <c r="E283" s="131" t="b">
        <v>1</v>
      </c>
      <c r="F283" s="131" t="b">
        <v>0</v>
      </c>
      <c r="G283" s="131" t="b">
        <v>0</v>
      </c>
      <c r="H283" s="131" t="b">
        <v>0</v>
      </c>
      <c r="I283" s="38">
        <v>43224.0</v>
      </c>
      <c r="J283" s="38">
        <v>43225.0</v>
      </c>
      <c r="K283" s="28">
        <v>24.0</v>
      </c>
      <c r="L283" s="175"/>
      <c r="M283" s="169" t="s">
        <v>486</v>
      </c>
      <c r="N283" s="31" t="b">
        <v>0</v>
      </c>
      <c r="O283" s="31"/>
      <c r="P283" s="31"/>
      <c r="Q283" s="31"/>
      <c r="R283" s="31"/>
      <c r="S283" s="31"/>
      <c r="T283" s="31"/>
      <c r="U283" s="31"/>
      <c r="V283" s="31"/>
      <c r="W283" s="178" t="s">
        <v>513</v>
      </c>
      <c r="X283" s="50"/>
      <c r="Y283" s="51"/>
      <c r="Z283" s="34"/>
    </row>
    <row r="284" ht="25.5" customHeight="1">
      <c r="E284" s="131" t="b">
        <v>1</v>
      </c>
      <c r="F284" s="131" t="b">
        <v>0</v>
      </c>
      <c r="G284" s="131" t="b">
        <v>0</v>
      </c>
      <c r="H284" s="131" t="b">
        <v>0</v>
      </c>
      <c r="I284" s="38">
        <v>43192.0</v>
      </c>
      <c r="J284" s="38">
        <v>43193.0</v>
      </c>
      <c r="K284" s="28">
        <v>24.0</v>
      </c>
      <c r="L284" s="175"/>
      <c r="M284" s="169" t="s">
        <v>486</v>
      </c>
      <c r="N284" s="31" t="b">
        <v>0</v>
      </c>
      <c r="O284" s="31"/>
      <c r="P284" s="31"/>
      <c r="Q284" s="31"/>
      <c r="R284" s="31"/>
      <c r="S284" s="31"/>
      <c r="T284" s="31"/>
      <c r="U284" s="31"/>
      <c r="V284" s="31"/>
      <c r="W284" s="178" t="s">
        <v>513</v>
      </c>
      <c r="X284" s="50"/>
      <c r="Y284" s="51"/>
      <c r="Z284" s="34"/>
    </row>
    <row r="285" ht="25.5" customHeight="1">
      <c r="E285" s="131" t="b">
        <v>1</v>
      </c>
      <c r="F285" s="131" t="b">
        <v>0</v>
      </c>
      <c r="G285" s="131" t="b">
        <v>0</v>
      </c>
      <c r="H285" s="131" t="b">
        <v>0</v>
      </c>
      <c r="I285" s="38">
        <v>43191.0</v>
      </c>
      <c r="J285" s="38">
        <v>43192.0</v>
      </c>
      <c r="K285" s="28">
        <v>24.0</v>
      </c>
      <c r="L285" s="175"/>
      <c r="M285" s="169" t="s">
        <v>486</v>
      </c>
      <c r="N285" s="31" t="b">
        <v>0</v>
      </c>
      <c r="O285" s="31"/>
      <c r="P285" s="31"/>
      <c r="Q285" s="31"/>
      <c r="R285" s="31"/>
      <c r="S285" s="31"/>
      <c r="T285" s="31"/>
      <c r="U285" s="31"/>
      <c r="V285" s="31"/>
      <c r="W285" s="178" t="s">
        <v>513</v>
      </c>
      <c r="X285" s="50"/>
      <c r="Y285" s="51"/>
      <c r="Z285" s="34"/>
    </row>
    <row r="286" ht="25.5" customHeight="1">
      <c r="E286" s="131" t="b">
        <v>1</v>
      </c>
      <c r="F286" s="131" t="b">
        <v>0</v>
      </c>
      <c r="G286" s="131" t="b">
        <v>0</v>
      </c>
      <c r="H286" s="131" t="b">
        <v>0</v>
      </c>
      <c r="I286" s="38">
        <v>43127.0</v>
      </c>
      <c r="J286" s="38">
        <v>43128.0</v>
      </c>
      <c r="K286" s="28">
        <v>24.0</v>
      </c>
      <c r="L286" s="175"/>
      <c r="M286" s="169" t="s">
        <v>486</v>
      </c>
      <c r="N286" s="31" t="b">
        <v>0</v>
      </c>
      <c r="O286" s="31"/>
      <c r="P286" s="31"/>
      <c r="Q286" s="31"/>
      <c r="R286" s="31"/>
      <c r="S286" s="31"/>
      <c r="T286" s="31"/>
      <c r="U286" s="31"/>
      <c r="V286" s="31"/>
      <c r="W286" s="178" t="s">
        <v>513</v>
      </c>
      <c r="X286" s="50"/>
      <c r="Y286" s="51"/>
      <c r="Z286" s="34"/>
    </row>
    <row r="287" ht="25.5" customHeight="1">
      <c r="E287" s="131" t="b">
        <v>1</v>
      </c>
      <c r="F287" s="131" t="b">
        <v>0</v>
      </c>
      <c r="G287" s="131" t="b">
        <v>0</v>
      </c>
      <c r="H287" s="131" t="b">
        <v>0</v>
      </c>
      <c r="I287" s="38">
        <v>43103.0</v>
      </c>
      <c r="J287" s="38">
        <v>43104.0</v>
      </c>
      <c r="K287" s="28">
        <v>24.0</v>
      </c>
      <c r="L287" s="175"/>
      <c r="M287" s="169" t="s">
        <v>486</v>
      </c>
      <c r="N287" s="31" t="b">
        <v>0</v>
      </c>
      <c r="O287" s="31"/>
      <c r="P287" s="31"/>
      <c r="Q287" s="31"/>
      <c r="R287" s="31"/>
      <c r="S287" s="31"/>
      <c r="T287" s="31"/>
      <c r="U287" s="31"/>
      <c r="V287" s="31"/>
      <c r="W287" s="178" t="s">
        <v>513</v>
      </c>
      <c r="X287" s="50"/>
      <c r="Y287" s="51"/>
      <c r="Z287" s="34"/>
    </row>
    <row r="288" ht="25.5" customHeight="1">
      <c r="E288" s="131" t="b">
        <v>1</v>
      </c>
      <c r="F288" s="131" t="b">
        <v>0</v>
      </c>
      <c r="G288" s="131" t="b">
        <v>0</v>
      </c>
      <c r="H288" s="131" t="b">
        <v>0</v>
      </c>
      <c r="I288" s="38">
        <v>43102.0</v>
      </c>
      <c r="J288" s="38">
        <v>43109.0</v>
      </c>
      <c r="K288" s="28">
        <v>168.0</v>
      </c>
      <c r="L288" s="175"/>
      <c r="M288" s="169" t="s">
        <v>486</v>
      </c>
      <c r="N288" s="31" t="b">
        <v>0</v>
      </c>
      <c r="O288" s="31"/>
      <c r="P288" s="31"/>
      <c r="Q288" s="31"/>
      <c r="R288" s="31"/>
      <c r="S288" s="31"/>
      <c r="T288" s="31"/>
      <c r="U288" s="31"/>
      <c r="V288" s="31"/>
      <c r="W288" s="178" t="s">
        <v>513</v>
      </c>
      <c r="X288" s="50"/>
      <c r="Y288" s="51"/>
      <c r="Z288" s="34"/>
    </row>
    <row r="289" ht="25.5" customHeight="1">
      <c r="E289" s="131" t="b">
        <v>1</v>
      </c>
      <c r="F289" s="131" t="b">
        <v>0</v>
      </c>
      <c r="G289" s="131" t="b">
        <v>0</v>
      </c>
      <c r="H289" s="131" t="b">
        <v>0</v>
      </c>
      <c r="I289" s="38">
        <v>43100.0</v>
      </c>
      <c r="J289" s="38">
        <v>43101.0</v>
      </c>
      <c r="K289" s="28">
        <v>24.0</v>
      </c>
      <c r="L289" s="175"/>
      <c r="M289" s="169" t="s">
        <v>486</v>
      </c>
      <c r="N289" s="31" t="b">
        <v>0</v>
      </c>
      <c r="O289" s="31"/>
      <c r="P289" s="31"/>
      <c r="Q289" s="31"/>
      <c r="R289" s="31"/>
      <c r="S289" s="31"/>
      <c r="T289" s="31"/>
      <c r="U289" s="31"/>
      <c r="V289" s="31"/>
      <c r="W289" s="178" t="s">
        <v>513</v>
      </c>
      <c r="X289" s="50"/>
      <c r="Y289" s="51"/>
      <c r="Z289" s="34"/>
    </row>
    <row r="290" ht="25.5" customHeight="1">
      <c r="E290" s="131" t="b">
        <v>0</v>
      </c>
      <c r="F290" s="131" t="b">
        <v>0</v>
      </c>
      <c r="G290" s="131" t="b">
        <v>1</v>
      </c>
      <c r="H290" s="131" t="b">
        <v>0</v>
      </c>
      <c r="I290" s="38">
        <v>43100.0</v>
      </c>
      <c r="J290" s="38">
        <v>43102.0</v>
      </c>
      <c r="K290" s="28">
        <v>48.0</v>
      </c>
      <c r="L290" s="175"/>
      <c r="M290" s="169" t="s">
        <v>486</v>
      </c>
      <c r="N290" s="31" t="b">
        <v>0</v>
      </c>
      <c r="O290" s="31"/>
      <c r="P290" s="31"/>
      <c r="Q290" s="31"/>
      <c r="R290" s="31"/>
      <c r="S290" s="31"/>
      <c r="T290" s="31"/>
      <c r="U290" s="31"/>
      <c r="V290" s="31"/>
      <c r="W290" s="178" t="s">
        <v>513</v>
      </c>
      <c r="X290" s="50"/>
      <c r="Y290" s="51"/>
      <c r="Z290" s="34"/>
    </row>
    <row r="291" ht="25.5" customHeight="1">
      <c r="E291" s="131" t="b">
        <v>0</v>
      </c>
      <c r="F291" s="131" t="b">
        <v>0</v>
      </c>
      <c r="G291" s="131" t="b">
        <v>1</v>
      </c>
      <c r="H291" s="131" t="b">
        <v>0</v>
      </c>
      <c r="I291" s="38">
        <v>43077.0</v>
      </c>
      <c r="J291" s="38">
        <v>43078.0</v>
      </c>
      <c r="K291" s="28">
        <v>24.0</v>
      </c>
      <c r="L291" s="175"/>
      <c r="M291" s="169" t="s">
        <v>486</v>
      </c>
      <c r="N291" s="31" t="b">
        <v>0</v>
      </c>
      <c r="O291" s="31"/>
      <c r="P291" s="31"/>
      <c r="Q291" s="31"/>
      <c r="R291" s="31"/>
      <c r="S291" s="31"/>
      <c r="T291" s="31"/>
      <c r="U291" s="31"/>
      <c r="V291" s="31"/>
      <c r="W291" s="178" t="s">
        <v>513</v>
      </c>
      <c r="X291" s="50"/>
      <c r="Y291" s="51"/>
      <c r="Z291" s="34"/>
    </row>
    <row r="292" ht="25.5" customHeight="1">
      <c r="E292" s="131" t="b">
        <v>0</v>
      </c>
      <c r="F292" s="131" t="b">
        <v>0</v>
      </c>
      <c r="G292" s="131" t="b">
        <v>1</v>
      </c>
      <c r="H292" s="131" t="b">
        <v>0</v>
      </c>
      <c r="I292" s="38">
        <v>43072.0</v>
      </c>
      <c r="J292" s="38">
        <v>43073.0</v>
      </c>
      <c r="K292" s="28">
        <v>24.0</v>
      </c>
      <c r="L292" s="175"/>
      <c r="M292" s="169" t="s">
        <v>486</v>
      </c>
      <c r="N292" s="31" t="b">
        <v>0</v>
      </c>
      <c r="O292" s="31"/>
      <c r="P292" s="31"/>
      <c r="Q292" s="31"/>
      <c r="R292" s="31"/>
      <c r="S292" s="31"/>
      <c r="T292" s="31"/>
      <c r="U292" s="31"/>
      <c r="V292" s="31"/>
      <c r="W292" s="178" t="s">
        <v>513</v>
      </c>
      <c r="X292" s="50"/>
      <c r="Y292" s="51"/>
      <c r="Z292" s="34"/>
    </row>
    <row r="293" ht="25.5" customHeight="1">
      <c r="E293" s="131" t="b">
        <v>1</v>
      </c>
      <c r="F293" s="131" t="b">
        <v>0</v>
      </c>
      <c r="G293" s="131" t="b">
        <v>0</v>
      </c>
      <c r="H293" s="131" t="b">
        <v>0</v>
      </c>
      <c r="I293" s="38">
        <v>43063.0</v>
      </c>
      <c r="J293" s="38">
        <v>43065.0</v>
      </c>
      <c r="K293" s="28">
        <v>48.0</v>
      </c>
      <c r="L293" s="175"/>
      <c r="M293" s="169" t="s">
        <v>486</v>
      </c>
      <c r="N293" s="31" t="b">
        <v>0</v>
      </c>
      <c r="O293" s="31"/>
      <c r="P293" s="31"/>
      <c r="Q293" s="31"/>
      <c r="R293" s="31"/>
      <c r="S293" s="31"/>
      <c r="T293" s="31"/>
      <c r="U293" s="31"/>
      <c r="V293" s="31"/>
      <c r="W293" s="178" t="s">
        <v>513</v>
      </c>
      <c r="X293" s="50"/>
      <c r="Y293" s="51"/>
      <c r="Z293" s="34"/>
    </row>
    <row r="294" ht="25.5" customHeight="1">
      <c r="E294" s="131" t="b">
        <v>1</v>
      </c>
      <c r="F294" s="131" t="b">
        <v>0</v>
      </c>
      <c r="G294" s="131" t="b">
        <v>0</v>
      </c>
      <c r="H294" s="131" t="b">
        <v>0</v>
      </c>
      <c r="I294" s="38">
        <v>43048.0</v>
      </c>
      <c r="J294" s="38">
        <v>43049.0</v>
      </c>
      <c r="K294" s="28">
        <v>24.0</v>
      </c>
      <c r="L294" s="175"/>
      <c r="M294" s="169" t="s">
        <v>486</v>
      </c>
      <c r="N294" s="31" t="b">
        <v>0</v>
      </c>
      <c r="O294" s="31"/>
      <c r="P294" s="31"/>
      <c r="Q294" s="31"/>
      <c r="R294" s="31"/>
      <c r="S294" s="31"/>
      <c r="T294" s="31"/>
      <c r="U294" s="31"/>
      <c r="V294" s="31"/>
      <c r="W294" s="178" t="s">
        <v>513</v>
      </c>
      <c r="X294" s="50"/>
      <c r="Y294" s="51"/>
      <c r="Z294" s="34"/>
    </row>
    <row r="295" ht="25.5" customHeight="1">
      <c r="E295" s="131" t="b">
        <v>0</v>
      </c>
      <c r="F295" s="131" t="b">
        <v>0</v>
      </c>
      <c r="G295" s="131" t="b">
        <v>1</v>
      </c>
      <c r="H295" s="131" t="b">
        <v>0</v>
      </c>
      <c r="I295" s="38">
        <v>42986.0</v>
      </c>
      <c r="J295" s="38">
        <v>42988.0</v>
      </c>
      <c r="K295" s="28">
        <v>48.0</v>
      </c>
      <c r="L295" s="175"/>
      <c r="M295" s="169" t="s">
        <v>486</v>
      </c>
      <c r="N295" s="31" t="b">
        <v>0</v>
      </c>
      <c r="O295" s="31"/>
      <c r="P295" s="31"/>
      <c r="Q295" s="31"/>
      <c r="R295" s="31"/>
      <c r="S295" s="31"/>
      <c r="T295" s="31"/>
      <c r="U295" s="31"/>
      <c r="V295" s="31"/>
      <c r="W295" s="178" t="s">
        <v>513</v>
      </c>
      <c r="X295" s="50"/>
      <c r="Y295" s="51"/>
      <c r="Z295" s="34"/>
    </row>
    <row r="296" ht="25.5" customHeight="1">
      <c r="E296" s="131" t="b">
        <v>0</v>
      </c>
      <c r="F296" s="131" t="b">
        <v>0</v>
      </c>
      <c r="G296" s="131" t="b">
        <v>1</v>
      </c>
      <c r="H296" s="131" t="b">
        <v>0</v>
      </c>
      <c r="I296" s="38">
        <v>42930.0</v>
      </c>
      <c r="J296" s="38">
        <v>42934.0</v>
      </c>
      <c r="K296" s="28">
        <v>96.0</v>
      </c>
      <c r="L296" s="175"/>
      <c r="M296" s="169" t="s">
        <v>486</v>
      </c>
      <c r="N296" s="31" t="b">
        <v>0</v>
      </c>
      <c r="O296" s="31"/>
      <c r="P296" s="31"/>
      <c r="Q296" s="31"/>
      <c r="R296" s="31"/>
      <c r="S296" s="31"/>
      <c r="T296" s="31"/>
      <c r="U296" s="31"/>
      <c r="V296" s="31"/>
      <c r="W296" s="178" t="s">
        <v>513</v>
      </c>
      <c r="X296" s="50"/>
      <c r="Y296" s="51"/>
      <c r="Z296" s="34"/>
    </row>
    <row r="297" ht="25.5" customHeight="1">
      <c r="E297" s="131" t="b">
        <v>0</v>
      </c>
      <c r="F297" s="131" t="b">
        <v>0</v>
      </c>
      <c r="G297" s="131" t="b">
        <v>1</v>
      </c>
      <c r="H297" s="131" t="b">
        <v>0</v>
      </c>
      <c r="I297" s="38">
        <v>42927.0</v>
      </c>
      <c r="J297" s="38">
        <v>42930.0</v>
      </c>
      <c r="K297" s="28">
        <v>72.0</v>
      </c>
      <c r="L297" s="175"/>
      <c r="M297" s="169" t="s">
        <v>486</v>
      </c>
      <c r="N297" s="31" t="b">
        <v>0</v>
      </c>
      <c r="O297" s="31"/>
      <c r="P297" s="31"/>
      <c r="Q297" s="31"/>
      <c r="R297" s="31"/>
      <c r="S297" s="31"/>
      <c r="T297" s="31"/>
      <c r="U297" s="31"/>
      <c r="V297" s="31"/>
      <c r="W297" s="178" t="s">
        <v>513</v>
      </c>
      <c r="X297" s="50"/>
      <c r="Y297" s="51"/>
      <c r="Z297" s="34"/>
    </row>
    <row r="298" ht="25.5" customHeight="1">
      <c r="E298" s="131" t="b">
        <v>1</v>
      </c>
      <c r="F298" s="131" t="b">
        <v>0</v>
      </c>
      <c r="G298" s="131" t="b">
        <v>0</v>
      </c>
      <c r="H298" s="131" t="b">
        <v>0</v>
      </c>
      <c r="I298" s="38">
        <v>42921.0</v>
      </c>
      <c r="J298" s="38">
        <v>42926.0</v>
      </c>
      <c r="K298" s="28">
        <v>120.0</v>
      </c>
      <c r="L298" s="175"/>
      <c r="M298" s="169" t="s">
        <v>486</v>
      </c>
      <c r="N298" s="31" t="b">
        <v>0</v>
      </c>
      <c r="O298" s="31"/>
      <c r="P298" s="31"/>
      <c r="Q298" s="31"/>
      <c r="R298" s="31"/>
      <c r="S298" s="31"/>
      <c r="T298" s="31"/>
      <c r="U298" s="31"/>
      <c r="V298" s="31"/>
      <c r="W298" s="178" t="s">
        <v>513</v>
      </c>
      <c r="X298" s="50"/>
      <c r="Y298" s="51"/>
      <c r="Z298" s="34"/>
    </row>
    <row r="299" ht="25.5" customHeight="1">
      <c r="E299" s="131" t="b">
        <v>1</v>
      </c>
      <c r="F299" s="131" t="b">
        <v>0</v>
      </c>
      <c r="G299" s="131" t="b">
        <v>0</v>
      </c>
      <c r="H299" s="131" t="b">
        <v>0</v>
      </c>
      <c r="I299" s="38">
        <v>42916.0</v>
      </c>
      <c r="J299" s="38">
        <v>42921.0</v>
      </c>
      <c r="K299" s="28">
        <v>120.0</v>
      </c>
      <c r="L299" s="175"/>
      <c r="M299" s="169" t="s">
        <v>486</v>
      </c>
      <c r="N299" s="31" t="b">
        <v>0</v>
      </c>
      <c r="O299" s="31"/>
      <c r="P299" s="31"/>
      <c r="Q299" s="31"/>
      <c r="R299" s="31"/>
      <c r="S299" s="31"/>
      <c r="T299" s="31"/>
      <c r="U299" s="31"/>
      <c r="V299" s="31"/>
      <c r="W299" s="178" t="s">
        <v>513</v>
      </c>
      <c r="X299" s="50"/>
      <c r="Y299" s="51"/>
      <c r="Z299" s="34"/>
    </row>
    <row r="300" ht="25.5" customHeight="1">
      <c r="E300" s="131" t="b">
        <v>1</v>
      </c>
      <c r="F300" s="131" t="b">
        <v>0</v>
      </c>
      <c r="G300" s="131" t="b">
        <v>0</v>
      </c>
      <c r="H300" s="131" t="b">
        <v>0</v>
      </c>
      <c r="I300" s="38">
        <v>42904.0</v>
      </c>
      <c r="J300" s="38">
        <v>42950.0</v>
      </c>
      <c r="K300" s="28">
        <v>1104.0</v>
      </c>
      <c r="L300" s="175"/>
      <c r="M300" s="169" t="s">
        <v>486</v>
      </c>
      <c r="N300" s="31" t="b">
        <v>0</v>
      </c>
      <c r="O300" s="31"/>
      <c r="P300" s="31"/>
      <c r="Q300" s="31"/>
      <c r="R300" s="31"/>
      <c r="S300" s="31"/>
      <c r="T300" s="31"/>
      <c r="U300" s="31"/>
      <c r="V300" s="31"/>
      <c r="W300" s="178" t="s">
        <v>513</v>
      </c>
      <c r="X300" s="50"/>
      <c r="Y300" s="51"/>
      <c r="Z300" s="34"/>
    </row>
    <row r="301" ht="25.5" customHeight="1">
      <c r="E301" s="131" t="b">
        <v>1</v>
      </c>
      <c r="F301" s="131" t="b">
        <v>0</v>
      </c>
      <c r="G301" s="131" t="b">
        <v>0</v>
      </c>
      <c r="H301" s="131" t="b">
        <v>0</v>
      </c>
      <c r="I301" s="38">
        <v>42894.0</v>
      </c>
      <c r="J301" s="38">
        <v>42896.0</v>
      </c>
      <c r="K301" s="28">
        <v>48.0</v>
      </c>
      <c r="L301" s="175"/>
      <c r="M301" s="169" t="s">
        <v>486</v>
      </c>
      <c r="N301" s="31" t="b">
        <v>0</v>
      </c>
      <c r="O301" s="31"/>
      <c r="P301" s="31"/>
      <c r="Q301" s="31"/>
      <c r="R301" s="31"/>
      <c r="S301" s="31"/>
      <c r="T301" s="31"/>
      <c r="U301" s="31"/>
      <c r="V301" s="31"/>
      <c r="W301" s="178" t="s">
        <v>513</v>
      </c>
      <c r="X301" s="50"/>
      <c r="Y301" s="51"/>
      <c r="Z301" s="34"/>
    </row>
    <row r="302" ht="25.5" customHeight="1">
      <c r="E302" s="131" t="b">
        <v>1</v>
      </c>
      <c r="F302" s="131" t="b">
        <v>0</v>
      </c>
      <c r="G302" s="131" t="b">
        <v>0</v>
      </c>
      <c r="H302" s="131" t="b">
        <v>0</v>
      </c>
      <c r="I302" s="38">
        <v>42892.0</v>
      </c>
      <c r="J302" s="38">
        <v>42893.0</v>
      </c>
      <c r="K302" s="28">
        <v>24.0</v>
      </c>
      <c r="L302" s="175"/>
      <c r="M302" s="169" t="s">
        <v>486</v>
      </c>
      <c r="N302" s="31" t="b">
        <v>0</v>
      </c>
      <c r="O302" s="31"/>
      <c r="P302" s="31"/>
      <c r="Q302" s="31"/>
      <c r="R302" s="31"/>
      <c r="S302" s="31"/>
      <c r="T302" s="31"/>
      <c r="U302" s="31"/>
      <c r="V302" s="31"/>
      <c r="W302" s="178" t="s">
        <v>513</v>
      </c>
      <c r="X302" s="50"/>
      <c r="Y302" s="51"/>
      <c r="Z302" s="34"/>
    </row>
    <row r="303" ht="25.5" customHeight="1">
      <c r="E303" s="131" t="b">
        <v>1</v>
      </c>
      <c r="F303" s="131" t="b">
        <v>0</v>
      </c>
      <c r="G303" s="131" t="b">
        <v>0</v>
      </c>
      <c r="H303" s="131" t="b">
        <v>0</v>
      </c>
      <c r="I303" s="38">
        <v>42891.0</v>
      </c>
      <c r="J303" s="38">
        <v>42891.0</v>
      </c>
      <c r="K303" s="28">
        <v>24.0</v>
      </c>
      <c r="L303" s="175"/>
      <c r="M303" s="169" t="s">
        <v>486</v>
      </c>
      <c r="N303" s="31" t="b">
        <v>0</v>
      </c>
      <c r="O303" s="31"/>
      <c r="P303" s="31"/>
      <c r="Q303" s="31"/>
      <c r="R303" s="31"/>
      <c r="S303" s="31"/>
      <c r="T303" s="31"/>
      <c r="U303" s="31"/>
      <c r="V303" s="31"/>
      <c r="W303" s="178" t="s">
        <v>513</v>
      </c>
      <c r="X303" s="50"/>
      <c r="Y303" s="51"/>
      <c r="Z303" s="34"/>
    </row>
    <row r="304" ht="25.5" customHeight="1">
      <c r="E304" s="131" t="b">
        <v>0</v>
      </c>
      <c r="F304" s="131" t="b">
        <v>0</v>
      </c>
      <c r="G304" s="131" t="b">
        <v>1</v>
      </c>
      <c r="H304" s="131" t="b">
        <v>0</v>
      </c>
      <c r="I304" s="38">
        <v>42879.0</v>
      </c>
      <c r="J304" s="38">
        <v>42889.0</v>
      </c>
      <c r="K304" s="28">
        <v>240.0</v>
      </c>
      <c r="L304" s="175"/>
      <c r="M304" s="169" t="s">
        <v>486</v>
      </c>
      <c r="N304" s="31" t="b">
        <v>0</v>
      </c>
      <c r="O304" s="31"/>
      <c r="P304" s="31"/>
      <c r="Q304" s="31"/>
      <c r="R304" s="31"/>
      <c r="S304" s="31"/>
      <c r="T304" s="31"/>
      <c r="U304" s="31"/>
      <c r="V304" s="31"/>
      <c r="W304" s="178" t="s">
        <v>513</v>
      </c>
      <c r="X304" s="50"/>
      <c r="Y304" s="51"/>
      <c r="Z304" s="34"/>
    </row>
    <row r="305" ht="25.5" customHeight="1">
      <c r="E305" s="131" t="b">
        <v>0</v>
      </c>
      <c r="F305" s="131" t="b">
        <v>0</v>
      </c>
      <c r="G305" s="131" t="b">
        <v>1</v>
      </c>
      <c r="H305" s="131" t="b">
        <v>0</v>
      </c>
      <c r="I305" s="38">
        <v>42879.0</v>
      </c>
      <c r="J305" s="38">
        <v>42890.0</v>
      </c>
      <c r="K305" s="28">
        <v>264.0</v>
      </c>
      <c r="L305" s="175"/>
      <c r="M305" s="169" t="s">
        <v>486</v>
      </c>
      <c r="N305" s="31" t="b">
        <v>0</v>
      </c>
      <c r="O305" s="31"/>
      <c r="P305" s="31"/>
      <c r="Q305" s="31"/>
      <c r="R305" s="31"/>
      <c r="S305" s="31"/>
      <c r="T305" s="31"/>
      <c r="U305" s="31"/>
      <c r="V305" s="31"/>
      <c r="W305" s="178" t="s">
        <v>513</v>
      </c>
      <c r="X305" s="50"/>
      <c r="Y305" s="51"/>
      <c r="Z305" s="34"/>
    </row>
    <row r="306" ht="25.5" customHeight="1">
      <c r="E306" s="131" t="b">
        <v>1</v>
      </c>
      <c r="F306" s="131" t="b">
        <v>0</v>
      </c>
      <c r="G306" s="131" t="b">
        <v>0</v>
      </c>
      <c r="H306" s="131" t="b">
        <v>0</v>
      </c>
      <c r="I306" s="38">
        <v>42834.0</v>
      </c>
      <c r="J306" s="38">
        <v>42836.0</v>
      </c>
      <c r="K306" s="28">
        <v>48.0</v>
      </c>
      <c r="L306" s="175"/>
      <c r="M306" s="169" t="s">
        <v>486</v>
      </c>
      <c r="N306" s="31" t="b">
        <v>0</v>
      </c>
      <c r="O306" s="31"/>
      <c r="P306" s="31"/>
      <c r="Q306" s="31"/>
      <c r="R306" s="31"/>
      <c r="S306" s="31"/>
      <c r="T306" s="31"/>
      <c r="U306" s="31"/>
      <c r="V306" s="31"/>
      <c r="W306" s="178" t="s">
        <v>513</v>
      </c>
      <c r="X306" s="50"/>
      <c r="Y306" s="51"/>
      <c r="Z306" s="34"/>
    </row>
    <row r="307" ht="25.5" customHeight="1">
      <c r="E307" s="131" t="b">
        <v>1</v>
      </c>
      <c r="F307" s="131" t="b">
        <v>0</v>
      </c>
      <c r="G307" s="131" t="b">
        <v>0</v>
      </c>
      <c r="H307" s="131" t="b">
        <v>0</v>
      </c>
      <c r="I307" s="38">
        <v>42812.0</v>
      </c>
      <c r="J307" s="38">
        <v>42813.0</v>
      </c>
      <c r="K307" s="28">
        <v>24.0</v>
      </c>
      <c r="L307" s="175"/>
      <c r="M307" s="169" t="s">
        <v>486</v>
      </c>
      <c r="N307" s="31" t="b">
        <v>0</v>
      </c>
      <c r="O307" s="31"/>
      <c r="P307" s="31"/>
      <c r="Q307" s="31"/>
      <c r="R307" s="31"/>
      <c r="S307" s="31"/>
      <c r="T307" s="31"/>
      <c r="U307" s="31"/>
      <c r="V307" s="31"/>
      <c r="W307" s="178" t="s">
        <v>513</v>
      </c>
      <c r="X307" s="50"/>
      <c r="Y307" s="51"/>
      <c r="Z307" s="34"/>
    </row>
    <row r="308" ht="25.5" customHeight="1">
      <c r="E308" s="131" t="b">
        <v>1</v>
      </c>
      <c r="F308" s="131" t="b">
        <v>0</v>
      </c>
      <c r="G308" s="131" t="b">
        <v>0</v>
      </c>
      <c r="H308" s="131" t="b">
        <v>0</v>
      </c>
      <c r="I308" s="38">
        <v>42791.0</v>
      </c>
      <c r="J308" s="38">
        <v>42792.0</v>
      </c>
      <c r="K308" s="28">
        <v>24.0</v>
      </c>
      <c r="L308" s="175"/>
      <c r="M308" s="169" t="s">
        <v>486</v>
      </c>
      <c r="N308" s="31" t="b">
        <v>0</v>
      </c>
      <c r="O308" s="31"/>
      <c r="P308" s="31"/>
      <c r="Q308" s="31"/>
      <c r="R308" s="31"/>
      <c r="S308" s="31"/>
      <c r="T308" s="31"/>
      <c r="U308" s="31"/>
      <c r="V308" s="31"/>
      <c r="W308" s="178" t="s">
        <v>513</v>
      </c>
      <c r="X308" s="50"/>
      <c r="Y308" s="51"/>
      <c r="Z308" s="34"/>
    </row>
    <row r="309" ht="25.5" customHeight="1">
      <c r="E309" s="131" t="b">
        <v>1</v>
      </c>
      <c r="F309" s="131" t="b">
        <v>0</v>
      </c>
      <c r="G309" s="131" t="b">
        <v>0</v>
      </c>
      <c r="H309" s="131" t="b">
        <v>0</v>
      </c>
      <c r="I309" s="38">
        <v>42783.0</v>
      </c>
      <c r="J309" s="38">
        <v>42785.0</v>
      </c>
      <c r="K309" s="28">
        <v>48.0</v>
      </c>
      <c r="L309" s="175"/>
      <c r="M309" s="169" t="s">
        <v>486</v>
      </c>
      <c r="N309" s="31" t="b">
        <v>0</v>
      </c>
      <c r="O309" s="31"/>
      <c r="P309" s="31"/>
      <c r="Q309" s="31"/>
      <c r="R309" s="31"/>
      <c r="S309" s="31"/>
      <c r="T309" s="31"/>
      <c r="U309" s="31"/>
      <c r="V309" s="31"/>
      <c r="W309" s="178" t="s">
        <v>513</v>
      </c>
      <c r="X309" s="50"/>
      <c r="Y309" s="51"/>
      <c r="Z309" s="34"/>
    </row>
    <row r="310" ht="25.5" customHeight="1">
      <c r="E310" s="131" t="b">
        <v>1</v>
      </c>
      <c r="F310" s="131" t="b">
        <v>0</v>
      </c>
      <c r="G310" s="131" t="b">
        <v>0</v>
      </c>
      <c r="H310" s="131" t="b">
        <v>0</v>
      </c>
      <c r="I310" s="38">
        <v>42766.0</v>
      </c>
      <c r="J310" s="38">
        <v>42767.0</v>
      </c>
      <c r="K310" s="28">
        <v>24.0</v>
      </c>
      <c r="L310" s="175"/>
      <c r="M310" s="169" t="s">
        <v>486</v>
      </c>
      <c r="N310" s="31" t="b">
        <v>0</v>
      </c>
      <c r="O310" s="31"/>
      <c r="P310" s="31"/>
      <c r="Q310" s="31"/>
      <c r="R310" s="31"/>
      <c r="S310" s="31"/>
      <c r="T310" s="31"/>
      <c r="U310" s="31"/>
      <c r="V310" s="31"/>
      <c r="W310" s="178" t="s">
        <v>513</v>
      </c>
      <c r="X310" s="50"/>
      <c r="Y310" s="51"/>
      <c r="Z310" s="34"/>
    </row>
    <row r="311" ht="25.5" customHeight="1">
      <c r="E311" s="131" t="b">
        <v>1</v>
      </c>
      <c r="F311" s="131" t="b">
        <v>0</v>
      </c>
      <c r="G311" s="131" t="b">
        <v>0</v>
      </c>
      <c r="H311" s="131" t="b">
        <v>0</v>
      </c>
      <c r="I311" s="38">
        <v>42764.0</v>
      </c>
      <c r="J311" s="38">
        <v>42764.0</v>
      </c>
      <c r="K311" s="28">
        <v>24.0</v>
      </c>
      <c r="L311" s="175"/>
      <c r="M311" s="169" t="s">
        <v>486</v>
      </c>
      <c r="N311" s="31" t="b">
        <v>0</v>
      </c>
      <c r="O311" s="31"/>
      <c r="P311" s="31"/>
      <c r="Q311" s="31"/>
      <c r="R311" s="31"/>
      <c r="S311" s="31"/>
      <c r="T311" s="31"/>
      <c r="U311" s="31"/>
      <c r="V311" s="31"/>
      <c r="W311" s="178" t="s">
        <v>513</v>
      </c>
      <c r="X311" s="50"/>
      <c r="Y311" s="51"/>
      <c r="Z311" s="34"/>
    </row>
    <row r="312" ht="25.5" customHeight="1">
      <c r="E312" s="131" t="b">
        <v>0</v>
      </c>
      <c r="F312" s="131" t="b">
        <v>1</v>
      </c>
      <c r="G312" s="131" t="b">
        <v>0</v>
      </c>
      <c r="H312" s="131" t="b">
        <v>0</v>
      </c>
      <c r="I312" s="38">
        <v>42754.0</v>
      </c>
      <c r="J312" s="38">
        <v>42786.0</v>
      </c>
      <c r="K312" s="28">
        <v>768.0</v>
      </c>
      <c r="L312" s="175"/>
      <c r="M312" s="169" t="s">
        <v>486</v>
      </c>
      <c r="N312" s="31" t="b">
        <v>0</v>
      </c>
      <c r="O312" s="31"/>
      <c r="P312" s="31"/>
      <c r="Q312" s="31"/>
      <c r="R312" s="31"/>
      <c r="S312" s="31"/>
      <c r="T312" s="31"/>
      <c r="U312" s="31"/>
      <c r="V312" s="31"/>
      <c r="W312" s="178" t="s">
        <v>513</v>
      </c>
      <c r="X312" s="50"/>
      <c r="Y312" s="51"/>
      <c r="Z312" s="34"/>
    </row>
    <row r="313" ht="25.5" customHeight="1">
      <c r="E313" s="131" t="b">
        <v>1</v>
      </c>
      <c r="F313" s="131" t="b">
        <v>0</v>
      </c>
      <c r="G313" s="131" t="b">
        <v>0</v>
      </c>
      <c r="H313" s="131" t="b">
        <v>0</v>
      </c>
      <c r="I313" s="38">
        <v>42736.0</v>
      </c>
      <c r="J313" s="38">
        <v>42873.0</v>
      </c>
      <c r="K313" s="28">
        <v>3288.0</v>
      </c>
      <c r="L313" s="175"/>
      <c r="M313" s="169" t="s">
        <v>486</v>
      </c>
      <c r="N313" s="31" t="b">
        <v>0</v>
      </c>
      <c r="O313" s="31"/>
      <c r="P313" s="31"/>
      <c r="Q313" s="31"/>
      <c r="R313" s="31"/>
      <c r="S313" s="31"/>
      <c r="T313" s="31"/>
      <c r="U313" s="31"/>
      <c r="V313" s="31"/>
      <c r="W313" s="178" t="s">
        <v>513</v>
      </c>
      <c r="X313" s="50"/>
      <c r="Y313" s="51"/>
      <c r="Z313" s="34"/>
    </row>
    <row r="314" ht="25.5" customHeight="1">
      <c r="E314" s="131" t="b">
        <v>1</v>
      </c>
      <c r="F314" s="131" t="b">
        <v>0</v>
      </c>
      <c r="G314" s="131" t="b">
        <v>0</v>
      </c>
      <c r="H314" s="131" t="b">
        <v>0</v>
      </c>
      <c r="I314" s="38">
        <v>42731.0</v>
      </c>
      <c r="J314" s="38">
        <v>42734.0</v>
      </c>
      <c r="K314" s="28">
        <v>72.0</v>
      </c>
      <c r="L314" s="175"/>
      <c r="M314" s="169" t="s">
        <v>486</v>
      </c>
      <c r="N314" s="31" t="b">
        <v>0</v>
      </c>
      <c r="O314" s="31"/>
      <c r="P314" s="31"/>
      <c r="Q314" s="31"/>
      <c r="R314" s="31"/>
      <c r="S314" s="31"/>
      <c r="T314" s="31"/>
      <c r="U314" s="31"/>
      <c r="V314" s="31"/>
      <c r="W314" s="178" t="s">
        <v>513</v>
      </c>
      <c r="X314" s="50"/>
      <c r="Y314" s="51"/>
      <c r="Z314" s="34"/>
    </row>
    <row r="315" ht="25.5" customHeight="1">
      <c r="E315" s="131" t="b">
        <v>1</v>
      </c>
      <c r="F315" s="131" t="b">
        <v>0</v>
      </c>
      <c r="G315" s="131" t="b">
        <v>0</v>
      </c>
      <c r="H315" s="131" t="b">
        <v>0</v>
      </c>
      <c r="I315" s="38">
        <v>42722.0</v>
      </c>
      <c r="J315" s="38">
        <v>42734.0</v>
      </c>
      <c r="K315" s="28">
        <v>288.0</v>
      </c>
      <c r="L315" s="175"/>
      <c r="M315" s="169" t="s">
        <v>486</v>
      </c>
      <c r="N315" s="31" t="b">
        <v>0</v>
      </c>
      <c r="O315" s="31"/>
      <c r="P315" s="31"/>
      <c r="Q315" s="31"/>
      <c r="R315" s="31"/>
      <c r="S315" s="31"/>
      <c r="T315" s="31"/>
      <c r="U315" s="31"/>
      <c r="V315" s="31"/>
      <c r="W315" s="178" t="s">
        <v>513</v>
      </c>
      <c r="X315" s="50"/>
      <c r="Y315" s="51"/>
      <c r="Z315" s="34"/>
    </row>
    <row r="316" ht="25.5" customHeight="1">
      <c r="E316" s="131" t="b">
        <v>0</v>
      </c>
      <c r="F316" s="131" t="b">
        <v>0</v>
      </c>
      <c r="G316" s="131" t="b">
        <v>1</v>
      </c>
      <c r="H316" s="131" t="b">
        <v>0</v>
      </c>
      <c r="I316" s="38">
        <v>42631.0</v>
      </c>
      <c r="J316" s="38">
        <v>42633.0</v>
      </c>
      <c r="K316" s="28">
        <v>48.0</v>
      </c>
      <c r="L316" s="175"/>
      <c r="M316" s="169" t="s">
        <v>486</v>
      </c>
      <c r="N316" s="31" t="b">
        <v>0</v>
      </c>
      <c r="O316" s="31"/>
      <c r="P316" s="31"/>
      <c r="Q316" s="31"/>
      <c r="R316" s="31"/>
      <c r="S316" s="31"/>
      <c r="T316" s="31"/>
      <c r="U316" s="31"/>
      <c r="V316" s="31"/>
      <c r="W316" s="178" t="s">
        <v>513</v>
      </c>
      <c r="X316" s="50"/>
      <c r="Y316" s="51"/>
      <c r="Z316" s="34"/>
    </row>
    <row r="317" ht="25.5" customHeight="1">
      <c r="E317" s="131" t="b">
        <v>0</v>
      </c>
      <c r="F317" s="131" t="b">
        <v>0</v>
      </c>
      <c r="G317" s="131" t="b">
        <v>1</v>
      </c>
      <c r="H317" s="131" t="b">
        <v>0</v>
      </c>
      <c r="I317" s="38">
        <v>42629.0</v>
      </c>
      <c r="J317" s="38">
        <v>42630.0</v>
      </c>
      <c r="K317" s="28">
        <v>24.0</v>
      </c>
      <c r="L317" s="175"/>
      <c r="M317" s="169" t="s">
        <v>486</v>
      </c>
      <c r="N317" s="31" t="b">
        <v>0</v>
      </c>
      <c r="O317" s="31"/>
      <c r="P317" s="31"/>
      <c r="Q317" s="31"/>
      <c r="R317" s="31"/>
      <c r="S317" s="31"/>
      <c r="T317" s="31"/>
      <c r="U317" s="31"/>
      <c r="V317" s="31"/>
      <c r="W317" s="178" t="s">
        <v>513</v>
      </c>
      <c r="X317" s="50"/>
      <c r="Y317" s="51"/>
      <c r="Z317" s="34"/>
    </row>
    <row r="318" ht="25.5" customHeight="1">
      <c r="E318" s="131" t="b">
        <v>1</v>
      </c>
      <c r="F318" s="131" t="b">
        <v>0</v>
      </c>
      <c r="G318" s="131" t="b">
        <v>0</v>
      </c>
      <c r="H318" s="131" t="b">
        <v>0</v>
      </c>
      <c r="I318" s="38">
        <v>42588.0</v>
      </c>
      <c r="J318" s="38">
        <v>42590.0</v>
      </c>
      <c r="K318" s="28">
        <v>48.0</v>
      </c>
      <c r="L318" s="175"/>
      <c r="M318" s="169" t="s">
        <v>486</v>
      </c>
      <c r="N318" s="31" t="b">
        <v>0</v>
      </c>
      <c r="O318" s="31"/>
      <c r="P318" s="31"/>
      <c r="Q318" s="31"/>
      <c r="R318" s="31"/>
      <c r="S318" s="31"/>
      <c r="T318" s="31"/>
      <c r="U318" s="31"/>
      <c r="V318" s="31"/>
      <c r="W318" s="178" t="s">
        <v>513</v>
      </c>
      <c r="X318" s="50"/>
      <c r="Y318" s="51"/>
      <c r="Z318" s="34"/>
    </row>
    <row r="319" ht="25.5" customHeight="1">
      <c r="E319" s="131" t="b">
        <v>0</v>
      </c>
      <c r="F319" s="131" t="b">
        <v>0</v>
      </c>
      <c r="G319" s="131" t="b">
        <v>1</v>
      </c>
      <c r="H319" s="131" t="b">
        <v>0</v>
      </c>
      <c r="I319" s="38">
        <v>42551.0</v>
      </c>
      <c r="J319" s="38">
        <v>42553.0</v>
      </c>
      <c r="K319" s="28">
        <v>48.0</v>
      </c>
      <c r="L319" s="175"/>
      <c r="M319" s="169" t="s">
        <v>486</v>
      </c>
      <c r="N319" s="31" t="b">
        <v>0</v>
      </c>
      <c r="O319" s="31"/>
      <c r="P319" s="31"/>
      <c r="Q319" s="31"/>
      <c r="R319" s="31"/>
      <c r="S319" s="31"/>
      <c r="T319" s="31"/>
      <c r="U319" s="31"/>
      <c r="V319" s="31"/>
      <c r="W319" s="178" t="s">
        <v>513</v>
      </c>
      <c r="X319" s="50"/>
      <c r="Y319" s="51"/>
      <c r="Z319" s="34"/>
    </row>
    <row r="320" ht="25.5" customHeight="1">
      <c r="E320" s="131" t="b">
        <v>0</v>
      </c>
      <c r="F320" s="131" t="b">
        <v>0</v>
      </c>
      <c r="G320" s="131" t="b">
        <v>1</v>
      </c>
      <c r="H320" s="131" t="b">
        <v>0</v>
      </c>
      <c r="I320" s="38">
        <v>42543.0</v>
      </c>
      <c r="J320" s="38">
        <v>42543.0</v>
      </c>
      <c r="K320" s="28">
        <v>24.0</v>
      </c>
      <c r="L320" s="175"/>
      <c r="M320" s="169" t="s">
        <v>486</v>
      </c>
      <c r="N320" s="31" t="b">
        <v>0</v>
      </c>
      <c r="O320" s="31"/>
      <c r="P320" s="31"/>
      <c r="Q320" s="31"/>
      <c r="R320" s="31"/>
      <c r="S320" s="31"/>
      <c r="T320" s="31"/>
      <c r="U320" s="31"/>
      <c r="V320" s="31"/>
      <c r="W320" s="178" t="s">
        <v>513</v>
      </c>
      <c r="X320" s="50"/>
      <c r="Y320" s="51"/>
      <c r="Z320" s="34"/>
    </row>
    <row r="321" ht="25.5" customHeight="1">
      <c r="E321" s="131" t="b">
        <v>1</v>
      </c>
      <c r="F321" s="131" t="b">
        <v>0</v>
      </c>
      <c r="G321" s="131" t="b">
        <v>0</v>
      </c>
      <c r="H321" s="131" t="b">
        <v>0</v>
      </c>
      <c r="I321" s="38">
        <v>42525.0</v>
      </c>
      <c r="J321" s="38">
        <v>42526.0</v>
      </c>
      <c r="K321" s="28">
        <v>24.0</v>
      </c>
      <c r="L321" s="175"/>
      <c r="M321" s="169" t="s">
        <v>486</v>
      </c>
      <c r="N321" s="31" t="b">
        <v>0</v>
      </c>
      <c r="O321" s="31"/>
      <c r="P321" s="31"/>
      <c r="Q321" s="31"/>
      <c r="R321" s="31"/>
      <c r="S321" s="31"/>
      <c r="T321" s="31"/>
      <c r="U321" s="31"/>
      <c r="V321" s="31"/>
      <c r="W321" s="178" t="s">
        <v>513</v>
      </c>
      <c r="X321" s="50"/>
      <c r="Y321" s="51"/>
      <c r="Z321" s="34"/>
    </row>
    <row r="322" ht="25.5" customHeight="1">
      <c r="E322" s="131" t="b">
        <v>1</v>
      </c>
      <c r="F322" s="131" t="b">
        <v>0</v>
      </c>
      <c r="G322" s="131" t="b">
        <v>0</v>
      </c>
      <c r="H322" s="131" t="b">
        <v>0</v>
      </c>
      <c r="I322" s="38">
        <v>42506.0</v>
      </c>
      <c r="J322" s="38">
        <v>42735.0</v>
      </c>
      <c r="K322" s="28">
        <v>5496.0</v>
      </c>
      <c r="L322" s="175"/>
      <c r="M322" s="169" t="s">
        <v>486</v>
      </c>
      <c r="N322" s="31" t="b">
        <v>0</v>
      </c>
      <c r="O322" s="31"/>
      <c r="P322" s="31"/>
      <c r="Q322" s="31"/>
      <c r="R322" s="31"/>
      <c r="S322" s="31"/>
      <c r="T322" s="31"/>
      <c r="U322" s="31"/>
      <c r="V322" s="31"/>
      <c r="W322" s="178" t="s">
        <v>513</v>
      </c>
      <c r="X322" s="50"/>
      <c r="Y322" s="51"/>
      <c r="Z322" s="34"/>
    </row>
    <row r="323" ht="25.5" customHeight="1">
      <c r="E323" s="131" t="b">
        <v>0</v>
      </c>
      <c r="F323" s="131" t="b">
        <v>0</v>
      </c>
      <c r="G323" s="131" t="b">
        <v>1</v>
      </c>
      <c r="H323" s="131" t="b">
        <v>0</v>
      </c>
      <c r="I323" s="38">
        <v>42477.0</v>
      </c>
      <c r="J323" s="38">
        <v>42479.0</v>
      </c>
      <c r="K323" s="28">
        <v>48.0</v>
      </c>
      <c r="L323" s="175"/>
      <c r="M323" s="169" t="s">
        <v>486</v>
      </c>
      <c r="N323" s="31" t="b">
        <v>0</v>
      </c>
      <c r="O323" s="31"/>
      <c r="P323" s="31"/>
      <c r="Q323" s="31"/>
      <c r="R323" s="31"/>
      <c r="S323" s="31"/>
      <c r="T323" s="31"/>
      <c r="U323" s="31"/>
      <c r="V323" s="31"/>
      <c r="W323" s="178" t="s">
        <v>513</v>
      </c>
      <c r="X323" s="50"/>
      <c r="Y323" s="51"/>
      <c r="Z323" s="34"/>
    </row>
    <row r="324" ht="25.5" customHeight="1">
      <c r="E324" s="131" t="b">
        <v>1</v>
      </c>
      <c r="F324" s="131" t="b">
        <v>0</v>
      </c>
      <c r="G324" s="131" t="b">
        <v>0</v>
      </c>
      <c r="H324" s="131" t="b">
        <v>0</v>
      </c>
      <c r="I324" s="38">
        <v>42447.0</v>
      </c>
      <c r="J324" s="38">
        <v>42447.0</v>
      </c>
      <c r="K324" s="28">
        <v>24.0</v>
      </c>
      <c r="L324" s="175"/>
      <c r="M324" s="169" t="s">
        <v>486</v>
      </c>
      <c r="N324" s="31" t="b">
        <v>0</v>
      </c>
      <c r="O324" s="31"/>
      <c r="P324" s="31"/>
      <c r="Q324" s="31"/>
      <c r="R324" s="31"/>
      <c r="S324" s="31"/>
      <c r="T324" s="31"/>
      <c r="U324" s="31"/>
      <c r="V324" s="31"/>
      <c r="W324" s="178" t="s">
        <v>513</v>
      </c>
      <c r="X324" s="50"/>
      <c r="Y324" s="51"/>
      <c r="Z324" s="34"/>
    </row>
    <row r="325" ht="25.5" customHeight="1">
      <c r="E325" s="131" t="b">
        <v>0</v>
      </c>
      <c r="F325" s="131" t="b">
        <v>0</v>
      </c>
      <c r="G325" s="131" t="b">
        <v>1</v>
      </c>
      <c r="H325" s="131" t="b">
        <v>0</v>
      </c>
      <c r="I325" s="38">
        <v>42428.0</v>
      </c>
      <c r="J325" s="38">
        <v>42428.0</v>
      </c>
      <c r="K325" s="28">
        <v>24.0</v>
      </c>
      <c r="L325" s="175"/>
      <c r="M325" s="169" t="s">
        <v>486</v>
      </c>
      <c r="N325" s="31" t="b">
        <v>0</v>
      </c>
      <c r="O325" s="31"/>
      <c r="P325" s="31"/>
      <c r="Q325" s="31"/>
      <c r="R325" s="31"/>
      <c r="S325" s="31"/>
      <c r="T325" s="31"/>
      <c r="U325" s="31"/>
      <c r="V325" s="31"/>
      <c r="W325" s="178" t="s">
        <v>513</v>
      </c>
      <c r="X325" s="50"/>
      <c r="Y325" s="51"/>
      <c r="Z325" s="34"/>
    </row>
    <row r="326" ht="25.5" customHeight="1">
      <c r="E326" s="131" t="b">
        <v>1</v>
      </c>
      <c r="F326" s="131" t="b">
        <v>0</v>
      </c>
      <c r="G326" s="131" t="b">
        <v>0</v>
      </c>
      <c r="H326" s="131" t="b">
        <v>0</v>
      </c>
      <c r="I326" s="38">
        <v>42422.0</v>
      </c>
      <c r="J326" s="38">
        <v>42423.0</v>
      </c>
      <c r="K326" s="28">
        <v>24.0</v>
      </c>
      <c r="L326" s="175"/>
      <c r="M326" s="169" t="s">
        <v>486</v>
      </c>
      <c r="N326" s="31" t="b">
        <v>0</v>
      </c>
      <c r="O326" s="31"/>
      <c r="P326" s="31"/>
      <c r="Q326" s="31"/>
      <c r="R326" s="31"/>
      <c r="S326" s="31"/>
      <c r="T326" s="31"/>
      <c r="U326" s="31"/>
      <c r="V326" s="31"/>
      <c r="W326" s="178" t="s">
        <v>513</v>
      </c>
      <c r="X326" s="50"/>
      <c r="Y326" s="51"/>
      <c r="Z326" s="34"/>
    </row>
    <row r="327" ht="25.5" customHeight="1">
      <c r="E327" s="131" t="b">
        <v>1</v>
      </c>
      <c r="F327" s="131" t="b">
        <v>0</v>
      </c>
      <c r="G327" s="131" t="b">
        <v>0</v>
      </c>
      <c r="H327" s="131" t="b">
        <v>0</v>
      </c>
      <c r="I327" s="38">
        <v>42419.0</v>
      </c>
      <c r="J327" s="38">
        <v>42422.0</v>
      </c>
      <c r="K327" s="28">
        <v>72.0</v>
      </c>
      <c r="L327" s="175"/>
      <c r="M327" s="169" t="s">
        <v>486</v>
      </c>
      <c r="N327" s="31" t="b">
        <v>0</v>
      </c>
      <c r="O327" s="31"/>
      <c r="P327" s="31"/>
      <c r="Q327" s="31"/>
      <c r="R327" s="31"/>
      <c r="S327" s="31"/>
      <c r="T327" s="31"/>
      <c r="U327" s="31"/>
      <c r="V327" s="31"/>
      <c r="W327" s="178" t="s">
        <v>513</v>
      </c>
      <c r="X327" s="50"/>
      <c r="Y327" s="51"/>
      <c r="Z327" s="34"/>
    </row>
    <row r="328">
      <c r="A328" s="41">
        <v>14.0</v>
      </c>
      <c r="B328" s="22" t="s">
        <v>514</v>
      </c>
      <c r="C328" s="23" t="s">
        <v>515</v>
      </c>
      <c r="D328" s="24" t="s">
        <v>36</v>
      </c>
      <c r="E328" s="80" t="b">
        <v>0</v>
      </c>
      <c r="F328" s="80" t="b">
        <v>0</v>
      </c>
      <c r="G328" s="80" t="b">
        <v>1</v>
      </c>
      <c r="H328" s="80" t="b">
        <v>0</v>
      </c>
      <c r="I328" s="38">
        <v>44433.0</v>
      </c>
      <c r="J328" s="38">
        <v>44433.0</v>
      </c>
      <c r="K328" s="28">
        <v>3.0</v>
      </c>
      <c r="L328" s="39" t="s">
        <v>516</v>
      </c>
      <c r="M328" s="40" t="s">
        <v>517</v>
      </c>
      <c r="N328" s="31" t="b">
        <v>0</v>
      </c>
      <c r="O328" s="31" t="b">
        <v>0</v>
      </c>
      <c r="P328" s="31" t="b">
        <v>0</v>
      </c>
      <c r="Q328" s="31" t="b">
        <v>0</v>
      </c>
      <c r="R328" s="31" t="b">
        <v>0</v>
      </c>
      <c r="S328" s="31" t="b">
        <v>0</v>
      </c>
      <c r="T328" s="31" t="b">
        <v>0</v>
      </c>
      <c r="U328" s="31" t="b">
        <v>0</v>
      </c>
      <c r="V328" s="32" t="b">
        <v>0</v>
      </c>
      <c r="W328" s="33" t="s">
        <v>93</v>
      </c>
      <c r="X328" s="33" t="s">
        <v>518</v>
      </c>
      <c r="Y328" s="33"/>
      <c r="Z328" s="33"/>
    </row>
    <row r="329">
      <c r="E329" s="80" t="b">
        <v>1</v>
      </c>
      <c r="F329" s="80" t="b">
        <v>0</v>
      </c>
      <c r="G329" s="80" t="b">
        <v>0</v>
      </c>
      <c r="H329" s="80" t="b">
        <v>0</v>
      </c>
      <c r="I329" s="38">
        <v>43698.0</v>
      </c>
      <c r="J329" s="38">
        <v>43698.0</v>
      </c>
      <c r="K329" s="28">
        <v>2.0</v>
      </c>
      <c r="L329" s="39" t="s">
        <v>519</v>
      </c>
      <c r="M329" s="40" t="s">
        <v>520</v>
      </c>
      <c r="N329" s="31" t="b">
        <v>0</v>
      </c>
      <c r="O329" s="31" t="b">
        <v>0</v>
      </c>
      <c r="P329" s="31" t="b">
        <v>0</v>
      </c>
      <c r="Q329" s="31" t="b">
        <v>0</v>
      </c>
      <c r="R329" s="31" t="b">
        <v>0</v>
      </c>
      <c r="S329" s="31" t="b">
        <v>0</v>
      </c>
      <c r="T329" s="31" t="b">
        <v>0</v>
      </c>
      <c r="U329" s="31" t="b">
        <v>0</v>
      </c>
      <c r="V329" s="32" t="b">
        <v>0</v>
      </c>
      <c r="W329" s="33" t="s">
        <v>41</v>
      </c>
      <c r="X329" s="33"/>
      <c r="Y329" s="33"/>
      <c r="Z329" s="33"/>
    </row>
    <row r="330">
      <c r="E330" s="80" t="b">
        <v>1</v>
      </c>
      <c r="F330" s="80" t="b">
        <v>0</v>
      </c>
      <c r="G330" s="80" t="b">
        <v>0</v>
      </c>
      <c r="H330" s="80" t="b">
        <v>0</v>
      </c>
      <c r="I330" s="38">
        <v>43607.0</v>
      </c>
      <c r="J330" s="38">
        <v>43610.0</v>
      </c>
      <c r="K330" s="28">
        <v>72.0</v>
      </c>
      <c r="L330" s="39" t="s">
        <v>521</v>
      </c>
      <c r="M330" s="40" t="s">
        <v>38</v>
      </c>
      <c r="N330" s="31" t="b">
        <v>1</v>
      </c>
      <c r="O330" s="31" t="b">
        <v>1</v>
      </c>
      <c r="P330" s="31" t="b">
        <v>1</v>
      </c>
      <c r="Q330" s="31" t="b">
        <v>0</v>
      </c>
      <c r="R330" s="31" t="b">
        <v>1</v>
      </c>
      <c r="S330" s="31" t="b">
        <v>1</v>
      </c>
      <c r="T330" s="31" t="b">
        <v>1</v>
      </c>
      <c r="U330" s="31" t="b">
        <v>0</v>
      </c>
      <c r="V330" s="32" t="b">
        <v>0</v>
      </c>
      <c r="W330" s="33" t="s">
        <v>41</v>
      </c>
      <c r="X330" s="33"/>
      <c r="Y330" s="33"/>
      <c r="Z330" s="33"/>
    </row>
    <row r="331">
      <c r="A331" s="41">
        <v>15.0</v>
      </c>
      <c r="B331" s="22" t="s">
        <v>522</v>
      </c>
      <c r="C331" s="23" t="s">
        <v>523</v>
      </c>
      <c r="D331" s="18" t="s">
        <v>32</v>
      </c>
      <c r="E331" s="102" t="b">
        <v>0</v>
      </c>
      <c r="F331" s="42" t="b">
        <v>0</v>
      </c>
      <c r="G331" s="43" t="b">
        <v>1</v>
      </c>
      <c r="H331" s="42" t="b">
        <v>0</v>
      </c>
      <c r="I331" s="44">
        <v>45483.0</v>
      </c>
      <c r="J331" s="52">
        <v>45240.0</v>
      </c>
      <c r="K331" s="45">
        <v>3.0</v>
      </c>
      <c r="L331" s="180" t="s">
        <v>524</v>
      </c>
      <c r="M331" s="181" t="s">
        <v>38</v>
      </c>
      <c r="N331" s="137" t="b">
        <v>0</v>
      </c>
      <c r="O331" s="42" t="b">
        <v>0</v>
      </c>
      <c r="P331" s="42" t="b">
        <v>0</v>
      </c>
      <c r="Q331" s="42" t="b">
        <v>0</v>
      </c>
      <c r="R331" s="102" t="b">
        <v>0</v>
      </c>
      <c r="S331" s="42" t="b">
        <v>0</v>
      </c>
      <c r="T331" s="102" t="b">
        <v>0</v>
      </c>
      <c r="U331" s="42" t="b">
        <v>0</v>
      </c>
      <c r="V331" s="42" t="b">
        <v>0</v>
      </c>
      <c r="W331" s="176" t="s">
        <v>125</v>
      </c>
      <c r="X331" s="176" t="s">
        <v>525</v>
      </c>
      <c r="Y331" s="51"/>
      <c r="Z331" s="51"/>
    </row>
    <row r="332">
      <c r="E332" s="102" t="b">
        <v>1</v>
      </c>
      <c r="F332" s="42" t="b">
        <v>0</v>
      </c>
      <c r="G332" s="42" t="b">
        <v>0</v>
      </c>
      <c r="H332" s="42" t="b">
        <v>0</v>
      </c>
      <c r="I332" s="52">
        <v>45240.0</v>
      </c>
      <c r="J332" s="52">
        <v>45240.0</v>
      </c>
      <c r="K332" s="28">
        <v>2.0</v>
      </c>
      <c r="L332" s="182" t="s">
        <v>526</v>
      </c>
      <c r="M332" s="47" t="s">
        <v>527</v>
      </c>
      <c r="N332" s="137" t="b">
        <v>0</v>
      </c>
      <c r="O332" s="42" t="b">
        <v>0</v>
      </c>
      <c r="P332" s="42" t="b">
        <v>0</v>
      </c>
      <c r="Q332" s="42" t="b">
        <v>0</v>
      </c>
      <c r="R332" s="102" t="b">
        <v>0</v>
      </c>
      <c r="S332" s="42" t="b">
        <v>0</v>
      </c>
      <c r="T332" s="102" t="b">
        <v>0</v>
      </c>
      <c r="U332" s="42" t="b">
        <v>0</v>
      </c>
      <c r="V332" s="42" t="b">
        <v>0</v>
      </c>
      <c r="W332" s="104" t="s">
        <v>41</v>
      </c>
      <c r="X332" s="183"/>
      <c r="Y332" s="51"/>
      <c r="Z332" s="51"/>
    </row>
    <row r="333">
      <c r="E333" s="102" t="b">
        <v>1</v>
      </c>
      <c r="F333" s="42" t="b">
        <v>0</v>
      </c>
      <c r="G333" s="42" t="b">
        <v>0</v>
      </c>
      <c r="H333" s="42" t="b">
        <v>0</v>
      </c>
      <c r="I333" s="52">
        <v>45233.0</v>
      </c>
      <c r="J333" s="52">
        <v>45233.0</v>
      </c>
      <c r="K333" s="28">
        <v>2.0</v>
      </c>
      <c r="L333" s="182" t="s">
        <v>528</v>
      </c>
      <c r="M333" s="47" t="s">
        <v>527</v>
      </c>
      <c r="N333" s="137" t="b">
        <v>0</v>
      </c>
      <c r="O333" s="42" t="b">
        <v>0</v>
      </c>
      <c r="P333" s="42" t="b">
        <v>0</v>
      </c>
      <c r="Q333" s="42" t="b">
        <v>0</v>
      </c>
      <c r="R333" s="102" t="b">
        <v>0</v>
      </c>
      <c r="S333" s="42" t="b">
        <v>0</v>
      </c>
      <c r="T333" s="102" t="b">
        <v>0</v>
      </c>
      <c r="U333" s="42" t="b">
        <v>0</v>
      </c>
      <c r="V333" s="42" t="b">
        <v>0</v>
      </c>
      <c r="W333" s="104" t="s">
        <v>41</v>
      </c>
      <c r="X333" s="183"/>
      <c r="Y333" s="51"/>
      <c r="Z333" s="51"/>
    </row>
    <row r="334">
      <c r="E334" s="102" t="b">
        <v>1</v>
      </c>
      <c r="F334" s="42" t="b">
        <v>0</v>
      </c>
      <c r="G334" s="42" t="b">
        <v>0</v>
      </c>
      <c r="H334" s="42" t="b">
        <v>0</v>
      </c>
      <c r="I334" s="52">
        <v>45226.0</v>
      </c>
      <c r="J334" s="52">
        <v>45226.0</v>
      </c>
      <c r="K334" s="28">
        <v>2.0</v>
      </c>
      <c r="L334" s="182" t="s">
        <v>529</v>
      </c>
      <c r="M334" s="47" t="s">
        <v>527</v>
      </c>
      <c r="N334" s="137" t="b">
        <v>0</v>
      </c>
      <c r="O334" s="42" t="b">
        <v>0</v>
      </c>
      <c r="P334" s="42" t="b">
        <v>0</v>
      </c>
      <c r="Q334" s="42" t="b">
        <v>0</v>
      </c>
      <c r="R334" s="102" t="b">
        <v>0</v>
      </c>
      <c r="S334" s="42" t="b">
        <v>0</v>
      </c>
      <c r="T334" s="102" t="b">
        <v>0</v>
      </c>
      <c r="U334" s="42" t="b">
        <v>0</v>
      </c>
      <c r="V334" s="42" t="b">
        <v>0</v>
      </c>
      <c r="W334" s="104" t="s">
        <v>41</v>
      </c>
      <c r="X334" s="183"/>
      <c r="Y334" s="51"/>
      <c r="Z334" s="51"/>
    </row>
    <row r="335">
      <c r="E335" s="102" t="b">
        <v>1</v>
      </c>
      <c r="F335" s="42" t="b">
        <v>0</v>
      </c>
      <c r="G335" s="42" t="b">
        <v>0</v>
      </c>
      <c r="H335" s="42" t="b">
        <v>0</v>
      </c>
      <c r="I335" s="52">
        <v>45219.0</v>
      </c>
      <c r="J335" s="52">
        <v>45219.0</v>
      </c>
      <c r="K335" s="28">
        <v>2.0</v>
      </c>
      <c r="L335" s="182" t="s">
        <v>530</v>
      </c>
      <c r="M335" s="47" t="s">
        <v>527</v>
      </c>
      <c r="N335" s="137" t="b">
        <v>0</v>
      </c>
      <c r="O335" s="42" t="b">
        <v>0</v>
      </c>
      <c r="P335" s="42" t="b">
        <v>0</v>
      </c>
      <c r="Q335" s="42" t="b">
        <v>0</v>
      </c>
      <c r="R335" s="102" t="b">
        <v>0</v>
      </c>
      <c r="S335" s="42" t="b">
        <v>0</v>
      </c>
      <c r="T335" s="102" t="b">
        <v>0</v>
      </c>
      <c r="U335" s="42" t="b">
        <v>0</v>
      </c>
      <c r="V335" s="42" t="b">
        <v>0</v>
      </c>
      <c r="W335" s="104" t="s">
        <v>41</v>
      </c>
      <c r="X335" s="183"/>
      <c r="Y335" s="51"/>
      <c r="Z335" s="51"/>
    </row>
    <row r="336">
      <c r="E336" s="102" t="b">
        <v>1</v>
      </c>
      <c r="F336" s="42" t="b">
        <v>0</v>
      </c>
      <c r="G336" s="42" t="b">
        <v>0</v>
      </c>
      <c r="H336" s="42" t="b">
        <v>0</v>
      </c>
      <c r="I336" s="52">
        <v>45212.0</v>
      </c>
      <c r="J336" s="52">
        <v>45212.0</v>
      </c>
      <c r="K336" s="28">
        <v>2.0</v>
      </c>
      <c r="L336" s="182" t="s">
        <v>531</v>
      </c>
      <c r="M336" s="47" t="s">
        <v>527</v>
      </c>
      <c r="N336" s="137" t="b">
        <v>0</v>
      </c>
      <c r="O336" s="42" t="b">
        <v>0</v>
      </c>
      <c r="P336" s="42" t="b">
        <v>0</v>
      </c>
      <c r="Q336" s="42" t="b">
        <v>0</v>
      </c>
      <c r="R336" s="102" t="b">
        <v>0</v>
      </c>
      <c r="S336" s="42" t="b">
        <v>0</v>
      </c>
      <c r="T336" s="102" t="b">
        <v>0</v>
      </c>
      <c r="U336" s="42" t="b">
        <v>0</v>
      </c>
      <c r="V336" s="42" t="b">
        <v>0</v>
      </c>
      <c r="W336" s="104" t="s">
        <v>41</v>
      </c>
      <c r="X336" s="183"/>
      <c r="Y336" s="51"/>
      <c r="Z336" s="51"/>
    </row>
    <row r="337">
      <c r="E337" s="102" t="b">
        <v>1</v>
      </c>
      <c r="F337" s="42" t="b">
        <v>0</v>
      </c>
      <c r="G337" s="42" t="b">
        <v>0</v>
      </c>
      <c r="H337" s="42" t="b">
        <v>0</v>
      </c>
      <c r="I337" s="52">
        <v>45205.0</v>
      </c>
      <c r="J337" s="52">
        <v>45205.0</v>
      </c>
      <c r="K337" s="28">
        <v>2.0</v>
      </c>
      <c r="L337" s="182" t="s">
        <v>532</v>
      </c>
      <c r="M337" s="47" t="s">
        <v>38</v>
      </c>
      <c r="N337" s="137" t="b">
        <v>0</v>
      </c>
      <c r="O337" s="42" t="b">
        <v>0</v>
      </c>
      <c r="P337" s="42" t="b">
        <v>0</v>
      </c>
      <c r="Q337" s="42" t="b">
        <v>0</v>
      </c>
      <c r="R337" s="102" t="b">
        <v>0</v>
      </c>
      <c r="S337" s="42" t="b">
        <v>0</v>
      </c>
      <c r="T337" s="102" t="b">
        <v>0</v>
      </c>
      <c r="U337" s="42" t="b">
        <v>0</v>
      </c>
      <c r="V337" s="42" t="b">
        <v>0</v>
      </c>
      <c r="W337" s="104" t="s">
        <v>41</v>
      </c>
      <c r="X337" s="183"/>
      <c r="Y337" s="51"/>
      <c r="Z337" s="51"/>
    </row>
    <row r="338">
      <c r="E338" s="102" t="b">
        <v>1</v>
      </c>
      <c r="F338" s="42" t="b">
        <v>0</v>
      </c>
      <c r="G338" s="42" t="b">
        <v>0</v>
      </c>
      <c r="H338" s="42" t="b">
        <v>0</v>
      </c>
      <c r="I338" s="52">
        <v>45198.0</v>
      </c>
      <c r="J338" s="52">
        <v>45198.0</v>
      </c>
      <c r="K338" s="28">
        <v>2.0</v>
      </c>
      <c r="L338" s="182" t="s">
        <v>533</v>
      </c>
      <c r="M338" s="47" t="s">
        <v>38</v>
      </c>
      <c r="N338" s="137" t="b">
        <v>0</v>
      </c>
      <c r="O338" s="42" t="b">
        <v>0</v>
      </c>
      <c r="P338" s="42" t="b">
        <v>0</v>
      </c>
      <c r="Q338" s="42" t="b">
        <v>0</v>
      </c>
      <c r="R338" s="102" t="b">
        <v>0</v>
      </c>
      <c r="S338" s="42" t="b">
        <v>0</v>
      </c>
      <c r="T338" s="102" t="b">
        <v>0</v>
      </c>
      <c r="U338" s="42" t="b">
        <v>0</v>
      </c>
      <c r="V338" s="42" t="b">
        <v>0</v>
      </c>
      <c r="W338" s="104" t="s">
        <v>41</v>
      </c>
      <c r="X338" s="183"/>
      <c r="Y338" s="51"/>
      <c r="Z338" s="51"/>
    </row>
    <row r="339">
      <c r="E339" s="102" t="b">
        <v>1</v>
      </c>
      <c r="F339" s="42" t="b">
        <v>0</v>
      </c>
      <c r="G339" s="42" t="b">
        <v>0</v>
      </c>
      <c r="H339" s="42" t="b">
        <v>0</v>
      </c>
      <c r="I339" s="52">
        <v>45191.0</v>
      </c>
      <c r="J339" s="52">
        <v>45191.0</v>
      </c>
      <c r="K339" s="28">
        <v>2.0</v>
      </c>
      <c r="L339" s="182" t="s">
        <v>534</v>
      </c>
      <c r="M339" s="47" t="s">
        <v>527</v>
      </c>
      <c r="N339" s="137" t="b">
        <v>0</v>
      </c>
      <c r="O339" s="42" t="b">
        <v>0</v>
      </c>
      <c r="P339" s="42" t="b">
        <v>0</v>
      </c>
      <c r="Q339" s="42" t="b">
        <v>0</v>
      </c>
      <c r="R339" s="102" t="b">
        <v>0</v>
      </c>
      <c r="S339" s="42" t="b">
        <v>0</v>
      </c>
      <c r="T339" s="102" t="b">
        <v>0</v>
      </c>
      <c r="U339" s="42" t="b">
        <v>0</v>
      </c>
      <c r="V339" s="42" t="b">
        <v>0</v>
      </c>
      <c r="W339" s="104" t="s">
        <v>41</v>
      </c>
      <c r="X339" s="183"/>
      <c r="Y339" s="51"/>
      <c r="Z339" s="51"/>
    </row>
    <row r="340">
      <c r="E340" s="102" t="b">
        <v>1</v>
      </c>
      <c r="F340" s="42" t="b">
        <v>0</v>
      </c>
      <c r="G340" s="42" t="b">
        <v>0</v>
      </c>
      <c r="H340" s="42" t="b">
        <v>0</v>
      </c>
      <c r="I340" s="52">
        <v>45184.0</v>
      </c>
      <c r="J340" s="52">
        <v>45184.0</v>
      </c>
      <c r="K340" s="28">
        <v>2.0</v>
      </c>
      <c r="L340" s="182" t="s">
        <v>535</v>
      </c>
      <c r="M340" s="47" t="s">
        <v>527</v>
      </c>
      <c r="N340" s="137" t="b">
        <v>0</v>
      </c>
      <c r="O340" s="42" t="b">
        <v>0</v>
      </c>
      <c r="P340" s="42" t="b">
        <v>0</v>
      </c>
      <c r="Q340" s="42" t="b">
        <v>0</v>
      </c>
      <c r="R340" s="102" t="b">
        <v>0</v>
      </c>
      <c r="S340" s="42" t="b">
        <v>0</v>
      </c>
      <c r="T340" s="102" t="b">
        <v>0</v>
      </c>
      <c r="U340" s="42" t="b">
        <v>0</v>
      </c>
      <c r="V340" s="42" t="b">
        <v>0</v>
      </c>
      <c r="W340" s="104" t="s">
        <v>41</v>
      </c>
      <c r="X340" s="183"/>
      <c r="Y340" s="51"/>
      <c r="Z340" s="51"/>
    </row>
    <row r="341">
      <c r="E341" s="102" t="b">
        <v>1</v>
      </c>
      <c r="F341" s="42" t="b">
        <v>0</v>
      </c>
      <c r="G341" s="42" t="b">
        <v>0</v>
      </c>
      <c r="H341" s="42" t="b">
        <v>0</v>
      </c>
      <c r="I341" s="52">
        <v>45177.0</v>
      </c>
      <c r="J341" s="52">
        <v>45177.0</v>
      </c>
      <c r="K341" s="28">
        <v>2.0</v>
      </c>
      <c r="L341" s="182" t="s">
        <v>536</v>
      </c>
      <c r="M341" s="47" t="s">
        <v>527</v>
      </c>
      <c r="N341" s="137" t="b">
        <v>0</v>
      </c>
      <c r="O341" s="42" t="b">
        <v>0</v>
      </c>
      <c r="P341" s="42" t="b">
        <v>0</v>
      </c>
      <c r="Q341" s="42" t="b">
        <v>0</v>
      </c>
      <c r="R341" s="102" t="b">
        <v>0</v>
      </c>
      <c r="S341" s="42" t="b">
        <v>0</v>
      </c>
      <c r="T341" s="102" t="b">
        <v>0</v>
      </c>
      <c r="U341" s="42" t="b">
        <v>0</v>
      </c>
      <c r="V341" s="42" t="b">
        <v>0</v>
      </c>
      <c r="W341" s="104" t="s">
        <v>41</v>
      </c>
      <c r="X341" s="184"/>
      <c r="Y341" s="185"/>
      <c r="Z341" s="185"/>
    </row>
    <row r="342">
      <c r="E342" s="82" t="b">
        <v>1</v>
      </c>
      <c r="F342" s="80" t="b">
        <v>0</v>
      </c>
      <c r="G342" s="80" t="b">
        <v>0</v>
      </c>
      <c r="H342" s="80" t="b">
        <v>0</v>
      </c>
      <c r="I342" s="52">
        <v>45177.0</v>
      </c>
      <c r="J342" s="52">
        <v>45177.0</v>
      </c>
      <c r="K342" s="28">
        <v>3.0</v>
      </c>
      <c r="L342" s="67" t="s">
        <v>537</v>
      </c>
      <c r="M342" s="169" t="s">
        <v>527</v>
      </c>
      <c r="N342" s="131" t="b">
        <v>0</v>
      </c>
      <c r="O342" s="80" t="b">
        <v>0</v>
      </c>
      <c r="P342" s="80" t="b">
        <v>0</v>
      </c>
      <c r="Q342" s="80" t="b">
        <v>0</v>
      </c>
      <c r="R342" s="131" t="b">
        <v>0</v>
      </c>
      <c r="S342" s="80" t="b">
        <v>0</v>
      </c>
      <c r="T342" s="131" t="b">
        <v>0</v>
      </c>
      <c r="U342" s="80" t="b">
        <v>0</v>
      </c>
      <c r="V342" s="25" t="b">
        <v>0</v>
      </c>
      <c r="W342" s="186" t="s">
        <v>39</v>
      </c>
      <c r="X342" s="184"/>
      <c r="Y342" s="185"/>
      <c r="Z342" s="185"/>
    </row>
    <row r="343">
      <c r="E343" s="82" t="b">
        <v>1</v>
      </c>
      <c r="F343" s="80" t="b">
        <v>0</v>
      </c>
      <c r="G343" s="80" t="b">
        <v>0</v>
      </c>
      <c r="H343" s="80" t="b">
        <v>0</v>
      </c>
      <c r="I343" s="52">
        <v>45163.0</v>
      </c>
      <c r="J343" s="52">
        <v>45163.0</v>
      </c>
      <c r="K343" s="28">
        <v>3.0</v>
      </c>
      <c r="L343" s="67" t="s">
        <v>537</v>
      </c>
      <c r="M343" s="169" t="s">
        <v>527</v>
      </c>
      <c r="N343" s="131" t="b">
        <v>0</v>
      </c>
      <c r="O343" s="80" t="b">
        <v>0</v>
      </c>
      <c r="P343" s="80" t="b">
        <v>0</v>
      </c>
      <c r="Q343" s="80" t="b">
        <v>0</v>
      </c>
      <c r="R343" s="131" t="b">
        <v>0</v>
      </c>
      <c r="S343" s="80" t="b">
        <v>0</v>
      </c>
      <c r="T343" s="131" t="b">
        <v>0</v>
      </c>
      <c r="U343" s="80" t="b">
        <v>0</v>
      </c>
      <c r="V343" s="25" t="b">
        <v>0</v>
      </c>
      <c r="W343" s="186" t="s">
        <v>39</v>
      </c>
      <c r="X343" s="184"/>
      <c r="Y343" s="185"/>
      <c r="Z343" s="185"/>
    </row>
    <row r="344">
      <c r="E344" s="82" t="b">
        <v>1</v>
      </c>
      <c r="F344" s="80" t="b">
        <v>0</v>
      </c>
      <c r="G344" s="80" t="b">
        <v>0</v>
      </c>
      <c r="H344" s="80" t="b">
        <v>0</v>
      </c>
      <c r="I344" s="52">
        <v>45128.0</v>
      </c>
      <c r="J344" s="52">
        <v>45128.0</v>
      </c>
      <c r="K344" s="28">
        <v>3.0</v>
      </c>
      <c r="L344" s="67" t="s">
        <v>537</v>
      </c>
      <c r="M344" s="169" t="s">
        <v>527</v>
      </c>
      <c r="N344" s="131" t="b">
        <v>0</v>
      </c>
      <c r="O344" s="80" t="b">
        <v>0</v>
      </c>
      <c r="P344" s="80" t="b">
        <v>0</v>
      </c>
      <c r="Q344" s="80" t="b">
        <v>0</v>
      </c>
      <c r="R344" s="131" t="b">
        <v>0</v>
      </c>
      <c r="S344" s="80" t="b">
        <v>0</v>
      </c>
      <c r="T344" s="131" t="b">
        <v>0</v>
      </c>
      <c r="U344" s="80" t="b">
        <v>0</v>
      </c>
      <c r="V344" s="25" t="b">
        <v>0</v>
      </c>
      <c r="W344" s="186" t="s">
        <v>39</v>
      </c>
      <c r="X344" s="184"/>
      <c r="Y344" s="185"/>
      <c r="Z344" s="185"/>
    </row>
    <row r="345">
      <c r="E345" s="82" t="b">
        <v>1</v>
      </c>
      <c r="F345" s="80" t="b">
        <v>0</v>
      </c>
      <c r="G345" s="80" t="b">
        <v>0</v>
      </c>
      <c r="H345" s="80" t="b">
        <v>0</v>
      </c>
      <c r="I345" s="52">
        <v>45121.0</v>
      </c>
      <c r="J345" s="52">
        <v>45121.0</v>
      </c>
      <c r="K345" s="28">
        <v>3.0</v>
      </c>
      <c r="L345" s="67" t="s">
        <v>537</v>
      </c>
      <c r="M345" s="169" t="s">
        <v>527</v>
      </c>
      <c r="N345" s="131" t="b">
        <v>0</v>
      </c>
      <c r="O345" s="80" t="b">
        <v>0</v>
      </c>
      <c r="P345" s="80" t="b">
        <v>0</v>
      </c>
      <c r="Q345" s="80" t="b">
        <v>0</v>
      </c>
      <c r="R345" s="131" t="b">
        <v>0</v>
      </c>
      <c r="S345" s="80" t="b">
        <v>0</v>
      </c>
      <c r="T345" s="131" t="b">
        <v>0</v>
      </c>
      <c r="U345" s="80" t="b">
        <v>0</v>
      </c>
      <c r="V345" s="25" t="b">
        <v>0</v>
      </c>
      <c r="W345" s="186" t="s">
        <v>39</v>
      </c>
      <c r="X345" s="184"/>
      <c r="Y345" s="185"/>
      <c r="Z345" s="185"/>
    </row>
    <row r="346">
      <c r="E346" s="82" t="b">
        <v>1</v>
      </c>
      <c r="F346" s="80" t="b">
        <v>0</v>
      </c>
      <c r="G346" s="80" t="b">
        <v>0</v>
      </c>
      <c r="H346" s="80" t="b">
        <v>0</v>
      </c>
      <c r="I346" s="52">
        <v>45114.0</v>
      </c>
      <c r="J346" s="52">
        <v>45114.0</v>
      </c>
      <c r="K346" s="28">
        <v>3.0</v>
      </c>
      <c r="L346" s="67" t="s">
        <v>537</v>
      </c>
      <c r="M346" s="169" t="s">
        <v>527</v>
      </c>
      <c r="N346" s="131" t="b">
        <v>0</v>
      </c>
      <c r="O346" s="80" t="b">
        <v>0</v>
      </c>
      <c r="P346" s="80" t="b">
        <v>0</v>
      </c>
      <c r="Q346" s="80" t="b">
        <v>0</v>
      </c>
      <c r="R346" s="131" t="b">
        <v>0</v>
      </c>
      <c r="S346" s="80" t="b">
        <v>0</v>
      </c>
      <c r="T346" s="131" t="b">
        <v>0</v>
      </c>
      <c r="U346" s="80" t="b">
        <v>0</v>
      </c>
      <c r="V346" s="25" t="b">
        <v>0</v>
      </c>
      <c r="W346" s="186" t="s">
        <v>39</v>
      </c>
      <c r="X346" s="184"/>
      <c r="Y346" s="185"/>
      <c r="Z346" s="185"/>
    </row>
    <row r="347">
      <c r="E347" s="82" t="b">
        <v>1</v>
      </c>
      <c r="F347" s="80" t="b">
        <v>0</v>
      </c>
      <c r="G347" s="80" t="b">
        <v>0</v>
      </c>
      <c r="H347" s="80" t="b">
        <v>0</v>
      </c>
      <c r="I347" s="148">
        <v>45107.0</v>
      </c>
      <c r="J347" s="148">
        <v>45107.0</v>
      </c>
      <c r="K347" s="28">
        <v>3.0</v>
      </c>
      <c r="L347" s="81" t="s">
        <v>538</v>
      </c>
      <c r="M347" s="169" t="s">
        <v>527</v>
      </c>
      <c r="N347" s="131" t="b">
        <v>0</v>
      </c>
      <c r="O347" s="80" t="b">
        <v>0</v>
      </c>
      <c r="P347" s="80" t="b">
        <v>0</v>
      </c>
      <c r="Q347" s="80" t="b">
        <v>0</v>
      </c>
      <c r="R347" s="131" t="b">
        <v>0</v>
      </c>
      <c r="S347" s="80" t="b">
        <v>0</v>
      </c>
      <c r="T347" s="131" t="b">
        <v>0</v>
      </c>
      <c r="U347" s="80" t="b">
        <v>0</v>
      </c>
      <c r="V347" s="25" t="b">
        <v>0</v>
      </c>
      <c r="W347" s="186" t="s">
        <v>39</v>
      </c>
      <c r="X347" s="184"/>
      <c r="Y347" s="185"/>
      <c r="Z347" s="185"/>
    </row>
    <row r="348">
      <c r="E348" s="82" t="b">
        <v>1</v>
      </c>
      <c r="F348" s="80" t="b">
        <v>0</v>
      </c>
      <c r="G348" s="80" t="b">
        <v>0</v>
      </c>
      <c r="H348" s="80" t="b">
        <v>0</v>
      </c>
      <c r="I348" s="148">
        <v>45086.0</v>
      </c>
      <c r="J348" s="148">
        <v>45086.0</v>
      </c>
      <c r="K348" s="28">
        <v>3.0</v>
      </c>
      <c r="L348" s="175" t="s">
        <v>539</v>
      </c>
      <c r="M348" s="169" t="s">
        <v>527</v>
      </c>
      <c r="N348" s="131" t="b">
        <v>0</v>
      </c>
      <c r="O348" s="80" t="b">
        <v>0</v>
      </c>
      <c r="P348" s="80" t="b">
        <v>0</v>
      </c>
      <c r="Q348" s="80" t="b">
        <v>0</v>
      </c>
      <c r="R348" s="131" t="b">
        <v>0</v>
      </c>
      <c r="S348" s="80" t="b">
        <v>0</v>
      </c>
      <c r="T348" s="131" t="b">
        <v>0</v>
      </c>
      <c r="U348" s="80" t="b">
        <v>0</v>
      </c>
      <c r="V348" s="25" t="b">
        <v>0</v>
      </c>
      <c r="W348" s="186" t="s">
        <v>39</v>
      </c>
      <c r="X348" s="184"/>
      <c r="Y348" s="185"/>
      <c r="Z348" s="185"/>
    </row>
    <row r="349">
      <c r="E349" s="82" t="b">
        <v>1</v>
      </c>
      <c r="F349" s="80" t="b">
        <v>0</v>
      </c>
      <c r="G349" s="80" t="b">
        <v>0</v>
      </c>
      <c r="H349" s="80" t="b">
        <v>0</v>
      </c>
      <c r="I349" s="148">
        <v>45072.0</v>
      </c>
      <c r="J349" s="148">
        <v>45072.0</v>
      </c>
      <c r="K349" s="28">
        <v>3.0</v>
      </c>
      <c r="L349" s="175" t="s">
        <v>539</v>
      </c>
      <c r="M349" s="169" t="s">
        <v>527</v>
      </c>
      <c r="N349" s="131" t="b">
        <v>0</v>
      </c>
      <c r="O349" s="80" t="b">
        <v>0</v>
      </c>
      <c r="P349" s="80" t="b">
        <v>0</v>
      </c>
      <c r="Q349" s="80" t="b">
        <v>0</v>
      </c>
      <c r="R349" s="131" t="b">
        <v>0</v>
      </c>
      <c r="S349" s="80" t="b">
        <v>0</v>
      </c>
      <c r="T349" s="131" t="b">
        <v>0</v>
      </c>
      <c r="U349" s="80" t="b">
        <v>0</v>
      </c>
      <c r="V349" s="25" t="b">
        <v>0</v>
      </c>
      <c r="W349" s="186" t="s">
        <v>39</v>
      </c>
      <c r="X349" s="184"/>
      <c r="Y349" s="185"/>
      <c r="Z349" s="185"/>
    </row>
    <row r="350">
      <c r="E350" s="82" t="b">
        <v>1</v>
      </c>
      <c r="F350" s="80" t="b">
        <v>0</v>
      </c>
      <c r="G350" s="80" t="b">
        <v>0</v>
      </c>
      <c r="H350" s="80" t="b">
        <v>0</v>
      </c>
      <c r="I350" s="159">
        <v>45065.0</v>
      </c>
      <c r="J350" s="159">
        <v>45065.0</v>
      </c>
      <c r="K350" s="28">
        <v>3.0</v>
      </c>
      <c r="L350" s="175" t="s">
        <v>539</v>
      </c>
      <c r="M350" s="169" t="s">
        <v>527</v>
      </c>
      <c r="N350" s="131" t="b">
        <v>0</v>
      </c>
      <c r="O350" s="80" t="b">
        <v>0</v>
      </c>
      <c r="P350" s="80" t="b">
        <v>0</v>
      </c>
      <c r="Q350" s="80" t="b">
        <v>0</v>
      </c>
      <c r="R350" s="131" t="b">
        <v>0</v>
      </c>
      <c r="S350" s="80" t="b">
        <v>0</v>
      </c>
      <c r="T350" s="131" t="b">
        <v>0</v>
      </c>
      <c r="U350" s="80" t="b">
        <v>0</v>
      </c>
      <c r="V350" s="25" t="b">
        <v>0</v>
      </c>
      <c r="W350" s="187" t="s">
        <v>39</v>
      </c>
      <c r="X350" s="184"/>
      <c r="Y350" s="185"/>
      <c r="Z350" s="185"/>
    </row>
    <row r="351">
      <c r="E351" s="131" t="b">
        <v>1</v>
      </c>
      <c r="F351" s="80" t="b">
        <v>0</v>
      </c>
      <c r="G351" s="80" t="b">
        <v>0</v>
      </c>
      <c r="H351" s="80" t="b">
        <v>0</v>
      </c>
      <c r="I351" s="159">
        <v>45051.0</v>
      </c>
      <c r="J351" s="159">
        <v>45051.0</v>
      </c>
      <c r="K351" s="28">
        <v>3.0</v>
      </c>
      <c r="L351" s="175" t="s">
        <v>539</v>
      </c>
      <c r="M351" s="169" t="s">
        <v>527</v>
      </c>
      <c r="N351" s="131" t="b">
        <v>0</v>
      </c>
      <c r="O351" s="80" t="b">
        <v>0</v>
      </c>
      <c r="P351" s="80" t="b">
        <v>0</v>
      </c>
      <c r="Q351" s="80" t="b">
        <v>0</v>
      </c>
      <c r="R351" s="131" t="b">
        <v>0</v>
      </c>
      <c r="S351" s="80" t="b">
        <v>0</v>
      </c>
      <c r="T351" s="131" t="b">
        <v>0</v>
      </c>
      <c r="U351" s="80" t="b">
        <v>0</v>
      </c>
      <c r="V351" s="25" t="b">
        <v>0</v>
      </c>
      <c r="W351" s="187" t="s">
        <v>39</v>
      </c>
      <c r="X351" s="184"/>
      <c r="Y351" s="185"/>
      <c r="Z351" s="185"/>
    </row>
    <row r="352">
      <c r="E352" s="131" t="b">
        <v>1</v>
      </c>
      <c r="F352" s="80" t="b">
        <v>0</v>
      </c>
      <c r="G352" s="80" t="b">
        <v>0</v>
      </c>
      <c r="H352" s="80" t="b">
        <v>0</v>
      </c>
      <c r="I352" s="159">
        <v>45044.0</v>
      </c>
      <c r="J352" s="159">
        <v>45044.0</v>
      </c>
      <c r="K352" s="28">
        <v>3.0</v>
      </c>
      <c r="L352" s="175" t="s">
        <v>540</v>
      </c>
      <c r="M352" s="169" t="s">
        <v>527</v>
      </c>
      <c r="N352" s="131" t="b">
        <v>0</v>
      </c>
      <c r="O352" s="80" t="b">
        <v>0</v>
      </c>
      <c r="P352" s="80" t="b">
        <v>0</v>
      </c>
      <c r="Q352" s="80" t="b">
        <v>0</v>
      </c>
      <c r="R352" s="131" t="b">
        <v>0</v>
      </c>
      <c r="S352" s="80" t="b">
        <v>0</v>
      </c>
      <c r="T352" s="131" t="b">
        <v>0</v>
      </c>
      <c r="U352" s="80" t="b">
        <v>0</v>
      </c>
      <c r="V352" s="25" t="b">
        <v>0</v>
      </c>
      <c r="W352" s="187" t="s">
        <v>39</v>
      </c>
      <c r="X352" s="184"/>
      <c r="Y352" s="185"/>
      <c r="Z352" s="185"/>
    </row>
    <row r="353">
      <c r="E353" s="82" t="b">
        <v>1</v>
      </c>
      <c r="F353" s="80" t="b">
        <v>0</v>
      </c>
      <c r="G353" s="80" t="b">
        <v>0</v>
      </c>
      <c r="H353" s="80" t="b">
        <v>0</v>
      </c>
      <c r="I353" s="148">
        <v>45037.0</v>
      </c>
      <c r="J353" s="148">
        <v>45037.0</v>
      </c>
      <c r="K353" s="28">
        <v>3.0</v>
      </c>
      <c r="L353" s="81" t="s">
        <v>541</v>
      </c>
      <c r="M353" s="150" t="s">
        <v>527</v>
      </c>
      <c r="N353" s="131" t="b">
        <v>0</v>
      </c>
      <c r="O353" s="80" t="b">
        <v>0</v>
      </c>
      <c r="P353" s="80" t="b">
        <v>0</v>
      </c>
      <c r="Q353" s="80" t="b">
        <v>0</v>
      </c>
      <c r="R353" s="131" t="b">
        <v>0</v>
      </c>
      <c r="S353" s="80" t="b">
        <v>0</v>
      </c>
      <c r="T353" s="131" t="b">
        <v>0</v>
      </c>
      <c r="U353" s="80" t="b">
        <v>0</v>
      </c>
      <c r="V353" s="25" t="b">
        <v>0</v>
      </c>
      <c r="W353" s="119" t="s">
        <v>39</v>
      </c>
      <c r="X353" s="105"/>
      <c r="Y353" s="33"/>
      <c r="Z353" s="33"/>
    </row>
    <row r="354">
      <c r="E354" s="82" t="b">
        <v>1</v>
      </c>
      <c r="F354" s="80" t="b">
        <v>0</v>
      </c>
      <c r="G354" s="80" t="b">
        <v>0</v>
      </c>
      <c r="H354" s="80" t="b">
        <v>0</v>
      </c>
      <c r="I354" s="148">
        <v>45030.0</v>
      </c>
      <c r="J354" s="148">
        <v>45030.0</v>
      </c>
      <c r="K354" s="28">
        <v>3.0</v>
      </c>
      <c r="L354" s="81" t="s">
        <v>542</v>
      </c>
      <c r="M354" s="150" t="s">
        <v>527</v>
      </c>
      <c r="N354" s="131" t="b">
        <v>0</v>
      </c>
      <c r="O354" s="80" t="b">
        <v>0</v>
      </c>
      <c r="P354" s="80" t="b">
        <v>0</v>
      </c>
      <c r="Q354" s="80" t="b">
        <v>0</v>
      </c>
      <c r="R354" s="131" t="b">
        <v>0</v>
      </c>
      <c r="S354" s="80" t="b">
        <v>0</v>
      </c>
      <c r="T354" s="131" t="b">
        <v>0</v>
      </c>
      <c r="U354" s="80" t="b">
        <v>0</v>
      </c>
      <c r="V354" s="25" t="b">
        <v>0</v>
      </c>
      <c r="W354" s="119" t="s">
        <v>39</v>
      </c>
      <c r="X354" s="105"/>
      <c r="Y354" s="33"/>
      <c r="Z354" s="33"/>
    </row>
    <row r="355">
      <c r="E355" s="82" t="b">
        <v>1</v>
      </c>
      <c r="F355" s="80" t="b">
        <v>0</v>
      </c>
      <c r="G355" s="80" t="b">
        <v>0</v>
      </c>
      <c r="H355" s="80" t="b">
        <v>0</v>
      </c>
      <c r="I355" s="148">
        <v>45023.0</v>
      </c>
      <c r="J355" s="148">
        <v>45023.0</v>
      </c>
      <c r="K355" s="28">
        <v>3.0</v>
      </c>
      <c r="L355" s="81" t="s">
        <v>543</v>
      </c>
      <c r="M355" s="150" t="s">
        <v>527</v>
      </c>
      <c r="N355" s="131" t="b">
        <v>0</v>
      </c>
      <c r="O355" s="80" t="b">
        <v>0</v>
      </c>
      <c r="P355" s="80" t="b">
        <v>0</v>
      </c>
      <c r="Q355" s="80" t="b">
        <v>0</v>
      </c>
      <c r="R355" s="131" t="b">
        <v>0</v>
      </c>
      <c r="S355" s="80" t="b">
        <v>0</v>
      </c>
      <c r="T355" s="131" t="b">
        <v>0</v>
      </c>
      <c r="U355" s="80" t="b">
        <v>0</v>
      </c>
      <c r="V355" s="25" t="b">
        <v>0</v>
      </c>
      <c r="W355" s="119" t="s">
        <v>39</v>
      </c>
      <c r="X355" s="105"/>
      <c r="Y355" s="33"/>
      <c r="Z355" s="33"/>
    </row>
    <row r="356">
      <c r="E356" s="82" t="b">
        <v>1</v>
      </c>
      <c r="F356" s="80" t="b">
        <v>0</v>
      </c>
      <c r="G356" s="80" t="b">
        <v>0</v>
      </c>
      <c r="H356" s="80" t="b">
        <v>0</v>
      </c>
      <c r="I356" s="148">
        <v>45016.0</v>
      </c>
      <c r="J356" s="148">
        <v>45016.0</v>
      </c>
      <c r="K356" s="28">
        <v>3.0</v>
      </c>
      <c r="L356" s="81" t="s">
        <v>544</v>
      </c>
      <c r="M356" s="150" t="s">
        <v>527</v>
      </c>
      <c r="N356" s="131" t="b">
        <v>0</v>
      </c>
      <c r="O356" s="80" t="b">
        <v>0</v>
      </c>
      <c r="P356" s="80" t="b">
        <v>0</v>
      </c>
      <c r="Q356" s="80" t="b">
        <v>0</v>
      </c>
      <c r="R356" s="131" t="b">
        <v>0</v>
      </c>
      <c r="S356" s="80" t="b">
        <v>0</v>
      </c>
      <c r="T356" s="131" t="b">
        <v>0</v>
      </c>
      <c r="U356" s="80" t="b">
        <v>0</v>
      </c>
      <c r="V356" s="25" t="b">
        <v>0</v>
      </c>
      <c r="W356" s="119" t="s">
        <v>39</v>
      </c>
      <c r="X356" s="105"/>
      <c r="Y356" s="33"/>
      <c r="Z356" s="33"/>
    </row>
    <row r="357">
      <c r="E357" s="82" t="b">
        <v>1</v>
      </c>
      <c r="F357" s="80" t="b">
        <v>0</v>
      </c>
      <c r="G357" s="80" t="b">
        <v>0</v>
      </c>
      <c r="H357" s="80" t="b">
        <v>0</v>
      </c>
      <c r="I357" s="148">
        <v>45009.0</v>
      </c>
      <c r="J357" s="148">
        <v>45009.0</v>
      </c>
      <c r="K357" s="28">
        <v>3.0</v>
      </c>
      <c r="L357" s="81" t="s">
        <v>545</v>
      </c>
      <c r="M357" s="150" t="s">
        <v>527</v>
      </c>
      <c r="N357" s="131" t="b">
        <v>0</v>
      </c>
      <c r="O357" s="80" t="b">
        <v>0</v>
      </c>
      <c r="P357" s="80" t="b">
        <v>0</v>
      </c>
      <c r="Q357" s="80" t="b">
        <v>0</v>
      </c>
      <c r="R357" s="131" t="b">
        <v>0</v>
      </c>
      <c r="S357" s="80" t="b">
        <v>0</v>
      </c>
      <c r="T357" s="131" t="b">
        <v>0</v>
      </c>
      <c r="U357" s="80" t="b">
        <v>0</v>
      </c>
      <c r="V357" s="25" t="b">
        <v>0</v>
      </c>
      <c r="W357" s="119" t="s">
        <v>39</v>
      </c>
      <c r="X357" s="105"/>
      <c r="Y357" s="33"/>
      <c r="Z357" s="33"/>
    </row>
    <row r="358">
      <c r="E358" s="82" t="b">
        <v>1</v>
      </c>
      <c r="F358" s="80" t="b">
        <v>0</v>
      </c>
      <c r="G358" s="80" t="b">
        <v>0</v>
      </c>
      <c r="H358" s="80" t="b">
        <v>0</v>
      </c>
      <c r="I358" s="148">
        <v>44995.0</v>
      </c>
      <c r="J358" s="148">
        <v>44995.0</v>
      </c>
      <c r="K358" s="28">
        <v>3.0</v>
      </c>
      <c r="L358" s="81" t="s">
        <v>546</v>
      </c>
      <c r="M358" s="150" t="s">
        <v>527</v>
      </c>
      <c r="N358" s="131" t="b">
        <v>0</v>
      </c>
      <c r="O358" s="80" t="b">
        <v>0</v>
      </c>
      <c r="P358" s="80" t="b">
        <v>0</v>
      </c>
      <c r="Q358" s="80" t="b">
        <v>0</v>
      </c>
      <c r="R358" s="131" t="b">
        <v>0</v>
      </c>
      <c r="S358" s="80" t="b">
        <v>0</v>
      </c>
      <c r="T358" s="131" t="b">
        <v>0</v>
      </c>
      <c r="U358" s="80" t="b">
        <v>0</v>
      </c>
      <c r="V358" s="25" t="b">
        <v>0</v>
      </c>
      <c r="W358" s="119" t="s">
        <v>39</v>
      </c>
      <c r="X358" s="105"/>
      <c r="Y358" s="33"/>
      <c r="Z358" s="33"/>
    </row>
    <row r="359">
      <c r="E359" s="82" t="b">
        <v>1</v>
      </c>
      <c r="F359" s="80" t="b">
        <v>0</v>
      </c>
      <c r="G359" s="80" t="b">
        <v>0</v>
      </c>
      <c r="H359" s="80" t="b">
        <v>0</v>
      </c>
      <c r="I359" s="148">
        <v>44988.0</v>
      </c>
      <c r="J359" s="148">
        <v>44988.0</v>
      </c>
      <c r="K359" s="28">
        <v>3.0</v>
      </c>
      <c r="L359" s="81" t="s">
        <v>547</v>
      </c>
      <c r="M359" s="150" t="s">
        <v>527</v>
      </c>
      <c r="N359" s="131" t="b">
        <v>0</v>
      </c>
      <c r="O359" s="80" t="b">
        <v>0</v>
      </c>
      <c r="P359" s="80" t="b">
        <v>0</v>
      </c>
      <c r="Q359" s="80" t="b">
        <v>0</v>
      </c>
      <c r="R359" s="131" t="b">
        <v>0</v>
      </c>
      <c r="S359" s="80" t="b">
        <v>0</v>
      </c>
      <c r="T359" s="131" t="b">
        <v>0</v>
      </c>
      <c r="U359" s="80" t="b">
        <v>0</v>
      </c>
      <c r="V359" s="25" t="b">
        <v>0</v>
      </c>
      <c r="W359" s="119" t="s">
        <v>39</v>
      </c>
      <c r="X359" s="105"/>
      <c r="Y359" s="33"/>
      <c r="Z359" s="33"/>
    </row>
    <row r="360">
      <c r="E360" s="82" t="b">
        <v>1</v>
      </c>
      <c r="F360" s="80" t="b">
        <v>0</v>
      </c>
      <c r="G360" s="80" t="b">
        <v>0</v>
      </c>
      <c r="H360" s="80" t="b">
        <v>0</v>
      </c>
      <c r="I360" s="148">
        <v>44981.0</v>
      </c>
      <c r="J360" s="148">
        <v>44981.0</v>
      </c>
      <c r="K360" s="28">
        <v>3.0</v>
      </c>
      <c r="L360" s="81" t="s">
        <v>548</v>
      </c>
      <c r="M360" s="150" t="s">
        <v>527</v>
      </c>
      <c r="N360" s="131" t="b">
        <v>0</v>
      </c>
      <c r="O360" s="80" t="b">
        <v>0</v>
      </c>
      <c r="P360" s="80" t="b">
        <v>0</v>
      </c>
      <c r="Q360" s="80" t="b">
        <v>0</v>
      </c>
      <c r="R360" s="131" t="b">
        <v>0</v>
      </c>
      <c r="S360" s="80" t="b">
        <v>0</v>
      </c>
      <c r="T360" s="131" t="b">
        <v>0</v>
      </c>
      <c r="U360" s="80" t="b">
        <v>0</v>
      </c>
      <c r="V360" s="25" t="b">
        <v>0</v>
      </c>
      <c r="W360" s="119" t="s">
        <v>39</v>
      </c>
      <c r="X360" s="105"/>
      <c r="Y360" s="33"/>
      <c r="Z360" s="33"/>
    </row>
    <row r="361">
      <c r="E361" s="80" t="b">
        <v>1</v>
      </c>
      <c r="F361" s="80" t="b">
        <v>0</v>
      </c>
      <c r="G361" s="80" t="b">
        <v>0</v>
      </c>
      <c r="H361" s="80" t="b">
        <v>0</v>
      </c>
      <c r="I361" s="188">
        <v>44912.0</v>
      </c>
      <c r="J361" s="148">
        <v>44931.0</v>
      </c>
      <c r="K361" s="28">
        <v>437.0</v>
      </c>
      <c r="L361" s="81" t="s">
        <v>549</v>
      </c>
      <c r="M361" s="150" t="s">
        <v>550</v>
      </c>
      <c r="N361" s="131" t="b">
        <v>0</v>
      </c>
      <c r="O361" s="80" t="b">
        <v>0</v>
      </c>
      <c r="P361" s="80" t="b">
        <v>0</v>
      </c>
      <c r="Q361" s="80" t="b">
        <v>0</v>
      </c>
      <c r="R361" s="131" t="b">
        <v>0</v>
      </c>
      <c r="S361" s="80" t="b">
        <v>0</v>
      </c>
      <c r="T361" s="131" t="b">
        <v>0</v>
      </c>
      <c r="U361" s="80" t="b">
        <v>0</v>
      </c>
      <c r="V361" s="25" t="b">
        <v>0</v>
      </c>
      <c r="W361" s="119" t="s">
        <v>39</v>
      </c>
      <c r="X361" s="61" t="s">
        <v>125</v>
      </c>
      <c r="Y361" s="33"/>
      <c r="Z361" s="33"/>
    </row>
    <row r="362">
      <c r="E362" s="131" t="b">
        <v>0</v>
      </c>
      <c r="F362" s="80" t="b">
        <v>0</v>
      </c>
      <c r="G362" s="80" t="b">
        <v>1</v>
      </c>
      <c r="H362" s="80" t="b">
        <v>0</v>
      </c>
      <c r="I362" s="188">
        <v>44907.0</v>
      </c>
      <c r="J362" s="188">
        <v>44907.0</v>
      </c>
      <c r="K362" s="28">
        <v>1.0</v>
      </c>
      <c r="L362" s="175" t="s">
        <v>551</v>
      </c>
      <c r="M362" s="40" t="s">
        <v>38</v>
      </c>
      <c r="N362" s="80" t="b">
        <v>0</v>
      </c>
      <c r="O362" s="80" t="b">
        <v>0</v>
      </c>
      <c r="P362" s="80" t="b">
        <v>0</v>
      </c>
      <c r="Q362" s="80" t="b">
        <v>0</v>
      </c>
      <c r="R362" s="80" t="b">
        <v>0</v>
      </c>
      <c r="S362" s="80" t="b">
        <v>0</v>
      </c>
      <c r="T362" s="80" t="b">
        <v>0</v>
      </c>
      <c r="U362" s="80" t="b">
        <v>0</v>
      </c>
      <c r="V362" s="25" t="b">
        <v>0</v>
      </c>
      <c r="W362" s="119" t="s">
        <v>125</v>
      </c>
      <c r="X362" s="33"/>
      <c r="Y362" s="33"/>
      <c r="Z362" s="33"/>
    </row>
    <row r="363">
      <c r="E363" s="131" t="b">
        <v>1</v>
      </c>
      <c r="F363" s="80" t="b">
        <v>0</v>
      </c>
      <c r="G363" s="80" t="b">
        <v>0</v>
      </c>
      <c r="H363" s="80" t="b">
        <v>0</v>
      </c>
      <c r="I363" s="188">
        <v>44903.0</v>
      </c>
      <c r="J363" s="188">
        <v>44903.0</v>
      </c>
      <c r="K363" s="28">
        <v>7.0</v>
      </c>
      <c r="L363" s="175" t="s">
        <v>552</v>
      </c>
      <c r="M363" s="169" t="s">
        <v>550</v>
      </c>
      <c r="N363" s="80" t="b">
        <v>0</v>
      </c>
      <c r="O363" s="80" t="b">
        <v>0</v>
      </c>
      <c r="P363" s="80" t="b">
        <v>0</v>
      </c>
      <c r="Q363" s="80" t="b">
        <v>0</v>
      </c>
      <c r="R363" s="80" t="b">
        <v>0</v>
      </c>
      <c r="S363" s="80" t="b">
        <v>0</v>
      </c>
      <c r="T363" s="80" t="b">
        <v>0</v>
      </c>
      <c r="U363" s="80" t="b">
        <v>0</v>
      </c>
      <c r="V363" s="25" t="b">
        <v>0</v>
      </c>
      <c r="W363" s="119" t="s">
        <v>39</v>
      </c>
      <c r="X363" s="33"/>
      <c r="Y363" s="33"/>
      <c r="Z363" s="33"/>
    </row>
    <row r="364">
      <c r="E364" s="131" t="b">
        <v>1</v>
      </c>
      <c r="F364" s="80" t="b">
        <v>0</v>
      </c>
      <c r="G364" s="80" t="b">
        <v>0</v>
      </c>
      <c r="H364" s="80" t="b">
        <v>0</v>
      </c>
      <c r="I364" s="188">
        <v>44886.0</v>
      </c>
      <c r="J364" s="188">
        <v>44886.0</v>
      </c>
      <c r="K364" s="28">
        <v>4.0</v>
      </c>
      <c r="L364" s="39" t="s">
        <v>553</v>
      </c>
      <c r="M364" s="40" t="s">
        <v>38</v>
      </c>
      <c r="N364" s="80" t="b">
        <v>0</v>
      </c>
      <c r="O364" s="80" t="b">
        <v>0</v>
      </c>
      <c r="P364" s="80" t="b">
        <v>0</v>
      </c>
      <c r="Q364" s="80" t="b">
        <v>0</v>
      </c>
      <c r="R364" s="80" t="b">
        <v>0</v>
      </c>
      <c r="S364" s="80" t="b">
        <v>0</v>
      </c>
      <c r="T364" s="80" t="b">
        <v>0</v>
      </c>
      <c r="U364" s="80" t="b">
        <v>0</v>
      </c>
      <c r="V364" s="25" t="b">
        <v>0</v>
      </c>
      <c r="W364" s="33" t="s">
        <v>39</v>
      </c>
      <c r="X364" s="33"/>
      <c r="Y364" s="33"/>
      <c r="Z364" s="33"/>
    </row>
    <row r="365">
      <c r="E365" s="80" t="b">
        <v>1</v>
      </c>
      <c r="F365" s="80" t="b">
        <v>0</v>
      </c>
      <c r="G365" s="80" t="b">
        <v>0</v>
      </c>
      <c r="H365" s="80" t="b">
        <v>0</v>
      </c>
      <c r="I365" s="188">
        <v>44829.0</v>
      </c>
      <c r="J365" s="188">
        <v>44862.0</v>
      </c>
      <c r="K365" s="28">
        <v>330.0</v>
      </c>
      <c r="L365" s="39" t="s">
        <v>554</v>
      </c>
      <c r="M365" s="40" t="s">
        <v>38</v>
      </c>
      <c r="N365" s="80" t="b">
        <v>0</v>
      </c>
      <c r="O365" s="80" t="b">
        <v>0</v>
      </c>
      <c r="P365" s="80" t="b">
        <v>0</v>
      </c>
      <c r="Q365" s="80" t="b">
        <v>0</v>
      </c>
      <c r="R365" s="80" t="b">
        <v>0</v>
      </c>
      <c r="S365" s="80" t="b">
        <v>0</v>
      </c>
      <c r="T365" s="80" t="b">
        <v>0</v>
      </c>
      <c r="U365" s="80" t="b">
        <v>0</v>
      </c>
      <c r="V365" s="25" t="b">
        <v>0</v>
      </c>
      <c r="W365" s="33" t="s">
        <v>39</v>
      </c>
      <c r="X365" s="33" t="s">
        <v>39</v>
      </c>
      <c r="Y365" s="33" t="s">
        <v>125</v>
      </c>
      <c r="Z365" s="33"/>
    </row>
    <row r="366">
      <c r="E366" s="80" t="b">
        <v>1</v>
      </c>
      <c r="F366" s="80" t="b">
        <v>0</v>
      </c>
      <c r="G366" s="80" t="b">
        <v>0</v>
      </c>
      <c r="H366" s="80" t="b">
        <v>0</v>
      </c>
      <c r="I366" s="188">
        <v>44825.0</v>
      </c>
      <c r="J366" s="188">
        <v>44827.0</v>
      </c>
      <c r="K366" s="28">
        <v>24.0</v>
      </c>
      <c r="L366" s="39" t="s">
        <v>555</v>
      </c>
      <c r="M366" s="40" t="s">
        <v>38</v>
      </c>
      <c r="N366" s="80" t="b">
        <v>0</v>
      </c>
      <c r="O366" s="80" t="b">
        <v>0</v>
      </c>
      <c r="P366" s="80" t="b">
        <v>0</v>
      </c>
      <c r="Q366" s="80" t="b">
        <v>0</v>
      </c>
      <c r="R366" s="80" t="b">
        <v>0</v>
      </c>
      <c r="S366" s="80" t="b">
        <v>0</v>
      </c>
      <c r="T366" s="80" t="b">
        <v>0</v>
      </c>
      <c r="U366" s="80" t="b">
        <v>0</v>
      </c>
      <c r="V366" s="25" t="b">
        <v>0</v>
      </c>
      <c r="W366" s="33" t="s">
        <v>39</v>
      </c>
      <c r="X366" s="33"/>
      <c r="Y366" s="33"/>
      <c r="Z366" s="33"/>
    </row>
    <row r="367">
      <c r="E367" s="80" t="b">
        <v>1</v>
      </c>
      <c r="F367" s="80" t="b">
        <v>0</v>
      </c>
      <c r="G367" s="80" t="b">
        <v>0</v>
      </c>
      <c r="H367" s="80" t="b">
        <v>0</v>
      </c>
      <c r="I367" s="188">
        <v>44823.0</v>
      </c>
      <c r="J367" s="188">
        <v>44823.0</v>
      </c>
      <c r="K367" s="28">
        <v>4.0</v>
      </c>
      <c r="L367" s="39" t="s">
        <v>556</v>
      </c>
      <c r="M367" s="40" t="s">
        <v>550</v>
      </c>
      <c r="N367" s="80" t="b">
        <v>0</v>
      </c>
      <c r="O367" s="80" t="b">
        <v>0</v>
      </c>
      <c r="P367" s="80" t="b">
        <v>0</v>
      </c>
      <c r="Q367" s="80" t="b">
        <v>0</v>
      </c>
      <c r="R367" s="80" t="b">
        <v>0</v>
      </c>
      <c r="S367" s="80" t="b">
        <v>0</v>
      </c>
      <c r="T367" s="80" t="b">
        <v>0</v>
      </c>
      <c r="U367" s="80" t="b">
        <v>0</v>
      </c>
      <c r="V367" s="25" t="b">
        <v>0</v>
      </c>
      <c r="W367" s="33" t="s">
        <v>39</v>
      </c>
      <c r="X367" s="33"/>
      <c r="Y367" s="33"/>
      <c r="Z367" s="33"/>
    </row>
    <row r="368">
      <c r="E368" s="80" t="b">
        <v>1</v>
      </c>
      <c r="F368" s="80" t="b">
        <v>0</v>
      </c>
      <c r="G368" s="80" t="b">
        <v>0</v>
      </c>
      <c r="H368" s="80" t="b">
        <v>0</v>
      </c>
      <c r="I368" s="188">
        <v>44820.0</v>
      </c>
      <c r="J368" s="188">
        <v>44820.0</v>
      </c>
      <c r="K368" s="28">
        <v>48.0</v>
      </c>
      <c r="L368" s="39" t="s">
        <v>557</v>
      </c>
      <c r="M368" s="40" t="s">
        <v>558</v>
      </c>
      <c r="N368" s="80" t="b">
        <v>0</v>
      </c>
      <c r="O368" s="80" t="b">
        <v>0</v>
      </c>
      <c r="P368" s="80" t="b">
        <v>0</v>
      </c>
      <c r="Q368" s="80" t="b">
        <v>0</v>
      </c>
      <c r="R368" s="80" t="b">
        <v>0</v>
      </c>
      <c r="S368" s="80" t="b">
        <v>0</v>
      </c>
      <c r="T368" s="80" t="b">
        <v>0</v>
      </c>
      <c r="U368" s="80" t="b">
        <v>0</v>
      </c>
      <c r="V368" s="25" t="b">
        <v>0</v>
      </c>
      <c r="W368" s="33" t="s">
        <v>39</v>
      </c>
      <c r="X368" s="33" t="s">
        <v>125</v>
      </c>
      <c r="Y368" s="33"/>
      <c r="Z368" s="33"/>
    </row>
    <row r="369">
      <c r="E369" s="80" t="b">
        <v>1</v>
      </c>
      <c r="F369" s="80" t="b">
        <v>0</v>
      </c>
      <c r="G369" s="80" t="b">
        <v>0</v>
      </c>
      <c r="H369" s="80" t="b">
        <v>0</v>
      </c>
      <c r="I369" s="188">
        <v>44692.0</v>
      </c>
      <c r="J369" s="188">
        <v>44692.0</v>
      </c>
      <c r="K369" s="28">
        <v>3.0</v>
      </c>
      <c r="L369" s="39" t="s">
        <v>559</v>
      </c>
      <c r="M369" s="40" t="s">
        <v>38</v>
      </c>
      <c r="N369" s="80" t="b">
        <v>0</v>
      </c>
      <c r="O369" s="80" t="b">
        <v>0</v>
      </c>
      <c r="P369" s="80" t="b">
        <v>0</v>
      </c>
      <c r="Q369" s="80" t="b">
        <v>0</v>
      </c>
      <c r="R369" s="80" t="b">
        <v>0</v>
      </c>
      <c r="S369" s="80" t="b">
        <v>0</v>
      </c>
      <c r="T369" s="80" t="b">
        <v>0</v>
      </c>
      <c r="U369" s="80" t="b">
        <v>0</v>
      </c>
      <c r="V369" s="25" t="b">
        <v>0</v>
      </c>
      <c r="W369" s="33" t="s">
        <v>39</v>
      </c>
      <c r="X369" s="33"/>
      <c r="Y369" s="33"/>
      <c r="Z369" s="33"/>
    </row>
    <row r="370">
      <c r="E370" s="80" t="b">
        <v>1</v>
      </c>
      <c r="F370" s="80" t="b">
        <v>0</v>
      </c>
      <c r="G370" s="80" t="b">
        <v>0</v>
      </c>
      <c r="H370" s="80" t="b">
        <v>0</v>
      </c>
      <c r="I370" s="188">
        <v>44525.0</v>
      </c>
      <c r="J370" s="188">
        <v>44527.0</v>
      </c>
      <c r="K370" s="28">
        <v>48.0</v>
      </c>
      <c r="L370" s="39" t="s">
        <v>560</v>
      </c>
      <c r="M370" s="40" t="s">
        <v>561</v>
      </c>
      <c r="N370" s="80" t="b">
        <v>0</v>
      </c>
      <c r="O370" s="80" t="b">
        <v>0</v>
      </c>
      <c r="P370" s="80" t="b">
        <v>0</v>
      </c>
      <c r="Q370" s="80" t="b">
        <v>0</v>
      </c>
      <c r="R370" s="80" t="b">
        <v>0</v>
      </c>
      <c r="S370" s="80" t="b">
        <v>0</v>
      </c>
      <c r="T370" s="80" t="b">
        <v>0</v>
      </c>
      <c r="U370" s="80" t="b">
        <v>0</v>
      </c>
      <c r="V370" s="25" t="b">
        <v>0</v>
      </c>
      <c r="W370" s="33" t="s">
        <v>41</v>
      </c>
      <c r="X370" s="33"/>
      <c r="Y370" s="33"/>
      <c r="Z370" s="33"/>
    </row>
    <row r="371">
      <c r="E371" s="80" t="b">
        <v>1</v>
      </c>
      <c r="F371" s="80" t="b">
        <v>0</v>
      </c>
      <c r="G371" s="80" t="b">
        <v>0</v>
      </c>
      <c r="H371" s="80" t="b">
        <v>0</v>
      </c>
      <c r="I371" s="188">
        <v>44392.0</v>
      </c>
      <c r="J371" s="188">
        <v>44398.0</v>
      </c>
      <c r="K371" s="28">
        <v>144.0</v>
      </c>
      <c r="L371" s="39" t="s">
        <v>562</v>
      </c>
      <c r="M371" s="30" t="s">
        <v>563</v>
      </c>
      <c r="N371" s="80" t="b">
        <v>0</v>
      </c>
      <c r="O371" s="80" t="b">
        <v>0</v>
      </c>
      <c r="P371" s="80" t="b">
        <v>0</v>
      </c>
      <c r="Q371" s="80" t="b">
        <v>0</v>
      </c>
      <c r="R371" s="80" t="b">
        <v>0</v>
      </c>
      <c r="S371" s="80" t="b">
        <v>0</v>
      </c>
      <c r="T371" s="80" t="b">
        <v>0</v>
      </c>
      <c r="U371" s="80" t="b">
        <v>0</v>
      </c>
      <c r="V371" s="25" t="b">
        <v>0</v>
      </c>
      <c r="W371" s="33" t="s">
        <v>41</v>
      </c>
      <c r="X371" s="34"/>
      <c r="Y371" s="33"/>
      <c r="Z371" s="33"/>
    </row>
    <row r="372">
      <c r="E372" s="80" t="b">
        <v>0</v>
      </c>
      <c r="F372" s="80" t="b">
        <v>1</v>
      </c>
      <c r="G372" s="80" t="b">
        <v>0</v>
      </c>
      <c r="H372" s="80" t="b">
        <v>0</v>
      </c>
      <c r="I372" s="188">
        <v>44367.0</v>
      </c>
      <c r="J372" s="188">
        <v>44368.0</v>
      </c>
      <c r="K372" s="28">
        <v>24.0</v>
      </c>
      <c r="L372" s="39" t="s">
        <v>564</v>
      </c>
      <c r="M372" s="40" t="s">
        <v>565</v>
      </c>
      <c r="N372" s="80" t="b">
        <v>0</v>
      </c>
      <c r="O372" s="80" t="b">
        <v>0</v>
      </c>
      <c r="P372" s="80" t="b">
        <v>0</v>
      </c>
      <c r="Q372" s="80" t="b">
        <v>0</v>
      </c>
      <c r="R372" s="80" t="b">
        <v>0</v>
      </c>
      <c r="S372" s="80" t="b">
        <v>0</v>
      </c>
      <c r="T372" s="80" t="b">
        <v>0</v>
      </c>
      <c r="U372" s="80" t="b">
        <v>0</v>
      </c>
      <c r="V372" s="25" t="b">
        <v>0</v>
      </c>
      <c r="W372" s="33" t="s">
        <v>93</v>
      </c>
      <c r="X372" s="33" t="s">
        <v>316</v>
      </c>
      <c r="Y372" s="33"/>
      <c r="Z372" s="33"/>
    </row>
    <row r="373">
      <c r="E373" s="80" t="b">
        <v>1</v>
      </c>
      <c r="F373" s="80" t="b">
        <v>0</v>
      </c>
      <c r="G373" s="80" t="b">
        <v>0</v>
      </c>
      <c r="H373" s="80" t="b">
        <v>0</v>
      </c>
      <c r="I373" s="38">
        <v>44254.0</v>
      </c>
      <c r="J373" s="38">
        <v>44254.0</v>
      </c>
      <c r="K373" s="28">
        <v>2.0</v>
      </c>
      <c r="L373" s="29" t="s">
        <v>566</v>
      </c>
      <c r="M373" s="40" t="s">
        <v>567</v>
      </c>
      <c r="N373" s="80" t="b">
        <v>0</v>
      </c>
      <c r="O373" s="80" t="b">
        <v>0</v>
      </c>
      <c r="P373" s="80" t="b">
        <v>0</v>
      </c>
      <c r="Q373" s="80" t="b">
        <v>0</v>
      </c>
      <c r="R373" s="80" t="b">
        <v>0</v>
      </c>
      <c r="S373" s="80" t="b">
        <v>0</v>
      </c>
      <c r="T373" s="80" t="b">
        <v>0</v>
      </c>
      <c r="U373" s="80" t="b">
        <v>0</v>
      </c>
      <c r="V373" s="25" t="b">
        <v>0</v>
      </c>
      <c r="W373" s="33" t="s">
        <v>41</v>
      </c>
      <c r="X373" s="34"/>
      <c r="Y373" s="33"/>
      <c r="Z373" s="33"/>
    </row>
    <row r="374">
      <c r="E374" s="80" t="b">
        <v>1</v>
      </c>
      <c r="F374" s="80" t="b">
        <v>0</v>
      </c>
      <c r="G374" s="80" t="b">
        <v>0</v>
      </c>
      <c r="H374" s="80" t="b">
        <v>0</v>
      </c>
      <c r="I374" s="38">
        <v>44251.0</v>
      </c>
      <c r="J374" s="38">
        <v>44255.0</v>
      </c>
      <c r="K374" s="28">
        <v>96.0</v>
      </c>
      <c r="L374" s="39" t="s">
        <v>568</v>
      </c>
      <c r="M374" s="40" t="s">
        <v>567</v>
      </c>
      <c r="N374" s="80" t="b">
        <v>0</v>
      </c>
      <c r="O374" s="80" t="b">
        <v>0</v>
      </c>
      <c r="P374" s="80" t="b">
        <v>0</v>
      </c>
      <c r="Q374" s="80" t="b">
        <v>0</v>
      </c>
      <c r="R374" s="80" t="b">
        <v>0</v>
      </c>
      <c r="S374" s="80" t="b">
        <v>0</v>
      </c>
      <c r="T374" s="80" t="b">
        <v>0</v>
      </c>
      <c r="U374" s="80" t="b">
        <v>0</v>
      </c>
      <c r="V374" s="25" t="b">
        <v>0</v>
      </c>
      <c r="W374" s="33" t="s">
        <v>93</v>
      </c>
      <c r="X374" s="33" t="s">
        <v>569</v>
      </c>
      <c r="Y374" s="33"/>
      <c r="Z374" s="33"/>
    </row>
    <row r="375">
      <c r="E375" s="80" t="b">
        <v>0</v>
      </c>
      <c r="F375" s="80" t="b">
        <v>0</v>
      </c>
      <c r="G375" s="80" t="b">
        <v>1</v>
      </c>
      <c r="H375" s="80" t="b">
        <v>0</v>
      </c>
      <c r="I375" s="38">
        <v>44151.0</v>
      </c>
      <c r="J375" s="38">
        <v>44151.0</v>
      </c>
      <c r="K375" s="28">
        <v>3.0</v>
      </c>
      <c r="L375" s="189" t="s">
        <v>570</v>
      </c>
      <c r="M375" s="190" t="s">
        <v>38</v>
      </c>
      <c r="N375" s="80" t="b">
        <v>0</v>
      </c>
      <c r="O375" s="80" t="b">
        <v>0</v>
      </c>
      <c r="P375" s="80" t="b">
        <v>0</v>
      </c>
      <c r="Q375" s="80" t="b">
        <v>0</v>
      </c>
      <c r="R375" s="80" t="b">
        <v>0</v>
      </c>
      <c r="S375" s="80" t="b">
        <v>0</v>
      </c>
      <c r="T375" s="80" t="b">
        <v>0</v>
      </c>
      <c r="U375" s="80" t="b">
        <v>0</v>
      </c>
      <c r="V375" s="25" t="b">
        <v>0</v>
      </c>
      <c r="W375" s="33" t="s">
        <v>41</v>
      </c>
      <c r="X375" s="33"/>
      <c r="Y375" s="34"/>
      <c r="Z375" s="34"/>
    </row>
    <row r="376">
      <c r="E376" s="80" t="b">
        <v>0</v>
      </c>
      <c r="F376" s="80" t="b">
        <v>0</v>
      </c>
      <c r="G376" s="80" t="b">
        <v>1</v>
      </c>
      <c r="H376" s="80" t="b">
        <v>0</v>
      </c>
      <c r="I376" s="38">
        <v>44112.0</v>
      </c>
      <c r="J376" s="38">
        <v>44112.0</v>
      </c>
      <c r="K376" s="28">
        <v>4.0</v>
      </c>
      <c r="L376" s="189" t="s">
        <v>571</v>
      </c>
      <c r="M376" s="190" t="s">
        <v>558</v>
      </c>
      <c r="N376" s="80" t="b">
        <v>0</v>
      </c>
      <c r="O376" s="80" t="b">
        <v>0</v>
      </c>
      <c r="P376" s="80" t="b">
        <v>0</v>
      </c>
      <c r="Q376" s="80" t="b">
        <v>0</v>
      </c>
      <c r="R376" s="80" t="b">
        <v>0</v>
      </c>
      <c r="S376" s="80" t="b">
        <v>0</v>
      </c>
      <c r="T376" s="80" t="b">
        <v>0</v>
      </c>
      <c r="U376" s="80" t="b">
        <v>0</v>
      </c>
      <c r="V376" s="25" t="b">
        <v>0</v>
      </c>
      <c r="W376" s="33" t="s">
        <v>41</v>
      </c>
      <c r="X376" s="33"/>
      <c r="Y376" s="34"/>
      <c r="Z376" s="34"/>
    </row>
    <row r="377">
      <c r="E377" s="80" t="b">
        <v>0</v>
      </c>
      <c r="F377" s="80" t="b">
        <v>0</v>
      </c>
      <c r="G377" s="80" t="b">
        <v>1</v>
      </c>
      <c r="H377" s="80" t="b">
        <v>0</v>
      </c>
      <c r="I377" s="38">
        <v>44028.0</v>
      </c>
      <c r="J377" s="38">
        <v>44028.0</v>
      </c>
      <c r="K377" s="28">
        <v>2.0</v>
      </c>
      <c r="L377" s="191" t="s">
        <v>572</v>
      </c>
      <c r="M377" s="190" t="s">
        <v>563</v>
      </c>
      <c r="N377" s="80" t="b">
        <v>0</v>
      </c>
      <c r="O377" s="80" t="b">
        <v>0</v>
      </c>
      <c r="P377" s="80" t="b">
        <v>0</v>
      </c>
      <c r="Q377" s="80" t="b">
        <v>0</v>
      </c>
      <c r="R377" s="80" t="b">
        <v>0</v>
      </c>
      <c r="S377" s="80" t="b">
        <v>0</v>
      </c>
      <c r="T377" s="80" t="b">
        <v>0</v>
      </c>
      <c r="U377" s="80" t="b">
        <v>0</v>
      </c>
      <c r="V377" s="25" t="b">
        <v>0</v>
      </c>
      <c r="W377" s="33" t="s">
        <v>39</v>
      </c>
      <c r="X377" s="33"/>
      <c r="Y377" s="34"/>
      <c r="Z377" s="34"/>
    </row>
    <row r="378">
      <c r="E378" s="80" t="b">
        <v>1</v>
      </c>
      <c r="F378" s="80" t="b">
        <v>0</v>
      </c>
      <c r="G378" s="80" t="b">
        <v>0</v>
      </c>
      <c r="H378" s="80" t="b">
        <v>0</v>
      </c>
      <c r="I378" s="38">
        <v>43824.0</v>
      </c>
      <c r="J378" s="38">
        <v>43827.0</v>
      </c>
      <c r="K378" s="28">
        <v>73.0</v>
      </c>
      <c r="L378" s="175" t="s">
        <v>573</v>
      </c>
      <c r="M378" s="40" t="s">
        <v>38</v>
      </c>
      <c r="N378" s="80" t="b">
        <v>0</v>
      </c>
      <c r="O378" s="80" t="b">
        <v>0</v>
      </c>
      <c r="P378" s="80" t="b">
        <v>0</v>
      </c>
      <c r="Q378" s="80" t="b">
        <v>0</v>
      </c>
      <c r="R378" s="80" t="b">
        <v>0</v>
      </c>
      <c r="S378" s="80" t="b">
        <v>0</v>
      </c>
      <c r="T378" s="80" t="b">
        <v>0</v>
      </c>
      <c r="U378" s="80" t="b">
        <v>0</v>
      </c>
      <c r="V378" s="25" t="b">
        <v>0</v>
      </c>
      <c r="W378" s="33" t="s">
        <v>39</v>
      </c>
      <c r="X378" s="33"/>
      <c r="Y378" s="34"/>
      <c r="Z378" s="34"/>
    </row>
    <row r="379">
      <c r="E379" s="80" t="b">
        <v>0</v>
      </c>
      <c r="F379" s="80" t="b">
        <v>0</v>
      </c>
      <c r="G379" s="80" t="b">
        <v>1</v>
      </c>
      <c r="H379" s="80" t="b">
        <v>0</v>
      </c>
      <c r="I379" s="38">
        <v>43784.0</v>
      </c>
      <c r="J379" s="38">
        <v>43792.0</v>
      </c>
      <c r="K379" s="28">
        <v>163.0</v>
      </c>
      <c r="L379" s="175" t="s">
        <v>574</v>
      </c>
      <c r="M379" s="40" t="s">
        <v>38</v>
      </c>
      <c r="N379" s="80" t="b">
        <v>0</v>
      </c>
      <c r="O379" s="80" t="b">
        <v>0</v>
      </c>
      <c r="P379" s="80" t="b">
        <v>0</v>
      </c>
      <c r="Q379" s="80" t="b">
        <v>0</v>
      </c>
      <c r="R379" s="80" t="b">
        <v>0</v>
      </c>
      <c r="S379" s="80" t="b">
        <v>0</v>
      </c>
      <c r="T379" s="80" t="b">
        <v>0</v>
      </c>
      <c r="U379" s="80" t="b">
        <v>0</v>
      </c>
      <c r="V379" s="25" t="b">
        <v>0</v>
      </c>
      <c r="W379" s="33" t="s">
        <v>39</v>
      </c>
      <c r="X379" s="33"/>
      <c r="Y379" s="34"/>
      <c r="Z379" s="34"/>
    </row>
    <row r="380">
      <c r="E380" s="80" t="b">
        <v>0</v>
      </c>
      <c r="F380" s="80" t="b">
        <v>0</v>
      </c>
      <c r="G380" s="80" t="b">
        <v>1</v>
      </c>
      <c r="H380" s="80" t="b">
        <v>0</v>
      </c>
      <c r="I380" s="38">
        <v>43642.0</v>
      </c>
      <c r="J380" s="38">
        <v>43642.0</v>
      </c>
      <c r="K380" s="28">
        <v>4.0</v>
      </c>
      <c r="L380" s="175" t="s">
        <v>575</v>
      </c>
      <c r="M380" s="40" t="s">
        <v>38</v>
      </c>
      <c r="N380" s="80" t="b">
        <v>0</v>
      </c>
      <c r="O380" s="80" t="b">
        <v>0</v>
      </c>
      <c r="P380" s="80" t="b">
        <v>0</v>
      </c>
      <c r="Q380" s="80" t="b">
        <v>0</v>
      </c>
      <c r="R380" s="80" t="b">
        <v>0</v>
      </c>
      <c r="S380" s="80" t="b">
        <v>0</v>
      </c>
      <c r="T380" s="80" t="b">
        <v>0</v>
      </c>
      <c r="U380" s="80" t="b">
        <v>0</v>
      </c>
      <c r="V380" s="25" t="b">
        <v>0</v>
      </c>
      <c r="W380" s="33" t="s">
        <v>39</v>
      </c>
      <c r="X380" s="33"/>
      <c r="Y380" s="34"/>
      <c r="Z380" s="34"/>
    </row>
    <row r="381">
      <c r="E381" s="80" t="b">
        <v>1</v>
      </c>
      <c r="F381" s="80" t="b">
        <v>0</v>
      </c>
      <c r="G381" s="80" t="b">
        <v>0</v>
      </c>
      <c r="H381" s="80" t="b">
        <v>0</v>
      </c>
      <c r="I381" s="38">
        <v>43097.0</v>
      </c>
      <c r="J381" s="38">
        <v>43103.0</v>
      </c>
      <c r="K381" s="28">
        <v>168.0</v>
      </c>
      <c r="L381" s="175" t="s">
        <v>576</v>
      </c>
      <c r="M381" s="40" t="s">
        <v>38</v>
      </c>
      <c r="N381" s="80" t="b">
        <v>1</v>
      </c>
      <c r="O381" s="80" t="b">
        <v>0</v>
      </c>
      <c r="P381" s="80" t="b">
        <v>0</v>
      </c>
      <c r="Q381" s="80" t="b">
        <v>0</v>
      </c>
      <c r="R381" s="80" t="b">
        <v>1</v>
      </c>
      <c r="S381" s="80" t="b">
        <v>1</v>
      </c>
      <c r="T381" s="80" t="b">
        <v>0</v>
      </c>
      <c r="U381" s="80" t="b">
        <v>0</v>
      </c>
      <c r="V381" s="25" t="b">
        <v>0</v>
      </c>
      <c r="W381" s="33" t="s">
        <v>39</v>
      </c>
      <c r="X381" s="33" t="s">
        <v>577</v>
      </c>
      <c r="Y381" s="34"/>
      <c r="Z381" s="34"/>
    </row>
    <row r="382">
      <c r="E382" s="80" t="b">
        <v>0</v>
      </c>
      <c r="F382" s="80" t="b">
        <v>0</v>
      </c>
      <c r="G382" s="80" t="b">
        <v>1</v>
      </c>
      <c r="H382" s="80" t="b">
        <v>0</v>
      </c>
      <c r="I382" s="38">
        <v>42844.0</v>
      </c>
      <c r="J382" s="38">
        <v>43113.0</v>
      </c>
      <c r="K382" s="28">
        <v>8256.0</v>
      </c>
      <c r="L382" s="175" t="s">
        <v>578</v>
      </c>
      <c r="M382" s="40" t="s">
        <v>38</v>
      </c>
      <c r="N382" s="80" t="b">
        <v>1</v>
      </c>
      <c r="O382" s="80" t="b">
        <v>0</v>
      </c>
      <c r="P382" s="80" t="b">
        <v>0</v>
      </c>
      <c r="Q382" s="80" t="b">
        <v>0</v>
      </c>
      <c r="R382" s="80" t="b">
        <v>0</v>
      </c>
      <c r="S382" s="80" t="b">
        <v>1</v>
      </c>
      <c r="T382" s="80" t="b">
        <v>0</v>
      </c>
      <c r="U382" s="80" t="b">
        <v>0</v>
      </c>
      <c r="V382" s="25" t="b">
        <v>0</v>
      </c>
      <c r="W382" s="33" t="s">
        <v>579</v>
      </c>
      <c r="X382" s="33" t="s">
        <v>580</v>
      </c>
      <c r="Y382" s="34"/>
      <c r="Z382" s="34"/>
    </row>
    <row r="383">
      <c r="E383" s="80" t="b">
        <v>0</v>
      </c>
      <c r="F383" s="80" t="b">
        <v>1</v>
      </c>
      <c r="G383" s="80" t="b">
        <v>0</v>
      </c>
      <c r="H383" s="80" t="b">
        <v>0</v>
      </c>
      <c r="I383" s="38">
        <v>39957.0</v>
      </c>
      <c r="J383" s="38" t="s">
        <v>58</v>
      </c>
      <c r="K383" s="28">
        <f>(updateDate!B$1-date(year(I383),month(I383),day(I383)+1))*24</f>
        <v>136776</v>
      </c>
      <c r="L383" s="175" t="s">
        <v>581</v>
      </c>
      <c r="M383" s="40" t="s">
        <v>38</v>
      </c>
      <c r="N383" s="80" t="b">
        <v>1</v>
      </c>
      <c r="O383" s="80" t="b">
        <v>1</v>
      </c>
      <c r="P383" s="80" t="b">
        <v>1</v>
      </c>
      <c r="Q383" s="80" t="b">
        <v>0</v>
      </c>
      <c r="R383" s="80" t="b">
        <v>0</v>
      </c>
      <c r="S383" s="80" t="b">
        <v>0</v>
      </c>
      <c r="T383" s="80" t="b">
        <v>0</v>
      </c>
      <c r="U383" s="80" t="b">
        <v>0</v>
      </c>
      <c r="V383" s="25" t="b">
        <v>0</v>
      </c>
      <c r="W383" s="33" t="s">
        <v>407</v>
      </c>
      <c r="X383" s="33" t="s">
        <v>72</v>
      </c>
      <c r="Y383" s="34"/>
      <c r="Z383" s="34"/>
    </row>
    <row r="384">
      <c r="E384" s="80" t="b">
        <v>0</v>
      </c>
      <c r="F384" s="80" t="b">
        <v>1</v>
      </c>
      <c r="G384" s="80" t="b">
        <v>0</v>
      </c>
      <c r="H384" s="80" t="b">
        <v>0</v>
      </c>
      <c r="I384" s="38">
        <v>39977.0</v>
      </c>
      <c r="J384" s="38" t="s">
        <v>58</v>
      </c>
      <c r="K384" s="28">
        <f>(updateDate!B$1-date(year(I384),month(I384),day(I384)+1))*24</f>
        <v>136296</v>
      </c>
      <c r="L384" s="175" t="s">
        <v>582</v>
      </c>
      <c r="M384" s="40" t="s">
        <v>38</v>
      </c>
      <c r="N384" s="80" t="b">
        <v>1</v>
      </c>
      <c r="O384" s="80" t="b">
        <v>0</v>
      </c>
      <c r="P384" s="80" t="b">
        <v>0</v>
      </c>
      <c r="Q384" s="80" t="b">
        <v>1</v>
      </c>
      <c r="R384" s="80" t="b">
        <v>0</v>
      </c>
      <c r="S384" s="80" t="b">
        <v>0</v>
      </c>
      <c r="T384" s="80" t="b">
        <v>0</v>
      </c>
      <c r="U384" s="80" t="b">
        <v>0</v>
      </c>
      <c r="V384" s="25" t="b">
        <v>0</v>
      </c>
      <c r="W384" s="33" t="s">
        <v>583</v>
      </c>
      <c r="X384" s="34"/>
      <c r="Y384" s="34"/>
      <c r="Z384" s="34"/>
    </row>
    <row r="385">
      <c r="E385" s="80" t="b">
        <v>1</v>
      </c>
      <c r="F385" s="80" t="b">
        <v>0</v>
      </c>
      <c r="G385" s="80" t="b">
        <v>0</v>
      </c>
      <c r="H385" s="80" t="b">
        <v>0</v>
      </c>
      <c r="I385" s="188">
        <v>44828.0</v>
      </c>
      <c r="J385" s="38" t="s">
        <v>58</v>
      </c>
      <c r="K385" s="28">
        <f>(updateDate!B$1-date(year(I385),month(I385),day(I385)+1))*24</f>
        <v>19872</v>
      </c>
      <c r="L385" s="175" t="s">
        <v>584</v>
      </c>
      <c r="M385" s="40" t="s">
        <v>38</v>
      </c>
      <c r="N385" s="80" t="b">
        <v>1</v>
      </c>
      <c r="O385" s="80" t="b">
        <v>0</v>
      </c>
      <c r="P385" s="80" t="b">
        <v>0</v>
      </c>
      <c r="Q385" s="80" t="b">
        <v>0</v>
      </c>
      <c r="R385" s="80" t="b">
        <v>0</v>
      </c>
      <c r="S385" s="80" t="b">
        <v>0</v>
      </c>
      <c r="T385" s="80" t="b">
        <v>0</v>
      </c>
      <c r="U385" s="80" t="b">
        <v>0</v>
      </c>
      <c r="V385" s="25" t="b">
        <v>1</v>
      </c>
      <c r="W385" s="33" t="s">
        <v>39</v>
      </c>
      <c r="X385" s="33"/>
      <c r="Y385" s="34"/>
      <c r="Z385" s="34"/>
    </row>
    <row r="386">
      <c r="E386" s="80" t="b">
        <v>1</v>
      </c>
      <c r="F386" s="80" t="b">
        <v>0</v>
      </c>
      <c r="G386" s="80" t="b">
        <v>0</v>
      </c>
      <c r="H386" s="82" t="b">
        <v>0</v>
      </c>
      <c r="I386" s="188">
        <v>44825.0</v>
      </c>
      <c r="J386" s="192">
        <v>45651.0</v>
      </c>
      <c r="K386" s="28">
        <v>19800.0</v>
      </c>
      <c r="L386" s="81" t="s">
        <v>585</v>
      </c>
      <c r="M386" s="40" t="s">
        <v>38</v>
      </c>
      <c r="N386" s="80" t="b">
        <v>1</v>
      </c>
      <c r="O386" s="80" t="b">
        <v>0</v>
      </c>
      <c r="P386" s="80" t="b">
        <v>0</v>
      </c>
      <c r="Q386" s="80" t="b">
        <v>0</v>
      </c>
      <c r="R386" s="82" t="b">
        <v>1</v>
      </c>
      <c r="S386" s="80" t="b">
        <v>0</v>
      </c>
      <c r="T386" s="80" t="b">
        <v>1</v>
      </c>
      <c r="U386" s="80" t="b">
        <v>0</v>
      </c>
      <c r="V386" s="25" t="b">
        <v>0</v>
      </c>
      <c r="W386" s="33" t="s">
        <v>39</v>
      </c>
      <c r="X386" s="61" t="s">
        <v>586</v>
      </c>
      <c r="Y386" s="34"/>
      <c r="Z386" s="34"/>
    </row>
    <row r="387">
      <c r="E387" s="80" t="b">
        <v>0</v>
      </c>
      <c r="F387" s="80" t="b">
        <v>0</v>
      </c>
      <c r="G387" s="80" t="b">
        <v>1</v>
      </c>
      <c r="H387" s="80" t="b">
        <v>0</v>
      </c>
      <c r="I387" s="38">
        <v>43220.0</v>
      </c>
      <c r="J387" s="38" t="s">
        <v>58</v>
      </c>
      <c r="K387" s="28">
        <f>(updateDate!B$1-date(year(I387),month(I387),day(I387)+1))*24</f>
        <v>58464</v>
      </c>
      <c r="L387" s="175" t="s">
        <v>587</v>
      </c>
      <c r="M387" s="40" t="s">
        <v>38</v>
      </c>
      <c r="N387" s="80" t="b">
        <v>1</v>
      </c>
      <c r="O387" s="80" t="b">
        <v>0</v>
      </c>
      <c r="P387" s="80" t="b">
        <v>0</v>
      </c>
      <c r="Q387" s="80" t="b">
        <v>0</v>
      </c>
      <c r="R387" s="80" t="b">
        <v>0</v>
      </c>
      <c r="S387" s="80" t="b">
        <v>1</v>
      </c>
      <c r="T387" s="80" t="b">
        <v>0</v>
      </c>
      <c r="U387" s="80" t="b">
        <v>0</v>
      </c>
      <c r="V387" s="25" t="b">
        <v>0</v>
      </c>
      <c r="W387" s="33" t="s">
        <v>588</v>
      </c>
      <c r="X387" s="34"/>
      <c r="Y387" s="34"/>
      <c r="Z387" s="34"/>
    </row>
    <row r="388">
      <c r="A388" s="41">
        <v>16.0</v>
      </c>
      <c r="B388" s="22" t="s">
        <v>589</v>
      </c>
      <c r="C388" s="23" t="s">
        <v>590</v>
      </c>
      <c r="D388" s="24" t="s">
        <v>36</v>
      </c>
      <c r="E388" s="82" t="b">
        <v>0</v>
      </c>
      <c r="F388" s="82" t="b">
        <v>0</v>
      </c>
      <c r="G388" s="82" t="b">
        <v>0</v>
      </c>
      <c r="H388" s="82" t="b">
        <v>1</v>
      </c>
      <c r="I388" s="83">
        <v>45144.0</v>
      </c>
      <c r="J388" s="38" t="s">
        <v>58</v>
      </c>
      <c r="K388" s="28">
        <f>(updateDate!B$1-date(year(I388),month(I388),day(I388)+1))*24</f>
        <v>12288</v>
      </c>
      <c r="L388" s="81" t="s">
        <v>591</v>
      </c>
      <c r="M388" s="40" t="s">
        <v>38</v>
      </c>
      <c r="N388" s="65" t="b">
        <v>1</v>
      </c>
      <c r="O388" s="31" t="b">
        <v>0</v>
      </c>
      <c r="P388" s="31" t="b">
        <v>0</v>
      </c>
      <c r="Q388" s="31" t="b">
        <v>0</v>
      </c>
      <c r="R388" s="31" t="b">
        <v>0</v>
      </c>
      <c r="S388" s="65" t="b">
        <v>1</v>
      </c>
      <c r="T388" s="31" t="b">
        <v>0</v>
      </c>
      <c r="U388" s="31" t="b">
        <v>0</v>
      </c>
      <c r="V388" s="32" t="b">
        <v>0</v>
      </c>
      <c r="W388" s="61" t="s">
        <v>39</v>
      </c>
      <c r="X388" s="61" t="s">
        <v>592</v>
      </c>
      <c r="Y388" s="34"/>
      <c r="Z388" s="34"/>
    </row>
    <row r="389">
      <c r="E389" s="80" t="b">
        <v>1</v>
      </c>
      <c r="F389" s="80" t="b">
        <v>0</v>
      </c>
      <c r="G389" s="80" t="b">
        <v>0</v>
      </c>
      <c r="H389" s="80" t="b">
        <v>0</v>
      </c>
      <c r="I389" s="38">
        <v>43773.0</v>
      </c>
      <c r="J389" s="38">
        <v>43781.0</v>
      </c>
      <c r="K389" s="28">
        <v>172.0</v>
      </c>
      <c r="L389" s="39" t="s">
        <v>593</v>
      </c>
      <c r="M389" s="40" t="s">
        <v>38</v>
      </c>
      <c r="N389" s="31" t="b">
        <v>0</v>
      </c>
      <c r="O389" s="31" t="b">
        <v>0</v>
      </c>
      <c r="P389" s="31" t="b">
        <v>0</v>
      </c>
      <c r="Q389" s="31" t="b">
        <v>0</v>
      </c>
      <c r="R389" s="31" t="b">
        <v>0</v>
      </c>
      <c r="S389" s="31" t="b">
        <v>0</v>
      </c>
      <c r="T389" s="31" t="b">
        <v>0</v>
      </c>
      <c r="U389" s="31" t="b">
        <v>0</v>
      </c>
      <c r="V389" s="32" t="b">
        <v>0</v>
      </c>
      <c r="W389" s="33" t="s">
        <v>41</v>
      </c>
      <c r="X389" s="33"/>
      <c r="Y389" s="34"/>
      <c r="Z389" s="34"/>
    </row>
    <row r="390">
      <c r="E390" s="80" t="b">
        <v>1</v>
      </c>
      <c r="F390" s="80" t="b">
        <v>0</v>
      </c>
      <c r="G390" s="80" t="b">
        <v>0</v>
      </c>
      <c r="H390" s="80" t="b">
        <v>0</v>
      </c>
      <c r="I390" s="38">
        <v>43741.0</v>
      </c>
      <c r="J390" s="38">
        <v>43749.0</v>
      </c>
      <c r="K390" s="28">
        <v>210.0</v>
      </c>
      <c r="L390" s="39" t="s">
        <v>594</v>
      </c>
      <c r="M390" s="40" t="s">
        <v>38</v>
      </c>
      <c r="N390" s="31" t="b">
        <v>0</v>
      </c>
      <c r="O390" s="31" t="b">
        <v>0</v>
      </c>
      <c r="P390" s="31" t="b">
        <v>0</v>
      </c>
      <c r="Q390" s="31" t="b">
        <v>0</v>
      </c>
      <c r="R390" s="31" t="b">
        <v>0</v>
      </c>
      <c r="S390" s="31" t="b">
        <v>0</v>
      </c>
      <c r="T390" s="31" t="b">
        <v>0</v>
      </c>
      <c r="U390" s="31" t="b">
        <v>0</v>
      </c>
      <c r="V390" s="32" t="b">
        <v>0</v>
      </c>
      <c r="W390" s="33" t="s">
        <v>41</v>
      </c>
      <c r="X390" s="33"/>
      <c r="Y390" s="34"/>
      <c r="Z390" s="34"/>
    </row>
    <row r="391">
      <c r="E391" s="80" t="b">
        <v>0</v>
      </c>
      <c r="F391" s="80" t="b">
        <v>0</v>
      </c>
      <c r="G391" s="80" t="b">
        <v>1</v>
      </c>
      <c r="H391" s="80" t="b">
        <v>0</v>
      </c>
      <c r="I391" s="38">
        <v>43740.0</v>
      </c>
      <c r="J391" s="38">
        <v>43791.0</v>
      </c>
      <c r="K391" s="28">
        <v>1212.0</v>
      </c>
      <c r="L391" s="39" t="s">
        <v>595</v>
      </c>
      <c r="M391" s="40" t="s">
        <v>38</v>
      </c>
      <c r="N391" s="31" t="b">
        <v>1</v>
      </c>
      <c r="O391" s="31" t="b">
        <v>1</v>
      </c>
      <c r="P391" s="31" t="b">
        <v>1</v>
      </c>
      <c r="Q391" s="31" t="b">
        <v>0</v>
      </c>
      <c r="R391" s="31" t="b">
        <v>1</v>
      </c>
      <c r="S391" s="31" t="b">
        <v>0</v>
      </c>
      <c r="T391" s="31" t="b">
        <v>1</v>
      </c>
      <c r="U391" s="31" t="b">
        <v>0</v>
      </c>
      <c r="V391" s="32" t="b">
        <v>0</v>
      </c>
      <c r="W391" s="33" t="s">
        <v>41</v>
      </c>
      <c r="X391" s="33"/>
      <c r="Y391" s="34"/>
      <c r="Z391" s="34"/>
    </row>
    <row r="392">
      <c r="E392" s="80" t="b">
        <v>0</v>
      </c>
      <c r="F392" s="80" t="b">
        <v>1</v>
      </c>
      <c r="G392" s="80" t="b">
        <v>0</v>
      </c>
      <c r="H392" s="80" t="b">
        <v>0</v>
      </c>
      <c r="I392" s="38">
        <v>43409.0</v>
      </c>
      <c r="J392" s="38">
        <v>43409.0</v>
      </c>
      <c r="K392" s="28">
        <v>4.0</v>
      </c>
      <c r="L392" s="39" t="s">
        <v>596</v>
      </c>
      <c r="M392" s="40" t="s">
        <v>38</v>
      </c>
      <c r="N392" s="31" t="b">
        <v>0</v>
      </c>
      <c r="O392" s="31" t="b">
        <v>0</v>
      </c>
      <c r="P392" s="31" t="b">
        <v>0</v>
      </c>
      <c r="Q392" s="31" t="b">
        <v>0</v>
      </c>
      <c r="R392" s="31" t="b">
        <v>0</v>
      </c>
      <c r="S392" s="31" t="b">
        <v>0</v>
      </c>
      <c r="T392" s="31" t="b">
        <v>0</v>
      </c>
      <c r="U392" s="31" t="b">
        <v>0</v>
      </c>
      <c r="V392" s="32" t="b">
        <v>0</v>
      </c>
      <c r="W392" s="33" t="s">
        <v>597</v>
      </c>
      <c r="X392" s="33" t="s">
        <v>316</v>
      </c>
      <c r="Y392" s="34"/>
      <c r="Z392" s="34"/>
    </row>
    <row r="393">
      <c r="E393" s="80" t="b">
        <v>1</v>
      </c>
      <c r="F393" s="80" t="b">
        <v>0</v>
      </c>
      <c r="G393" s="80" t="b">
        <v>0</v>
      </c>
      <c r="H393" s="80" t="b">
        <v>0</v>
      </c>
      <c r="I393" s="38">
        <v>43296.0</v>
      </c>
      <c r="J393" s="38">
        <v>43297.0</v>
      </c>
      <c r="K393" s="28">
        <v>41.0</v>
      </c>
      <c r="L393" s="39" t="s">
        <v>598</v>
      </c>
      <c r="M393" s="40" t="s">
        <v>38</v>
      </c>
      <c r="N393" s="31" t="b">
        <v>0</v>
      </c>
      <c r="O393" s="31" t="b">
        <v>0</v>
      </c>
      <c r="P393" s="31" t="b">
        <v>0</v>
      </c>
      <c r="Q393" s="31" t="b">
        <v>0</v>
      </c>
      <c r="R393" s="31" t="b">
        <v>0</v>
      </c>
      <c r="S393" s="31" t="b">
        <v>0</v>
      </c>
      <c r="T393" s="31" t="b">
        <v>0</v>
      </c>
      <c r="U393" s="31" t="b">
        <v>0</v>
      </c>
      <c r="V393" s="32" t="b">
        <v>0</v>
      </c>
      <c r="W393" s="33" t="s">
        <v>39</v>
      </c>
      <c r="X393" s="33"/>
      <c r="Y393" s="34"/>
      <c r="Z393" s="34"/>
    </row>
    <row r="394">
      <c r="E394" s="80" t="b">
        <v>1</v>
      </c>
      <c r="F394" s="80" t="b">
        <v>0</v>
      </c>
      <c r="G394" s="80" t="b">
        <v>0</v>
      </c>
      <c r="H394" s="80" t="b">
        <v>0</v>
      </c>
      <c r="I394" s="38">
        <v>43293.0</v>
      </c>
      <c r="J394" s="38">
        <v>43294.0</v>
      </c>
      <c r="K394" s="28">
        <v>24.0</v>
      </c>
      <c r="L394" s="39" t="s">
        <v>599</v>
      </c>
      <c r="M394" s="40" t="s">
        <v>38</v>
      </c>
      <c r="N394" s="31" t="b">
        <v>0</v>
      </c>
      <c r="O394" s="31" t="b">
        <v>0</v>
      </c>
      <c r="P394" s="31" t="b">
        <v>0</v>
      </c>
      <c r="Q394" s="31" t="b">
        <v>0</v>
      </c>
      <c r="R394" s="31" t="b">
        <v>0</v>
      </c>
      <c r="S394" s="31" t="b">
        <v>0</v>
      </c>
      <c r="T394" s="31" t="b">
        <v>0</v>
      </c>
      <c r="U394" s="31" t="b">
        <v>0</v>
      </c>
      <c r="V394" s="32" t="b">
        <v>0</v>
      </c>
      <c r="W394" s="33" t="s">
        <v>52</v>
      </c>
      <c r="X394" s="33" t="s">
        <v>600</v>
      </c>
      <c r="Y394" s="34"/>
      <c r="Z394" s="34"/>
    </row>
    <row r="395">
      <c r="A395" s="41">
        <v>17.0</v>
      </c>
      <c r="B395" s="22" t="s">
        <v>601</v>
      </c>
      <c r="C395" s="23" t="s">
        <v>602</v>
      </c>
      <c r="D395" s="15" t="s">
        <v>29</v>
      </c>
      <c r="E395" s="80" t="b">
        <v>0</v>
      </c>
      <c r="F395" s="80" t="b">
        <v>0</v>
      </c>
      <c r="G395" s="80" t="b">
        <v>0</v>
      </c>
      <c r="H395" s="80" t="b">
        <v>0</v>
      </c>
      <c r="I395" s="38" t="s">
        <v>47</v>
      </c>
      <c r="J395" s="38" t="s">
        <v>47</v>
      </c>
      <c r="K395" s="28" t="s">
        <v>47</v>
      </c>
      <c r="L395" s="193" t="s">
        <v>47</v>
      </c>
      <c r="M395" s="38" t="s">
        <v>47</v>
      </c>
      <c r="N395" s="31" t="b">
        <v>0</v>
      </c>
      <c r="O395" s="31" t="b">
        <v>0</v>
      </c>
      <c r="P395" s="31" t="b">
        <v>0</v>
      </c>
      <c r="Q395" s="31" t="b">
        <v>0</v>
      </c>
      <c r="R395" s="31" t="b">
        <v>0</v>
      </c>
      <c r="S395" s="31" t="b">
        <v>0</v>
      </c>
      <c r="T395" s="31" t="b">
        <v>0</v>
      </c>
      <c r="U395" s="31" t="b">
        <v>0</v>
      </c>
      <c r="V395" s="32" t="b">
        <v>0</v>
      </c>
      <c r="W395" s="34"/>
      <c r="X395" s="34"/>
      <c r="Y395" s="34"/>
      <c r="Z395" s="34"/>
    </row>
    <row r="396">
      <c r="A396" s="194">
        <v>18.0</v>
      </c>
      <c r="B396" s="57" t="s">
        <v>603</v>
      </c>
      <c r="C396" s="58" t="s">
        <v>604</v>
      </c>
      <c r="D396" s="12" t="s">
        <v>36</v>
      </c>
      <c r="E396" s="43" t="b">
        <v>1</v>
      </c>
      <c r="F396" s="102" t="b">
        <v>0</v>
      </c>
      <c r="G396" s="102" t="b">
        <v>0</v>
      </c>
      <c r="H396" s="102" t="b">
        <v>0</v>
      </c>
      <c r="I396" s="83">
        <v>45424.0</v>
      </c>
      <c r="J396" s="83">
        <v>45338.0</v>
      </c>
      <c r="K396" s="45">
        <v>112.0</v>
      </c>
      <c r="L396" s="46" t="s">
        <v>605</v>
      </c>
      <c r="M396" s="195" t="s">
        <v>603</v>
      </c>
      <c r="N396" s="102" t="b">
        <v>0</v>
      </c>
      <c r="O396" s="102" t="b">
        <v>0</v>
      </c>
      <c r="P396" s="102" t="b">
        <v>0</v>
      </c>
      <c r="Q396" s="102" t="b">
        <v>0</v>
      </c>
      <c r="R396" s="102" t="b">
        <v>0</v>
      </c>
      <c r="S396" s="102" t="b">
        <v>0</v>
      </c>
      <c r="T396" s="102" t="b">
        <v>0</v>
      </c>
      <c r="U396" s="102" t="b">
        <v>0</v>
      </c>
      <c r="V396" s="102" t="b">
        <v>0</v>
      </c>
      <c r="W396" s="154" t="s">
        <v>606</v>
      </c>
      <c r="X396" s="34"/>
      <c r="Y396" s="34"/>
      <c r="Z396" s="34"/>
    </row>
    <row r="397">
      <c r="E397" s="102" t="b">
        <v>0</v>
      </c>
      <c r="F397" s="102" t="b">
        <v>0</v>
      </c>
      <c r="G397" s="102" t="b">
        <v>1</v>
      </c>
      <c r="H397" s="102" t="b">
        <v>0</v>
      </c>
      <c r="I397" s="83">
        <v>45329.0</v>
      </c>
      <c r="J397" s="83">
        <v>45330.0</v>
      </c>
      <c r="K397" s="45">
        <v>24.0</v>
      </c>
      <c r="L397" s="196" t="s">
        <v>607</v>
      </c>
      <c r="M397" s="195" t="s">
        <v>603</v>
      </c>
      <c r="N397" s="102" t="b">
        <v>0</v>
      </c>
      <c r="O397" s="102" t="b">
        <v>0</v>
      </c>
      <c r="P397" s="102" t="b">
        <v>0</v>
      </c>
      <c r="Q397" s="102" t="b">
        <v>0</v>
      </c>
      <c r="R397" s="102" t="b">
        <v>0</v>
      </c>
      <c r="S397" s="102" t="b">
        <v>0</v>
      </c>
      <c r="T397" s="102" t="b">
        <v>0</v>
      </c>
      <c r="U397" s="102" t="b">
        <v>0</v>
      </c>
      <c r="V397" s="102" t="b">
        <v>0</v>
      </c>
      <c r="W397" s="197" t="s">
        <v>608</v>
      </c>
      <c r="X397" s="34"/>
      <c r="Y397" s="34"/>
      <c r="Z397" s="34"/>
    </row>
    <row r="398">
      <c r="E398" s="82" t="b">
        <v>0</v>
      </c>
      <c r="F398" s="82" t="b">
        <v>0</v>
      </c>
      <c r="G398" s="82" t="b">
        <v>1</v>
      </c>
      <c r="H398" s="82" t="b">
        <v>0</v>
      </c>
      <c r="I398" s="83">
        <v>45235.0</v>
      </c>
      <c r="J398" s="83">
        <v>45239.0</v>
      </c>
      <c r="K398" s="28">
        <v>96.0</v>
      </c>
      <c r="L398" s="164" t="s">
        <v>609</v>
      </c>
      <c r="M398" s="195" t="s">
        <v>603</v>
      </c>
      <c r="N398" s="82" t="b">
        <v>0</v>
      </c>
      <c r="O398" s="82" t="b">
        <v>0</v>
      </c>
      <c r="P398" s="82" t="b">
        <v>0</v>
      </c>
      <c r="Q398" s="82" t="b">
        <v>0</v>
      </c>
      <c r="R398" s="82" t="b">
        <v>0</v>
      </c>
      <c r="S398" s="82" t="b">
        <v>0</v>
      </c>
      <c r="T398" s="82" t="b">
        <v>0</v>
      </c>
      <c r="U398" s="82" t="b">
        <v>0</v>
      </c>
      <c r="V398" s="82" t="b">
        <v>0</v>
      </c>
      <c r="W398" s="198" t="s">
        <v>476</v>
      </c>
      <c r="X398" s="79"/>
      <c r="Y398" s="34"/>
      <c r="Z398" s="34"/>
    </row>
    <row r="399">
      <c r="E399" s="131" t="b">
        <v>0</v>
      </c>
      <c r="F399" s="131" t="b">
        <v>0</v>
      </c>
      <c r="G399" s="131" t="b">
        <v>1</v>
      </c>
      <c r="H399" s="131" t="b">
        <v>0</v>
      </c>
      <c r="I399" s="38">
        <v>45283.0</v>
      </c>
      <c r="J399" s="38">
        <v>45284.0</v>
      </c>
      <c r="K399" s="28">
        <v>24.0</v>
      </c>
      <c r="L399" s="168" t="s">
        <v>610</v>
      </c>
      <c r="M399" s="195" t="s">
        <v>603</v>
      </c>
      <c r="N399" s="80" t="b">
        <v>0</v>
      </c>
      <c r="O399" s="80" t="b">
        <v>0</v>
      </c>
      <c r="P399" s="80" t="b">
        <v>0</v>
      </c>
      <c r="Q399" s="80" t="b">
        <v>0</v>
      </c>
      <c r="R399" s="80" t="b">
        <v>0</v>
      </c>
      <c r="S399" s="80" t="b">
        <v>0</v>
      </c>
      <c r="T399" s="80" t="b">
        <v>0</v>
      </c>
      <c r="U399" s="80" t="b">
        <v>0</v>
      </c>
      <c r="V399" s="80" t="b">
        <v>0</v>
      </c>
      <c r="W399" s="104" t="s">
        <v>611</v>
      </c>
      <c r="X399" s="79"/>
      <c r="Y399" s="34"/>
      <c r="Z399" s="34"/>
    </row>
    <row r="400">
      <c r="E400" s="82" t="b">
        <v>0</v>
      </c>
      <c r="F400" s="82" t="b">
        <v>0</v>
      </c>
      <c r="G400" s="82" t="b">
        <v>1</v>
      </c>
      <c r="H400" s="82" t="b">
        <v>0</v>
      </c>
      <c r="I400" s="174">
        <v>45051.0</v>
      </c>
      <c r="J400" s="174">
        <v>45051.0</v>
      </c>
      <c r="K400" s="28">
        <v>2.0</v>
      </c>
      <c r="L400" s="175" t="s">
        <v>612</v>
      </c>
      <c r="M400" s="169" t="s">
        <v>603</v>
      </c>
      <c r="N400" s="80" t="b">
        <v>0</v>
      </c>
      <c r="O400" s="80"/>
      <c r="P400" s="80"/>
      <c r="Q400" s="80"/>
      <c r="R400" s="80"/>
      <c r="S400" s="80"/>
      <c r="T400" s="80"/>
      <c r="U400" s="80"/>
      <c r="V400" s="80"/>
      <c r="W400" s="104" t="s">
        <v>613</v>
      </c>
      <c r="X400" s="79" t="s">
        <v>614</v>
      </c>
      <c r="Y400" s="34"/>
      <c r="Z400" s="34"/>
    </row>
    <row r="401">
      <c r="E401" s="82" t="b">
        <v>0</v>
      </c>
      <c r="F401" s="82" t="b">
        <v>0</v>
      </c>
      <c r="G401" s="82" t="b">
        <v>1</v>
      </c>
      <c r="H401" s="82" t="b">
        <v>0</v>
      </c>
      <c r="I401" s="174">
        <v>45038.0</v>
      </c>
      <c r="J401" s="174">
        <v>45038.0</v>
      </c>
      <c r="K401" s="28">
        <v>7.0</v>
      </c>
      <c r="L401" s="175" t="s">
        <v>615</v>
      </c>
      <c r="M401" s="169" t="s">
        <v>603</v>
      </c>
      <c r="N401" s="80" t="b">
        <v>0</v>
      </c>
      <c r="O401" s="80"/>
      <c r="P401" s="80"/>
      <c r="Q401" s="80"/>
      <c r="R401" s="80"/>
      <c r="S401" s="80"/>
      <c r="T401" s="80"/>
      <c r="U401" s="80"/>
      <c r="V401" s="80"/>
      <c r="W401" s="104" t="s">
        <v>613</v>
      </c>
      <c r="X401" s="79" t="s">
        <v>614</v>
      </c>
      <c r="Y401" s="34"/>
      <c r="Z401" s="34"/>
    </row>
    <row r="402">
      <c r="E402" s="82" t="b">
        <v>0</v>
      </c>
      <c r="F402" s="82" t="b">
        <v>0</v>
      </c>
      <c r="G402" s="82" t="b">
        <v>1</v>
      </c>
      <c r="H402" s="82" t="b">
        <v>0</v>
      </c>
      <c r="I402" s="83">
        <v>44866.0</v>
      </c>
      <c r="J402" s="83">
        <v>44867.0</v>
      </c>
      <c r="K402" s="28">
        <v>23.0</v>
      </c>
      <c r="L402" s="81" t="s">
        <v>616</v>
      </c>
      <c r="M402" s="169" t="s">
        <v>603</v>
      </c>
      <c r="N402" s="80" t="b">
        <v>0</v>
      </c>
      <c r="O402" s="80"/>
      <c r="P402" s="80"/>
      <c r="Q402" s="80"/>
      <c r="R402" s="80"/>
      <c r="S402" s="80"/>
      <c r="T402" s="80"/>
      <c r="U402" s="80"/>
      <c r="V402" s="80"/>
      <c r="W402" s="199" t="s">
        <v>613</v>
      </c>
      <c r="X402" s="200"/>
      <c r="Y402" s="34"/>
      <c r="Z402" s="34"/>
    </row>
    <row r="403">
      <c r="E403" s="82" t="b">
        <v>0</v>
      </c>
      <c r="F403" s="82" t="b">
        <v>0</v>
      </c>
      <c r="G403" s="82" t="b">
        <v>1</v>
      </c>
      <c r="H403" s="82" t="b">
        <v>0</v>
      </c>
      <c r="I403" s="83">
        <v>44845.0</v>
      </c>
      <c r="J403" s="83">
        <v>44845.0</v>
      </c>
      <c r="K403" s="28">
        <v>6.0</v>
      </c>
      <c r="L403" s="81" t="s">
        <v>617</v>
      </c>
      <c r="M403" s="169" t="s">
        <v>603</v>
      </c>
      <c r="N403" s="80" t="b">
        <v>0</v>
      </c>
      <c r="O403" s="80"/>
      <c r="P403" s="80"/>
      <c r="Q403" s="80"/>
      <c r="R403" s="80"/>
      <c r="S403" s="80"/>
      <c r="T403" s="80"/>
      <c r="U403" s="80"/>
      <c r="V403" s="80"/>
      <c r="W403" s="199" t="s">
        <v>613</v>
      </c>
      <c r="X403" s="200"/>
      <c r="Y403" s="34"/>
      <c r="Z403" s="34"/>
    </row>
    <row r="404">
      <c r="E404" s="82" t="b">
        <v>0</v>
      </c>
      <c r="F404" s="82" t="b">
        <v>0</v>
      </c>
      <c r="G404" s="82" t="b">
        <v>1</v>
      </c>
      <c r="H404" s="82" t="b">
        <v>0</v>
      </c>
      <c r="I404" s="83">
        <v>44844.0</v>
      </c>
      <c r="J404" s="83">
        <v>44844.0</v>
      </c>
      <c r="K404" s="28">
        <v>17.0</v>
      </c>
      <c r="L404" s="81" t="s">
        <v>618</v>
      </c>
      <c r="M404" s="169" t="s">
        <v>603</v>
      </c>
      <c r="N404" s="80" t="b">
        <v>0</v>
      </c>
      <c r="O404" s="80"/>
      <c r="P404" s="80"/>
      <c r="Q404" s="80"/>
      <c r="R404" s="80"/>
      <c r="S404" s="80"/>
      <c r="T404" s="80"/>
      <c r="U404" s="80"/>
      <c r="V404" s="80"/>
      <c r="W404" s="199" t="s">
        <v>613</v>
      </c>
      <c r="X404" s="200"/>
      <c r="Y404" s="34"/>
      <c r="Z404" s="34"/>
    </row>
    <row r="405">
      <c r="E405" s="82" t="b">
        <v>0</v>
      </c>
      <c r="F405" s="82" t="b">
        <v>0</v>
      </c>
      <c r="G405" s="82" t="b">
        <v>1</v>
      </c>
      <c r="H405" s="82" t="b">
        <v>0</v>
      </c>
      <c r="I405" s="38">
        <v>44837.0</v>
      </c>
      <c r="J405" s="38">
        <v>44838.0</v>
      </c>
      <c r="K405" s="28">
        <v>26.0</v>
      </c>
      <c r="L405" s="175" t="s">
        <v>619</v>
      </c>
      <c r="M405" s="169" t="s">
        <v>603</v>
      </c>
      <c r="N405" s="80" t="b">
        <v>0</v>
      </c>
      <c r="O405" s="80"/>
      <c r="P405" s="80"/>
      <c r="Q405" s="80"/>
      <c r="R405" s="80"/>
      <c r="S405" s="80"/>
      <c r="T405" s="80"/>
      <c r="U405" s="80"/>
      <c r="V405" s="80"/>
      <c r="W405" s="199" t="s">
        <v>613</v>
      </c>
      <c r="X405" s="200"/>
      <c r="Y405" s="34"/>
      <c r="Z405" s="34"/>
    </row>
    <row r="406">
      <c r="E406" s="82" t="b">
        <v>0</v>
      </c>
      <c r="F406" s="82" t="b">
        <v>0</v>
      </c>
      <c r="G406" s="82" t="b">
        <v>1</v>
      </c>
      <c r="H406" s="82" t="b">
        <v>0</v>
      </c>
      <c r="I406" s="83">
        <v>44814.0</v>
      </c>
      <c r="J406" s="83">
        <v>44814.0</v>
      </c>
      <c r="K406" s="28">
        <v>7.0</v>
      </c>
      <c r="L406" s="81" t="s">
        <v>620</v>
      </c>
      <c r="M406" s="150" t="s">
        <v>603</v>
      </c>
      <c r="N406" s="80" t="b">
        <v>0</v>
      </c>
      <c r="O406" s="80"/>
      <c r="P406" s="80"/>
      <c r="Q406" s="80"/>
      <c r="R406" s="80"/>
      <c r="S406" s="80"/>
      <c r="T406" s="80"/>
      <c r="U406" s="80"/>
      <c r="V406" s="80"/>
      <c r="W406" s="199" t="s">
        <v>613</v>
      </c>
      <c r="X406" s="200"/>
      <c r="Y406" s="34"/>
      <c r="Z406" s="34"/>
    </row>
    <row r="407">
      <c r="E407" s="82" t="b">
        <v>0</v>
      </c>
      <c r="F407" s="82" t="b">
        <v>0</v>
      </c>
      <c r="G407" s="82" t="b">
        <v>1</v>
      </c>
      <c r="H407" s="82" t="b">
        <v>0</v>
      </c>
      <c r="I407" s="83">
        <v>44780.0</v>
      </c>
      <c r="J407" s="83">
        <v>44780.0</v>
      </c>
      <c r="K407" s="28">
        <v>12.0</v>
      </c>
      <c r="L407" s="81" t="s">
        <v>621</v>
      </c>
      <c r="M407" s="150" t="s">
        <v>603</v>
      </c>
      <c r="N407" s="80" t="b">
        <v>0</v>
      </c>
      <c r="O407" s="80"/>
      <c r="P407" s="80"/>
      <c r="Q407" s="80"/>
      <c r="R407" s="80"/>
      <c r="S407" s="80"/>
      <c r="T407" s="80"/>
      <c r="U407" s="80"/>
      <c r="V407" s="80"/>
      <c r="W407" s="199" t="s">
        <v>613</v>
      </c>
      <c r="X407" s="200"/>
      <c r="Y407" s="34"/>
      <c r="Z407" s="34"/>
    </row>
    <row r="408">
      <c r="E408" s="82" t="b">
        <v>0</v>
      </c>
      <c r="F408" s="82" t="b">
        <v>0</v>
      </c>
      <c r="G408" s="82" t="b">
        <v>1</v>
      </c>
      <c r="H408" s="82" t="b">
        <v>0</v>
      </c>
      <c r="I408" s="83">
        <v>44778.0</v>
      </c>
      <c r="J408" s="83">
        <v>44779.0</v>
      </c>
      <c r="K408" s="28">
        <v>24.0</v>
      </c>
      <c r="L408" s="81" t="s">
        <v>622</v>
      </c>
      <c r="M408" s="150" t="s">
        <v>603</v>
      </c>
      <c r="N408" s="80" t="b">
        <v>0</v>
      </c>
      <c r="O408" s="80"/>
      <c r="P408" s="80"/>
      <c r="Q408" s="80"/>
      <c r="R408" s="80"/>
      <c r="S408" s="80"/>
      <c r="T408" s="80"/>
      <c r="U408" s="80"/>
      <c r="V408" s="80"/>
      <c r="W408" s="199" t="s">
        <v>613</v>
      </c>
      <c r="X408" s="200"/>
      <c r="Y408" s="34"/>
      <c r="Z408" s="34"/>
    </row>
    <row r="409">
      <c r="E409" s="82" t="b">
        <v>0</v>
      </c>
      <c r="F409" s="82" t="b">
        <v>0</v>
      </c>
      <c r="G409" s="82" t="b">
        <v>1</v>
      </c>
      <c r="H409" s="82" t="b">
        <v>0</v>
      </c>
      <c r="I409" s="83">
        <v>44728.0</v>
      </c>
      <c r="J409" s="83">
        <v>44729.0</v>
      </c>
      <c r="K409" s="28">
        <v>24.0</v>
      </c>
      <c r="L409" s="81" t="s">
        <v>623</v>
      </c>
      <c r="M409" s="150" t="s">
        <v>603</v>
      </c>
      <c r="N409" s="80" t="b">
        <v>0</v>
      </c>
      <c r="O409" s="80"/>
      <c r="P409" s="80"/>
      <c r="Q409" s="80"/>
      <c r="R409" s="80"/>
      <c r="S409" s="80"/>
      <c r="T409" s="80"/>
      <c r="U409" s="80"/>
      <c r="V409" s="80"/>
      <c r="W409" s="199" t="s">
        <v>613</v>
      </c>
      <c r="X409" s="200"/>
      <c r="Y409" s="34"/>
      <c r="Z409" s="34"/>
    </row>
    <row r="410">
      <c r="E410" s="82" t="b">
        <v>0</v>
      </c>
      <c r="F410" s="82" t="b">
        <v>0</v>
      </c>
      <c r="G410" s="82" t="b">
        <v>1</v>
      </c>
      <c r="H410" s="82" t="b">
        <v>0</v>
      </c>
      <c r="I410" s="83">
        <v>44722.0</v>
      </c>
      <c r="J410" s="83">
        <v>44723.0</v>
      </c>
      <c r="K410" s="28">
        <v>24.0</v>
      </c>
      <c r="L410" s="81" t="s">
        <v>624</v>
      </c>
      <c r="M410" s="150" t="s">
        <v>603</v>
      </c>
      <c r="N410" s="80" t="b">
        <v>0</v>
      </c>
      <c r="O410" s="80"/>
      <c r="P410" s="80"/>
      <c r="Q410" s="80"/>
      <c r="R410" s="80"/>
      <c r="S410" s="80"/>
      <c r="T410" s="80"/>
      <c r="U410" s="80"/>
      <c r="V410" s="80"/>
      <c r="W410" s="199" t="s">
        <v>613</v>
      </c>
      <c r="X410" s="200"/>
      <c r="Y410" s="34"/>
      <c r="Z410" s="34"/>
    </row>
    <row r="411">
      <c r="E411" s="82" t="b">
        <v>0</v>
      </c>
      <c r="F411" s="82" t="b">
        <v>0</v>
      </c>
      <c r="G411" s="82" t="b">
        <v>1</v>
      </c>
      <c r="H411" s="82" t="b">
        <v>0</v>
      </c>
      <c r="I411" s="83">
        <v>44709.0</v>
      </c>
      <c r="J411" s="83">
        <v>44710.0</v>
      </c>
      <c r="K411" s="28">
        <v>18.0</v>
      </c>
      <c r="L411" s="81" t="s">
        <v>625</v>
      </c>
      <c r="M411" s="150" t="s">
        <v>603</v>
      </c>
      <c r="N411" s="80" t="b">
        <v>0</v>
      </c>
      <c r="O411" s="80"/>
      <c r="P411" s="80"/>
      <c r="Q411" s="80"/>
      <c r="R411" s="80"/>
      <c r="S411" s="80"/>
      <c r="T411" s="80"/>
      <c r="U411" s="80"/>
      <c r="V411" s="80"/>
      <c r="W411" s="199" t="s">
        <v>613</v>
      </c>
      <c r="X411" s="200"/>
      <c r="Y411" s="34"/>
      <c r="Z411" s="34"/>
    </row>
    <row r="412">
      <c r="E412" s="82" t="b">
        <v>0</v>
      </c>
      <c r="F412" s="82" t="b">
        <v>0</v>
      </c>
      <c r="G412" s="82" t="b">
        <v>1</v>
      </c>
      <c r="H412" s="82" t="b">
        <v>0</v>
      </c>
      <c r="I412" s="83">
        <v>44708.0</v>
      </c>
      <c r="J412" s="83">
        <v>44708.0</v>
      </c>
      <c r="K412" s="28">
        <v>9.0</v>
      </c>
      <c r="L412" s="81" t="s">
        <v>626</v>
      </c>
      <c r="M412" s="150" t="s">
        <v>603</v>
      </c>
      <c r="N412" s="80" t="b">
        <v>0</v>
      </c>
      <c r="O412" s="80"/>
      <c r="P412" s="80"/>
      <c r="Q412" s="80"/>
      <c r="R412" s="80"/>
      <c r="S412" s="80"/>
      <c r="T412" s="80"/>
      <c r="U412" s="80"/>
      <c r="V412" s="80"/>
      <c r="W412" s="199" t="s">
        <v>613</v>
      </c>
      <c r="X412" s="200"/>
      <c r="Y412" s="34"/>
      <c r="Z412" s="34"/>
    </row>
    <row r="413">
      <c r="E413" s="82" t="b">
        <v>0</v>
      </c>
      <c r="F413" s="82" t="b">
        <v>0</v>
      </c>
      <c r="G413" s="82" t="b">
        <v>1</v>
      </c>
      <c r="H413" s="82" t="b">
        <v>0</v>
      </c>
      <c r="I413" s="83">
        <v>44707.0</v>
      </c>
      <c r="J413" s="83">
        <v>44707.0</v>
      </c>
      <c r="K413" s="28">
        <v>14.0</v>
      </c>
      <c r="L413" s="81" t="s">
        <v>626</v>
      </c>
      <c r="M413" s="150" t="s">
        <v>603</v>
      </c>
      <c r="N413" s="80" t="b">
        <v>0</v>
      </c>
      <c r="O413" s="80"/>
      <c r="P413" s="80"/>
      <c r="Q413" s="80"/>
      <c r="R413" s="80"/>
      <c r="S413" s="80"/>
      <c r="T413" s="80"/>
      <c r="U413" s="80"/>
      <c r="V413" s="80"/>
      <c r="W413" s="199" t="s">
        <v>613</v>
      </c>
      <c r="X413" s="200"/>
      <c r="Y413" s="34"/>
      <c r="Z413" s="34"/>
    </row>
    <row r="414">
      <c r="E414" s="82" t="b">
        <v>0</v>
      </c>
      <c r="F414" s="82" t="b">
        <v>0</v>
      </c>
      <c r="G414" s="82" t="b">
        <v>1</v>
      </c>
      <c r="H414" s="82" t="b">
        <v>0</v>
      </c>
      <c r="I414" s="83">
        <v>44706.0</v>
      </c>
      <c r="J414" s="83">
        <v>44706.0</v>
      </c>
      <c r="K414" s="28">
        <v>5.0</v>
      </c>
      <c r="L414" s="81" t="s">
        <v>627</v>
      </c>
      <c r="M414" s="150" t="s">
        <v>603</v>
      </c>
      <c r="N414" s="80" t="b">
        <v>0</v>
      </c>
      <c r="O414" s="80"/>
      <c r="P414" s="80"/>
      <c r="Q414" s="80"/>
      <c r="R414" s="80"/>
      <c r="S414" s="80"/>
      <c r="T414" s="80"/>
      <c r="U414" s="80"/>
      <c r="V414" s="80"/>
      <c r="W414" s="199" t="s">
        <v>613</v>
      </c>
      <c r="X414" s="200"/>
      <c r="Y414" s="34"/>
      <c r="Z414" s="34"/>
    </row>
    <row r="415">
      <c r="E415" s="82" t="b">
        <v>0</v>
      </c>
      <c r="F415" s="82" t="b">
        <v>0</v>
      </c>
      <c r="G415" s="82" t="b">
        <v>1</v>
      </c>
      <c r="H415" s="82" t="b">
        <v>0</v>
      </c>
      <c r="I415" s="83">
        <v>44696.0</v>
      </c>
      <c r="J415" s="83">
        <v>44697.0</v>
      </c>
      <c r="K415" s="28">
        <v>27.0</v>
      </c>
      <c r="L415" s="81" t="s">
        <v>628</v>
      </c>
      <c r="M415" s="150" t="s">
        <v>603</v>
      </c>
      <c r="N415" s="80" t="b">
        <v>0</v>
      </c>
      <c r="O415" s="80"/>
      <c r="P415" s="80"/>
      <c r="Q415" s="80"/>
      <c r="R415" s="80"/>
      <c r="S415" s="80"/>
      <c r="T415" s="80"/>
      <c r="U415" s="80"/>
      <c r="V415" s="80"/>
      <c r="W415" s="199" t="s">
        <v>613</v>
      </c>
      <c r="X415" s="200"/>
      <c r="Y415" s="34"/>
      <c r="Z415" s="34"/>
    </row>
    <row r="416">
      <c r="E416" s="82" t="b">
        <v>0</v>
      </c>
      <c r="F416" s="82" t="b">
        <v>0</v>
      </c>
      <c r="G416" s="82" t="b">
        <v>1</v>
      </c>
      <c r="H416" s="82" t="b">
        <v>0</v>
      </c>
      <c r="I416" s="83">
        <v>44692.0</v>
      </c>
      <c r="J416" s="83">
        <v>44692.0</v>
      </c>
      <c r="K416" s="28">
        <v>5.0</v>
      </c>
      <c r="L416" s="81" t="s">
        <v>625</v>
      </c>
      <c r="M416" s="150" t="s">
        <v>603</v>
      </c>
      <c r="N416" s="80" t="b">
        <v>0</v>
      </c>
      <c r="O416" s="80"/>
      <c r="P416" s="80"/>
      <c r="Q416" s="80"/>
      <c r="R416" s="80"/>
      <c r="S416" s="80"/>
      <c r="T416" s="80"/>
      <c r="U416" s="80"/>
      <c r="V416" s="80"/>
      <c r="W416" s="199" t="s">
        <v>613</v>
      </c>
      <c r="X416" s="200"/>
      <c r="Y416" s="34"/>
      <c r="Z416" s="34"/>
    </row>
    <row r="417">
      <c r="E417" s="82" t="b">
        <v>0</v>
      </c>
      <c r="F417" s="82" t="b">
        <v>0</v>
      </c>
      <c r="G417" s="82" t="b">
        <v>1</v>
      </c>
      <c r="H417" s="82" t="b">
        <v>0</v>
      </c>
      <c r="I417" s="83">
        <v>44691.0</v>
      </c>
      <c r="J417" s="83">
        <v>44691.0</v>
      </c>
      <c r="K417" s="28">
        <v>18.0</v>
      </c>
      <c r="L417" s="81" t="s">
        <v>628</v>
      </c>
      <c r="M417" s="150" t="s">
        <v>603</v>
      </c>
      <c r="N417" s="80" t="b">
        <v>0</v>
      </c>
      <c r="O417" s="80"/>
      <c r="P417" s="80"/>
      <c r="Q417" s="80"/>
      <c r="R417" s="80"/>
      <c r="S417" s="80"/>
      <c r="T417" s="80"/>
      <c r="U417" s="80"/>
      <c r="V417" s="80"/>
      <c r="W417" s="199" t="s">
        <v>613</v>
      </c>
      <c r="X417" s="200"/>
      <c r="Y417" s="34"/>
      <c r="Z417" s="34"/>
    </row>
    <row r="418">
      <c r="E418" s="82" t="b">
        <v>0</v>
      </c>
      <c r="F418" s="82" t="b">
        <v>0</v>
      </c>
      <c r="G418" s="82" t="b">
        <v>1</v>
      </c>
      <c r="H418" s="82" t="b">
        <v>0</v>
      </c>
      <c r="I418" s="83">
        <v>44660.0</v>
      </c>
      <c r="J418" s="83">
        <v>44662.0</v>
      </c>
      <c r="K418" s="28">
        <v>58.0</v>
      </c>
      <c r="L418" s="81" t="s">
        <v>629</v>
      </c>
      <c r="M418" s="150" t="s">
        <v>603</v>
      </c>
      <c r="N418" s="80" t="b">
        <v>0</v>
      </c>
      <c r="O418" s="80"/>
      <c r="P418" s="80"/>
      <c r="Q418" s="80"/>
      <c r="R418" s="80"/>
      <c r="S418" s="80"/>
      <c r="T418" s="80"/>
      <c r="U418" s="80"/>
      <c r="V418" s="80"/>
      <c r="W418" s="199" t="s">
        <v>613</v>
      </c>
      <c r="X418" s="200"/>
      <c r="Y418" s="34"/>
      <c r="Z418" s="34"/>
    </row>
    <row r="419">
      <c r="E419" s="82" t="b">
        <v>0</v>
      </c>
      <c r="F419" s="82" t="b">
        <v>0</v>
      </c>
      <c r="G419" s="82" t="b">
        <v>1</v>
      </c>
      <c r="H419" s="82" t="b">
        <v>0</v>
      </c>
      <c r="I419" s="83">
        <v>44652.0</v>
      </c>
      <c r="J419" s="83">
        <v>44652.0</v>
      </c>
      <c r="K419" s="28">
        <v>15.0</v>
      </c>
      <c r="L419" s="81" t="s">
        <v>630</v>
      </c>
      <c r="M419" s="150" t="s">
        <v>603</v>
      </c>
      <c r="N419" s="80" t="b">
        <v>0</v>
      </c>
      <c r="O419" s="80"/>
      <c r="P419" s="80"/>
      <c r="Q419" s="80"/>
      <c r="R419" s="80"/>
      <c r="S419" s="80"/>
      <c r="T419" s="80"/>
      <c r="U419" s="80"/>
      <c r="V419" s="80"/>
      <c r="W419" s="199" t="s">
        <v>613</v>
      </c>
      <c r="X419" s="200"/>
      <c r="Y419" s="34"/>
      <c r="Z419" s="34"/>
    </row>
    <row r="420">
      <c r="E420" s="82" t="b">
        <v>0</v>
      </c>
      <c r="F420" s="82" t="b">
        <v>0</v>
      </c>
      <c r="G420" s="82" t="b">
        <v>1</v>
      </c>
      <c r="H420" s="82" t="b">
        <v>0</v>
      </c>
      <c r="I420" s="83">
        <v>44630.0</v>
      </c>
      <c r="J420" s="83">
        <v>44632.0</v>
      </c>
      <c r="K420" s="28">
        <v>52.0</v>
      </c>
      <c r="L420" s="81" t="s">
        <v>631</v>
      </c>
      <c r="M420" s="150" t="s">
        <v>603</v>
      </c>
      <c r="N420" s="80" t="b">
        <v>0</v>
      </c>
      <c r="O420" s="80"/>
      <c r="P420" s="80"/>
      <c r="Q420" s="80"/>
      <c r="R420" s="80"/>
      <c r="S420" s="80"/>
      <c r="T420" s="80"/>
      <c r="U420" s="80"/>
      <c r="V420" s="80"/>
      <c r="W420" s="199" t="s">
        <v>613</v>
      </c>
      <c r="X420" s="200"/>
      <c r="Y420" s="34"/>
      <c r="Z420" s="34"/>
    </row>
    <row r="421">
      <c r="E421" s="82" t="b">
        <v>0</v>
      </c>
      <c r="F421" s="82" t="b">
        <v>0</v>
      </c>
      <c r="G421" s="82" t="b">
        <v>1</v>
      </c>
      <c r="H421" s="82" t="b">
        <v>0</v>
      </c>
      <c r="I421" s="83">
        <v>44617.0</v>
      </c>
      <c r="J421" s="83">
        <v>44618.0</v>
      </c>
      <c r="K421" s="28">
        <v>24.0</v>
      </c>
      <c r="L421" s="81" t="s">
        <v>632</v>
      </c>
      <c r="M421" s="150" t="s">
        <v>603</v>
      </c>
      <c r="N421" s="80" t="b">
        <v>0</v>
      </c>
      <c r="O421" s="80"/>
      <c r="P421" s="80"/>
      <c r="Q421" s="80"/>
      <c r="R421" s="80"/>
      <c r="S421" s="80"/>
      <c r="T421" s="80"/>
      <c r="U421" s="80"/>
      <c r="V421" s="80"/>
      <c r="W421" s="199" t="s">
        <v>613</v>
      </c>
      <c r="X421" s="200"/>
      <c r="Y421" s="34"/>
      <c r="Z421" s="34"/>
    </row>
    <row r="422">
      <c r="E422" s="82" t="b">
        <v>0</v>
      </c>
      <c r="F422" s="82" t="b">
        <v>0</v>
      </c>
      <c r="G422" s="82" t="b">
        <v>1</v>
      </c>
      <c r="H422" s="82" t="b">
        <v>0</v>
      </c>
      <c r="I422" s="83">
        <v>44615.0</v>
      </c>
      <c r="J422" s="83">
        <v>44617.0</v>
      </c>
      <c r="K422" s="28">
        <v>18.0</v>
      </c>
      <c r="L422" s="81" t="s">
        <v>633</v>
      </c>
      <c r="M422" s="150" t="s">
        <v>603</v>
      </c>
      <c r="N422" s="80" t="b">
        <v>0</v>
      </c>
      <c r="O422" s="80"/>
      <c r="P422" s="80"/>
      <c r="Q422" s="80"/>
      <c r="R422" s="80"/>
      <c r="S422" s="80"/>
      <c r="T422" s="80"/>
      <c r="U422" s="80"/>
      <c r="V422" s="80"/>
      <c r="W422" s="201" t="s">
        <v>52</v>
      </c>
      <c r="X422" s="61" t="s">
        <v>614</v>
      </c>
      <c r="Y422" s="34"/>
      <c r="Z422" s="167" t="s">
        <v>634</v>
      </c>
    </row>
    <row r="423">
      <c r="E423" s="82" t="b">
        <v>0</v>
      </c>
      <c r="F423" s="82" t="b">
        <v>0</v>
      </c>
      <c r="G423" s="82" t="b">
        <v>1</v>
      </c>
      <c r="H423" s="82" t="b">
        <v>0</v>
      </c>
      <c r="I423" s="83">
        <v>44612.0</v>
      </c>
      <c r="J423" s="83">
        <v>44614.0</v>
      </c>
      <c r="K423" s="28">
        <v>12.0</v>
      </c>
      <c r="L423" s="81" t="s">
        <v>633</v>
      </c>
      <c r="M423" s="150" t="s">
        <v>603</v>
      </c>
      <c r="N423" s="80" t="b">
        <v>0</v>
      </c>
      <c r="O423" s="80"/>
      <c r="P423" s="80"/>
      <c r="Q423" s="80"/>
      <c r="R423" s="80"/>
      <c r="S423" s="80"/>
      <c r="T423" s="80"/>
      <c r="U423" s="80"/>
      <c r="V423" s="80"/>
      <c r="W423" s="199" t="s">
        <v>613</v>
      </c>
      <c r="X423" s="105"/>
      <c r="Y423" s="34"/>
      <c r="Z423" s="34"/>
    </row>
    <row r="424">
      <c r="E424" s="82" t="b">
        <v>0</v>
      </c>
      <c r="F424" s="82" t="b">
        <v>0</v>
      </c>
      <c r="G424" s="82" t="b">
        <v>1</v>
      </c>
      <c r="H424" s="82" t="b">
        <v>0</v>
      </c>
      <c r="I424" s="83">
        <v>44609.0</v>
      </c>
      <c r="J424" s="83">
        <v>44611.0</v>
      </c>
      <c r="K424" s="28">
        <v>12.0</v>
      </c>
      <c r="L424" s="81" t="s">
        <v>633</v>
      </c>
      <c r="M424" s="150" t="s">
        <v>603</v>
      </c>
      <c r="N424" s="80" t="b">
        <v>0</v>
      </c>
      <c r="O424" s="80"/>
      <c r="P424" s="80"/>
      <c r="Q424" s="80"/>
      <c r="R424" s="80"/>
      <c r="S424" s="80"/>
      <c r="T424" s="80"/>
      <c r="U424" s="80"/>
      <c r="V424" s="80"/>
      <c r="W424" s="199" t="s">
        <v>613</v>
      </c>
      <c r="X424" s="105"/>
      <c r="Y424" s="34"/>
      <c r="Z424" s="34"/>
    </row>
    <row r="425">
      <c r="E425" s="82" t="b">
        <v>0</v>
      </c>
      <c r="F425" s="82" t="b">
        <v>0</v>
      </c>
      <c r="G425" s="82" t="b">
        <v>1</v>
      </c>
      <c r="H425" s="82" t="b">
        <v>0</v>
      </c>
      <c r="I425" s="83">
        <v>44607.0</v>
      </c>
      <c r="J425" s="83">
        <v>44609.0</v>
      </c>
      <c r="K425" s="28">
        <v>12.0</v>
      </c>
      <c r="L425" s="81" t="s">
        <v>633</v>
      </c>
      <c r="M425" s="150" t="s">
        <v>603</v>
      </c>
      <c r="N425" s="80" t="b">
        <v>0</v>
      </c>
      <c r="O425" s="80"/>
      <c r="P425" s="80"/>
      <c r="Q425" s="80"/>
      <c r="R425" s="80"/>
      <c r="S425" s="80"/>
      <c r="T425" s="80"/>
      <c r="U425" s="80"/>
      <c r="V425" s="80"/>
      <c r="W425" s="199" t="s">
        <v>613</v>
      </c>
      <c r="X425" s="105"/>
      <c r="Y425" s="34"/>
      <c r="Z425" s="34"/>
    </row>
    <row r="426">
      <c r="E426" s="82" t="b">
        <v>0</v>
      </c>
      <c r="F426" s="82" t="b">
        <v>0</v>
      </c>
      <c r="G426" s="82" t="b">
        <v>1</v>
      </c>
      <c r="H426" s="82" t="b">
        <v>0</v>
      </c>
      <c r="I426" s="83">
        <v>44603.0</v>
      </c>
      <c r="J426" s="83">
        <v>44605.0</v>
      </c>
      <c r="K426" s="28">
        <v>18.0</v>
      </c>
      <c r="L426" s="81" t="s">
        <v>633</v>
      </c>
      <c r="M426" s="150" t="s">
        <v>603</v>
      </c>
      <c r="N426" s="80" t="b">
        <v>0</v>
      </c>
      <c r="O426" s="80"/>
      <c r="P426" s="80"/>
      <c r="Q426" s="80"/>
      <c r="R426" s="80"/>
      <c r="S426" s="80"/>
      <c r="T426" s="80"/>
      <c r="U426" s="80"/>
      <c r="V426" s="80"/>
      <c r="W426" s="201" t="s">
        <v>52</v>
      </c>
      <c r="X426" s="61" t="s">
        <v>614</v>
      </c>
      <c r="Y426" s="34"/>
      <c r="Z426" s="167" t="s">
        <v>634</v>
      </c>
    </row>
    <row r="427">
      <c r="E427" s="82" t="b">
        <v>0</v>
      </c>
      <c r="F427" s="82" t="b">
        <v>0</v>
      </c>
      <c r="G427" s="82" t="b">
        <v>1</v>
      </c>
      <c r="H427" s="82" t="b">
        <v>0</v>
      </c>
      <c r="I427" s="83">
        <v>44600.0</v>
      </c>
      <c r="J427" s="83">
        <v>44602.0</v>
      </c>
      <c r="K427" s="28">
        <v>18.0</v>
      </c>
      <c r="L427" s="81" t="s">
        <v>633</v>
      </c>
      <c r="M427" s="150" t="s">
        <v>603</v>
      </c>
      <c r="N427" s="80" t="b">
        <v>0</v>
      </c>
      <c r="O427" s="80"/>
      <c r="P427" s="80"/>
      <c r="Q427" s="80"/>
      <c r="R427" s="80"/>
      <c r="S427" s="80"/>
      <c r="T427" s="80"/>
      <c r="U427" s="80"/>
      <c r="V427" s="80"/>
      <c r="W427" s="201" t="s">
        <v>52</v>
      </c>
      <c r="X427" s="61" t="s">
        <v>614</v>
      </c>
      <c r="Y427" s="34"/>
      <c r="Z427" s="167" t="s">
        <v>634</v>
      </c>
    </row>
    <row r="428">
      <c r="E428" s="82" t="b">
        <v>0</v>
      </c>
      <c r="F428" s="82" t="b">
        <v>0</v>
      </c>
      <c r="G428" s="82" t="b">
        <v>1</v>
      </c>
      <c r="H428" s="82" t="b">
        <v>0</v>
      </c>
      <c r="I428" s="83">
        <v>44597.0</v>
      </c>
      <c r="J428" s="83">
        <v>44599.0</v>
      </c>
      <c r="K428" s="28">
        <v>18.0</v>
      </c>
      <c r="L428" s="81" t="s">
        <v>633</v>
      </c>
      <c r="M428" s="150" t="s">
        <v>603</v>
      </c>
      <c r="N428" s="80" t="b">
        <v>0</v>
      </c>
      <c r="O428" s="80"/>
      <c r="P428" s="80"/>
      <c r="Q428" s="80"/>
      <c r="R428" s="80"/>
      <c r="S428" s="80"/>
      <c r="T428" s="80"/>
      <c r="U428" s="80"/>
      <c r="V428" s="80"/>
      <c r="W428" s="201" t="s">
        <v>52</v>
      </c>
      <c r="X428" s="61" t="s">
        <v>614</v>
      </c>
      <c r="Y428" s="34"/>
      <c r="Z428" s="167" t="s">
        <v>634</v>
      </c>
    </row>
    <row r="429">
      <c r="E429" s="82" t="b">
        <v>0</v>
      </c>
      <c r="F429" s="82" t="b">
        <v>0</v>
      </c>
      <c r="G429" s="82" t="b">
        <v>1</v>
      </c>
      <c r="H429" s="82" t="b">
        <v>0</v>
      </c>
      <c r="I429" s="83">
        <v>44594.0</v>
      </c>
      <c r="J429" s="83">
        <v>44596.0</v>
      </c>
      <c r="K429" s="28">
        <v>18.0</v>
      </c>
      <c r="L429" s="81" t="s">
        <v>633</v>
      </c>
      <c r="M429" s="150" t="s">
        <v>603</v>
      </c>
      <c r="N429" s="80" t="b">
        <v>0</v>
      </c>
      <c r="O429" s="80"/>
      <c r="P429" s="80"/>
      <c r="Q429" s="80"/>
      <c r="R429" s="80"/>
      <c r="S429" s="80"/>
      <c r="T429" s="80"/>
      <c r="U429" s="80"/>
      <c r="V429" s="80"/>
      <c r="W429" s="201" t="s">
        <v>52</v>
      </c>
      <c r="X429" s="61" t="s">
        <v>614</v>
      </c>
      <c r="Y429" s="34"/>
      <c r="Z429" s="167" t="s">
        <v>634</v>
      </c>
    </row>
    <row r="430">
      <c r="E430" s="82" t="b">
        <v>0</v>
      </c>
      <c r="F430" s="82" t="b">
        <v>0</v>
      </c>
      <c r="G430" s="82" t="b">
        <v>1</v>
      </c>
      <c r="H430" s="82" t="b">
        <v>0</v>
      </c>
      <c r="I430" s="83">
        <v>44591.0</v>
      </c>
      <c r="J430" s="83">
        <v>44593.0</v>
      </c>
      <c r="K430" s="28">
        <v>18.0</v>
      </c>
      <c r="L430" s="81" t="s">
        <v>633</v>
      </c>
      <c r="M430" s="150" t="s">
        <v>603</v>
      </c>
      <c r="N430" s="80" t="b">
        <v>0</v>
      </c>
      <c r="O430" s="80"/>
      <c r="P430" s="80"/>
      <c r="Q430" s="80"/>
      <c r="R430" s="80"/>
      <c r="S430" s="80"/>
      <c r="T430" s="80"/>
      <c r="U430" s="80"/>
      <c r="V430" s="80"/>
      <c r="W430" s="201" t="s">
        <v>52</v>
      </c>
      <c r="X430" s="61" t="s">
        <v>614</v>
      </c>
      <c r="Y430" s="34"/>
      <c r="Z430" s="167" t="s">
        <v>634</v>
      </c>
    </row>
    <row r="431">
      <c r="E431" s="82" t="b">
        <v>0</v>
      </c>
      <c r="F431" s="82" t="b">
        <v>0</v>
      </c>
      <c r="G431" s="82" t="b">
        <v>1</v>
      </c>
      <c r="H431" s="82" t="b">
        <v>0</v>
      </c>
      <c r="I431" s="83">
        <v>44591.0</v>
      </c>
      <c r="J431" s="83">
        <v>44591.0</v>
      </c>
      <c r="K431" s="28">
        <v>17.0</v>
      </c>
      <c r="L431" s="81" t="s">
        <v>635</v>
      </c>
      <c r="M431" s="150" t="s">
        <v>603</v>
      </c>
      <c r="N431" s="80" t="b">
        <v>0</v>
      </c>
      <c r="O431" s="80"/>
      <c r="P431" s="80"/>
      <c r="Q431" s="80"/>
      <c r="R431" s="80"/>
      <c r="S431" s="80"/>
      <c r="T431" s="80"/>
      <c r="U431" s="80"/>
      <c r="V431" s="80"/>
      <c r="W431" s="201" t="s">
        <v>52</v>
      </c>
      <c r="X431" s="61" t="s">
        <v>614</v>
      </c>
      <c r="Y431" s="34"/>
      <c r="Z431" s="167" t="s">
        <v>634</v>
      </c>
    </row>
    <row r="432">
      <c r="E432" s="82" t="b">
        <v>0</v>
      </c>
      <c r="F432" s="82" t="b">
        <v>0</v>
      </c>
      <c r="G432" s="82" t="b">
        <v>1</v>
      </c>
      <c r="H432" s="82" t="b">
        <v>0</v>
      </c>
      <c r="I432" s="83">
        <v>44588.0</v>
      </c>
      <c r="J432" s="83">
        <v>44590.0</v>
      </c>
      <c r="K432" s="28">
        <v>18.0</v>
      </c>
      <c r="L432" s="81" t="s">
        <v>633</v>
      </c>
      <c r="M432" s="150" t="s">
        <v>603</v>
      </c>
      <c r="N432" s="80" t="b">
        <v>0</v>
      </c>
      <c r="O432" s="80"/>
      <c r="P432" s="80"/>
      <c r="Q432" s="80"/>
      <c r="R432" s="80"/>
      <c r="S432" s="80"/>
      <c r="T432" s="80"/>
      <c r="U432" s="80"/>
      <c r="V432" s="80"/>
      <c r="W432" s="201" t="s">
        <v>52</v>
      </c>
      <c r="X432" s="61" t="s">
        <v>614</v>
      </c>
      <c r="Y432" s="34"/>
      <c r="Z432" s="167" t="s">
        <v>634</v>
      </c>
    </row>
    <row r="433">
      <c r="E433" s="82" t="b">
        <v>0</v>
      </c>
      <c r="F433" s="82" t="b">
        <v>0</v>
      </c>
      <c r="G433" s="82" t="b">
        <v>1</v>
      </c>
      <c r="H433" s="82" t="b">
        <v>0</v>
      </c>
      <c r="I433" s="83">
        <v>44585.0</v>
      </c>
      <c r="J433" s="83">
        <v>44587.0</v>
      </c>
      <c r="K433" s="28">
        <v>12.0</v>
      </c>
      <c r="L433" s="81" t="s">
        <v>633</v>
      </c>
      <c r="M433" s="150" t="s">
        <v>603</v>
      </c>
      <c r="N433" s="80" t="b">
        <v>0</v>
      </c>
      <c r="O433" s="80"/>
      <c r="P433" s="80"/>
      <c r="Q433" s="80"/>
      <c r="R433" s="80"/>
      <c r="S433" s="80"/>
      <c r="T433" s="80"/>
      <c r="U433" s="80"/>
      <c r="V433" s="80"/>
      <c r="W433" s="199" t="s">
        <v>613</v>
      </c>
      <c r="X433" s="105"/>
      <c r="Y433" s="34"/>
      <c r="Z433" s="167"/>
    </row>
    <row r="434">
      <c r="E434" s="82" t="b">
        <v>0</v>
      </c>
      <c r="F434" s="82" t="b">
        <v>0</v>
      </c>
      <c r="G434" s="82" t="b">
        <v>1</v>
      </c>
      <c r="H434" s="82" t="b">
        <v>0</v>
      </c>
      <c r="I434" s="83">
        <v>44582.0</v>
      </c>
      <c r="J434" s="83">
        <v>44584.0</v>
      </c>
      <c r="K434" s="28">
        <v>18.0</v>
      </c>
      <c r="L434" s="81" t="s">
        <v>633</v>
      </c>
      <c r="M434" s="150" t="s">
        <v>603</v>
      </c>
      <c r="N434" s="80" t="b">
        <v>0</v>
      </c>
      <c r="O434" s="80"/>
      <c r="P434" s="80"/>
      <c r="Q434" s="80"/>
      <c r="R434" s="80"/>
      <c r="S434" s="80"/>
      <c r="T434" s="80"/>
      <c r="U434" s="80"/>
      <c r="V434" s="80"/>
      <c r="W434" s="201" t="s">
        <v>52</v>
      </c>
      <c r="X434" s="61" t="s">
        <v>614</v>
      </c>
      <c r="Y434" s="34"/>
      <c r="Z434" s="167" t="s">
        <v>634</v>
      </c>
    </row>
    <row r="435">
      <c r="E435" s="82" t="b">
        <v>0</v>
      </c>
      <c r="F435" s="82" t="b">
        <v>0</v>
      </c>
      <c r="G435" s="82" t="b">
        <v>1</v>
      </c>
      <c r="H435" s="82" t="b">
        <v>0</v>
      </c>
      <c r="I435" s="83">
        <v>44579.0</v>
      </c>
      <c r="J435" s="83">
        <v>44581.0</v>
      </c>
      <c r="K435" s="28">
        <v>18.0</v>
      </c>
      <c r="L435" s="81" t="s">
        <v>633</v>
      </c>
      <c r="M435" s="150" t="s">
        <v>603</v>
      </c>
      <c r="N435" s="80" t="b">
        <v>0</v>
      </c>
      <c r="O435" s="80"/>
      <c r="P435" s="80"/>
      <c r="Q435" s="80"/>
      <c r="R435" s="80"/>
      <c r="S435" s="80"/>
      <c r="T435" s="80"/>
      <c r="U435" s="80"/>
      <c r="V435" s="80"/>
      <c r="W435" s="201" t="s">
        <v>52</v>
      </c>
      <c r="X435" s="61" t="s">
        <v>614</v>
      </c>
      <c r="Y435" s="34"/>
      <c r="Z435" s="167" t="s">
        <v>634</v>
      </c>
    </row>
    <row r="436">
      <c r="E436" s="82" t="b">
        <v>0</v>
      </c>
      <c r="F436" s="82" t="b">
        <v>0</v>
      </c>
      <c r="G436" s="82" t="b">
        <v>1</v>
      </c>
      <c r="H436" s="82" t="b">
        <v>0</v>
      </c>
      <c r="I436" s="83">
        <v>44576.0</v>
      </c>
      <c r="J436" s="83">
        <v>44578.0</v>
      </c>
      <c r="K436" s="28">
        <v>18.0</v>
      </c>
      <c r="L436" s="81" t="s">
        <v>633</v>
      </c>
      <c r="M436" s="150" t="s">
        <v>603</v>
      </c>
      <c r="N436" s="80" t="b">
        <v>0</v>
      </c>
      <c r="O436" s="80"/>
      <c r="P436" s="80"/>
      <c r="Q436" s="80"/>
      <c r="R436" s="80"/>
      <c r="S436" s="80"/>
      <c r="T436" s="80"/>
      <c r="U436" s="80"/>
      <c r="V436" s="80"/>
      <c r="W436" s="201" t="s">
        <v>52</v>
      </c>
      <c r="X436" s="61" t="s">
        <v>614</v>
      </c>
      <c r="Y436" s="34"/>
      <c r="Z436" s="167" t="s">
        <v>634</v>
      </c>
    </row>
    <row r="437">
      <c r="E437" s="82" t="b">
        <v>0</v>
      </c>
      <c r="F437" s="82" t="b">
        <v>0</v>
      </c>
      <c r="G437" s="82" t="b">
        <v>1</v>
      </c>
      <c r="H437" s="82" t="b">
        <v>0</v>
      </c>
      <c r="I437" s="83">
        <v>44573.0</v>
      </c>
      <c r="J437" s="83">
        <v>44575.0</v>
      </c>
      <c r="K437" s="28">
        <v>18.0</v>
      </c>
      <c r="L437" s="81" t="s">
        <v>633</v>
      </c>
      <c r="M437" s="150" t="s">
        <v>603</v>
      </c>
      <c r="N437" s="80" t="b">
        <v>0</v>
      </c>
      <c r="O437" s="80"/>
      <c r="P437" s="80"/>
      <c r="Q437" s="80"/>
      <c r="R437" s="80"/>
      <c r="S437" s="80"/>
      <c r="T437" s="80"/>
      <c r="U437" s="80"/>
      <c r="V437" s="80"/>
      <c r="W437" s="201" t="s">
        <v>52</v>
      </c>
      <c r="X437" s="61" t="s">
        <v>614</v>
      </c>
      <c r="Y437" s="34"/>
      <c r="Z437" s="167" t="s">
        <v>634</v>
      </c>
    </row>
    <row r="438">
      <c r="E438" s="82" t="b">
        <v>1</v>
      </c>
      <c r="F438" s="82" t="b">
        <v>0</v>
      </c>
      <c r="G438" s="82" t="b">
        <v>0</v>
      </c>
      <c r="H438" s="82" t="b">
        <v>0</v>
      </c>
      <c r="I438" s="83">
        <v>44573.0</v>
      </c>
      <c r="J438" s="83">
        <v>44575.0</v>
      </c>
      <c r="K438" s="28">
        <v>48.0</v>
      </c>
      <c r="L438" s="81" t="s">
        <v>636</v>
      </c>
      <c r="M438" s="150" t="s">
        <v>603</v>
      </c>
      <c r="N438" s="80" t="b">
        <v>0</v>
      </c>
      <c r="O438" s="80"/>
      <c r="P438" s="80"/>
      <c r="Q438" s="80"/>
      <c r="R438" s="80"/>
      <c r="S438" s="80"/>
      <c r="T438" s="80"/>
      <c r="U438" s="80"/>
      <c r="V438" s="80"/>
      <c r="W438" s="201" t="s">
        <v>52</v>
      </c>
      <c r="X438" s="61" t="s">
        <v>637</v>
      </c>
      <c r="Y438" s="34"/>
      <c r="Z438" s="167" t="s">
        <v>634</v>
      </c>
    </row>
    <row r="439">
      <c r="E439" s="82" t="b">
        <v>0</v>
      </c>
      <c r="F439" s="82" t="b">
        <v>0</v>
      </c>
      <c r="G439" s="82" t="b">
        <v>1</v>
      </c>
      <c r="H439" s="82" t="b">
        <v>0</v>
      </c>
      <c r="I439" s="83">
        <v>44570.0</v>
      </c>
      <c r="J439" s="83">
        <v>44572.0</v>
      </c>
      <c r="K439" s="28">
        <v>18.0</v>
      </c>
      <c r="L439" s="81" t="s">
        <v>633</v>
      </c>
      <c r="M439" s="150" t="s">
        <v>603</v>
      </c>
      <c r="N439" s="80" t="b">
        <v>0</v>
      </c>
      <c r="O439" s="80"/>
      <c r="P439" s="80"/>
      <c r="Q439" s="80"/>
      <c r="R439" s="80"/>
      <c r="S439" s="80"/>
      <c r="T439" s="80"/>
      <c r="U439" s="80"/>
      <c r="V439" s="80"/>
      <c r="W439" s="201" t="s">
        <v>52</v>
      </c>
      <c r="X439" s="61" t="s">
        <v>614</v>
      </c>
      <c r="Y439" s="34"/>
      <c r="Z439" s="167" t="s">
        <v>634</v>
      </c>
    </row>
    <row r="440">
      <c r="E440" s="82" t="b">
        <v>0</v>
      </c>
      <c r="F440" s="82" t="b">
        <v>0</v>
      </c>
      <c r="G440" s="82" t="b">
        <v>1</v>
      </c>
      <c r="H440" s="82" t="b">
        <v>0</v>
      </c>
      <c r="I440" s="83">
        <v>44570.0</v>
      </c>
      <c r="J440" s="83">
        <v>44571.0</v>
      </c>
      <c r="K440" s="28">
        <v>20.0</v>
      </c>
      <c r="L440" s="81" t="s">
        <v>638</v>
      </c>
      <c r="M440" s="150" t="s">
        <v>603</v>
      </c>
      <c r="N440" s="80" t="b">
        <v>0</v>
      </c>
      <c r="O440" s="80"/>
      <c r="P440" s="80"/>
      <c r="Q440" s="80"/>
      <c r="R440" s="80"/>
      <c r="S440" s="80"/>
      <c r="T440" s="80"/>
      <c r="U440" s="80"/>
      <c r="V440" s="80"/>
      <c r="W440" s="201" t="s">
        <v>52</v>
      </c>
      <c r="X440" s="61" t="s">
        <v>614</v>
      </c>
      <c r="Y440" s="34"/>
      <c r="Z440" s="167" t="s">
        <v>634</v>
      </c>
    </row>
    <row r="441">
      <c r="E441" s="82" t="b">
        <v>0</v>
      </c>
      <c r="F441" s="82" t="b">
        <v>0</v>
      </c>
      <c r="G441" s="82" t="b">
        <v>1</v>
      </c>
      <c r="H441" s="82" t="b">
        <v>0</v>
      </c>
      <c r="I441" s="83">
        <v>44567.0</v>
      </c>
      <c r="J441" s="83">
        <v>44569.0</v>
      </c>
      <c r="K441" s="28">
        <v>18.0</v>
      </c>
      <c r="L441" s="81" t="s">
        <v>633</v>
      </c>
      <c r="M441" s="150" t="s">
        <v>603</v>
      </c>
      <c r="N441" s="80" t="b">
        <v>0</v>
      </c>
      <c r="O441" s="80"/>
      <c r="P441" s="80"/>
      <c r="Q441" s="80"/>
      <c r="R441" s="80"/>
      <c r="S441" s="80"/>
      <c r="T441" s="80"/>
      <c r="U441" s="80"/>
      <c r="V441" s="80"/>
      <c r="W441" s="201" t="s">
        <v>52</v>
      </c>
      <c r="X441" s="61" t="s">
        <v>614</v>
      </c>
      <c r="Y441" s="34"/>
      <c r="Z441" s="167" t="s">
        <v>634</v>
      </c>
    </row>
    <row r="442">
      <c r="E442" s="82" t="b">
        <v>0</v>
      </c>
      <c r="F442" s="82" t="b">
        <v>0</v>
      </c>
      <c r="G442" s="82" t="b">
        <v>1</v>
      </c>
      <c r="H442" s="82" t="b">
        <v>0</v>
      </c>
      <c r="I442" s="83">
        <v>44566.0</v>
      </c>
      <c r="J442" s="83">
        <v>44566.0</v>
      </c>
      <c r="K442" s="28">
        <v>8.0</v>
      </c>
      <c r="L442" s="81" t="s">
        <v>635</v>
      </c>
      <c r="M442" s="150" t="s">
        <v>603</v>
      </c>
      <c r="N442" s="80" t="b">
        <v>0</v>
      </c>
      <c r="O442" s="80"/>
      <c r="P442" s="80"/>
      <c r="Q442" s="80"/>
      <c r="R442" s="80"/>
      <c r="S442" s="80"/>
      <c r="T442" s="80"/>
      <c r="U442" s="80"/>
      <c r="V442" s="80"/>
      <c r="W442" s="201" t="s">
        <v>52</v>
      </c>
      <c r="X442" s="61" t="s">
        <v>614</v>
      </c>
      <c r="Y442" s="34"/>
      <c r="Z442" s="167" t="s">
        <v>634</v>
      </c>
    </row>
    <row r="443">
      <c r="E443" s="82" t="b">
        <v>0</v>
      </c>
      <c r="F443" s="82" t="b">
        <v>0</v>
      </c>
      <c r="G443" s="82" t="b">
        <v>1</v>
      </c>
      <c r="H443" s="82" t="b">
        <v>0</v>
      </c>
      <c r="I443" s="83">
        <v>44564.0</v>
      </c>
      <c r="J443" s="83">
        <v>44566.0</v>
      </c>
      <c r="K443" s="28">
        <v>18.0</v>
      </c>
      <c r="L443" s="81" t="s">
        <v>633</v>
      </c>
      <c r="M443" s="150" t="s">
        <v>603</v>
      </c>
      <c r="N443" s="80" t="b">
        <v>0</v>
      </c>
      <c r="O443" s="80"/>
      <c r="P443" s="80"/>
      <c r="Q443" s="80"/>
      <c r="R443" s="80"/>
      <c r="S443" s="80"/>
      <c r="T443" s="80"/>
      <c r="U443" s="80"/>
      <c r="V443" s="80"/>
      <c r="W443" s="201" t="s">
        <v>52</v>
      </c>
      <c r="X443" s="61" t="s">
        <v>614</v>
      </c>
      <c r="Y443" s="34"/>
      <c r="Z443" s="167" t="s">
        <v>634</v>
      </c>
    </row>
    <row r="444">
      <c r="E444" s="131" t="b">
        <v>0</v>
      </c>
      <c r="F444" s="131" t="b">
        <v>0</v>
      </c>
      <c r="G444" s="131" t="b">
        <v>1</v>
      </c>
      <c r="H444" s="131" t="b">
        <v>0</v>
      </c>
      <c r="I444" s="179">
        <v>44558.0</v>
      </c>
      <c r="J444" s="179">
        <v>44560.0</v>
      </c>
      <c r="K444" s="28">
        <v>48.0</v>
      </c>
      <c r="L444" s="175"/>
      <c r="M444" s="169" t="s">
        <v>603</v>
      </c>
      <c r="N444" s="80" t="b">
        <v>0</v>
      </c>
      <c r="O444" s="80"/>
      <c r="P444" s="80"/>
      <c r="Q444" s="80"/>
      <c r="R444" s="80"/>
      <c r="S444" s="80"/>
      <c r="T444" s="80"/>
      <c r="U444" s="80"/>
      <c r="V444" s="80"/>
      <c r="W444" s="202" t="s">
        <v>513</v>
      </c>
      <c r="X444" s="203"/>
      <c r="Y444" s="34"/>
      <c r="Z444" s="34"/>
    </row>
    <row r="445">
      <c r="E445" s="131" t="b">
        <v>0</v>
      </c>
      <c r="F445" s="131" t="b">
        <v>0</v>
      </c>
      <c r="G445" s="131" t="b">
        <v>1</v>
      </c>
      <c r="H445" s="131" t="b">
        <v>0</v>
      </c>
      <c r="I445" s="38">
        <v>44555.0</v>
      </c>
      <c r="J445" s="38">
        <v>44555.0</v>
      </c>
      <c r="K445" s="28">
        <v>24.0</v>
      </c>
      <c r="L445" s="175"/>
      <c r="M445" s="169" t="s">
        <v>603</v>
      </c>
      <c r="N445" s="80" t="b">
        <v>0</v>
      </c>
      <c r="O445" s="80"/>
      <c r="P445" s="80"/>
      <c r="Q445" s="80"/>
      <c r="R445" s="80"/>
      <c r="S445" s="80"/>
      <c r="T445" s="80"/>
      <c r="U445" s="80"/>
      <c r="V445" s="80"/>
      <c r="W445" s="202" t="s">
        <v>513</v>
      </c>
      <c r="X445" s="203"/>
      <c r="Y445" s="34"/>
      <c r="Z445" s="34"/>
    </row>
    <row r="446">
      <c r="E446" s="131" t="b">
        <v>0</v>
      </c>
      <c r="F446" s="131" t="b">
        <v>0</v>
      </c>
      <c r="G446" s="131" t="b">
        <v>1</v>
      </c>
      <c r="H446" s="131" t="b">
        <v>0</v>
      </c>
      <c r="I446" s="38">
        <v>44555.0</v>
      </c>
      <c r="J446" s="38">
        <v>44556.0</v>
      </c>
      <c r="K446" s="28">
        <v>24.0</v>
      </c>
      <c r="L446" s="175"/>
      <c r="M446" s="169" t="s">
        <v>603</v>
      </c>
      <c r="N446" s="80" t="b">
        <v>0</v>
      </c>
      <c r="O446" s="80"/>
      <c r="P446" s="80"/>
      <c r="Q446" s="80"/>
      <c r="R446" s="80"/>
      <c r="S446" s="80"/>
      <c r="T446" s="80"/>
      <c r="U446" s="80"/>
      <c r="V446" s="80"/>
      <c r="W446" s="202" t="s">
        <v>513</v>
      </c>
      <c r="X446" s="203"/>
      <c r="Y446" s="34"/>
      <c r="Z446" s="34"/>
    </row>
    <row r="447">
      <c r="E447" s="131" t="b">
        <v>0</v>
      </c>
      <c r="F447" s="131" t="b">
        <v>0</v>
      </c>
      <c r="G447" s="131" t="b">
        <v>1</v>
      </c>
      <c r="H447" s="131" t="b">
        <v>0</v>
      </c>
      <c r="I447" s="38">
        <v>44555.0</v>
      </c>
      <c r="J447" s="38">
        <v>44557.0</v>
      </c>
      <c r="K447" s="28">
        <v>48.0</v>
      </c>
      <c r="L447" s="175"/>
      <c r="M447" s="169" t="s">
        <v>603</v>
      </c>
      <c r="N447" s="80" t="b">
        <v>0</v>
      </c>
      <c r="O447" s="80"/>
      <c r="P447" s="80"/>
      <c r="Q447" s="80"/>
      <c r="R447" s="80"/>
      <c r="S447" s="80"/>
      <c r="T447" s="80"/>
      <c r="U447" s="80"/>
      <c r="V447" s="80"/>
      <c r="W447" s="202" t="s">
        <v>513</v>
      </c>
      <c r="X447" s="203"/>
      <c r="Y447" s="34"/>
      <c r="Z447" s="34"/>
    </row>
    <row r="448">
      <c r="E448" s="131" t="b">
        <v>0</v>
      </c>
      <c r="F448" s="131" t="b">
        <v>0</v>
      </c>
      <c r="G448" s="131" t="b">
        <v>1</v>
      </c>
      <c r="H448" s="131" t="b">
        <v>0</v>
      </c>
      <c r="I448" s="38">
        <v>44554.0</v>
      </c>
      <c r="J448" s="38">
        <v>44554.0</v>
      </c>
      <c r="K448" s="28">
        <v>24.0</v>
      </c>
      <c r="L448" s="175"/>
      <c r="M448" s="169" t="s">
        <v>603</v>
      </c>
      <c r="N448" s="80" t="b">
        <v>0</v>
      </c>
      <c r="O448" s="80"/>
      <c r="P448" s="80"/>
      <c r="Q448" s="80"/>
      <c r="R448" s="80"/>
      <c r="S448" s="80"/>
      <c r="T448" s="80"/>
      <c r="U448" s="80"/>
      <c r="V448" s="80"/>
      <c r="W448" s="202" t="s">
        <v>513</v>
      </c>
      <c r="X448" s="203"/>
      <c r="Y448" s="34"/>
      <c r="Z448" s="34"/>
    </row>
    <row r="449">
      <c r="E449" s="131" t="b">
        <v>0</v>
      </c>
      <c r="F449" s="131" t="b">
        <v>0</v>
      </c>
      <c r="G449" s="131" t="b">
        <v>1</v>
      </c>
      <c r="H449" s="131" t="b">
        <v>0</v>
      </c>
      <c r="I449" s="38">
        <v>44552.0</v>
      </c>
      <c r="J449" s="38">
        <v>44554.0</v>
      </c>
      <c r="K449" s="28">
        <v>48.0</v>
      </c>
      <c r="L449" s="175"/>
      <c r="M449" s="169" t="s">
        <v>603</v>
      </c>
      <c r="N449" s="80" t="b">
        <v>0</v>
      </c>
      <c r="O449" s="80"/>
      <c r="P449" s="80"/>
      <c r="Q449" s="80"/>
      <c r="R449" s="80"/>
      <c r="S449" s="80"/>
      <c r="T449" s="80"/>
      <c r="U449" s="80"/>
      <c r="V449" s="80"/>
      <c r="W449" s="202" t="s">
        <v>513</v>
      </c>
      <c r="X449" s="203"/>
      <c r="Y449" s="34"/>
      <c r="Z449" s="34"/>
    </row>
    <row r="450">
      <c r="E450" s="131" t="b">
        <v>0</v>
      </c>
      <c r="F450" s="131" t="b">
        <v>0</v>
      </c>
      <c r="G450" s="131" t="b">
        <v>1</v>
      </c>
      <c r="H450" s="131" t="b">
        <v>0</v>
      </c>
      <c r="I450" s="38">
        <v>44549.0</v>
      </c>
      <c r="J450" s="38">
        <v>44551.0</v>
      </c>
      <c r="K450" s="28">
        <v>48.0</v>
      </c>
      <c r="L450" s="175"/>
      <c r="M450" s="169" t="s">
        <v>603</v>
      </c>
      <c r="N450" s="80" t="b">
        <v>0</v>
      </c>
      <c r="O450" s="80"/>
      <c r="P450" s="80"/>
      <c r="Q450" s="80"/>
      <c r="R450" s="80"/>
      <c r="S450" s="80"/>
      <c r="T450" s="80"/>
      <c r="U450" s="80"/>
      <c r="V450" s="80"/>
      <c r="W450" s="202" t="s">
        <v>513</v>
      </c>
      <c r="X450" s="203"/>
      <c r="Y450" s="34"/>
      <c r="Z450" s="34"/>
    </row>
    <row r="451">
      <c r="E451" s="131" t="b">
        <v>0</v>
      </c>
      <c r="F451" s="131" t="b">
        <v>0</v>
      </c>
      <c r="G451" s="131" t="b">
        <v>1</v>
      </c>
      <c r="H451" s="131" t="b">
        <v>0</v>
      </c>
      <c r="I451" s="38">
        <v>44546.0</v>
      </c>
      <c r="J451" s="38">
        <v>44548.0</v>
      </c>
      <c r="K451" s="28">
        <v>48.0</v>
      </c>
      <c r="L451" s="175"/>
      <c r="M451" s="169" t="s">
        <v>603</v>
      </c>
      <c r="N451" s="80" t="b">
        <v>0</v>
      </c>
      <c r="O451" s="80"/>
      <c r="P451" s="80"/>
      <c r="Q451" s="80"/>
      <c r="R451" s="80"/>
      <c r="S451" s="80"/>
      <c r="T451" s="80"/>
      <c r="U451" s="80"/>
      <c r="V451" s="80"/>
      <c r="W451" s="202" t="s">
        <v>513</v>
      </c>
      <c r="X451" s="203"/>
      <c r="Y451" s="34"/>
      <c r="Z451" s="34"/>
    </row>
    <row r="452">
      <c r="E452" s="131" t="b">
        <v>0</v>
      </c>
      <c r="F452" s="131" t="b">
        <v>0</v>
      </c>
      <c r="G452" s="131" t="b">
        <v>1</v>
      </c>
      <c r="H452" s="131" t="b">
        <v>0</v>
      </c>
      <c r="I452" s="38">
        <v>44546.0</v>
      </c>
      <c r="J452" s="38">
        <v>44548.0</v>
      </c>
      <c r="K452" s="28">
        <v>48.0</v>
      </c>
      <c r="L452" s="175"/>
      <c r="M452" s="169" t="s">
        <v>603</v>
      </c>
      <c r="N452" s="80" t="b">
        <v>0</v>
      </c>
      <c r="O452" s="80"/>
      <c r="P452" s="80"/>
      <c r="Q452" s="80"/>
      <c r="R452" s="80"/>
      <c r="S452" s="80"/>
      <c r="T452" s="80"/>
      <c r="U452" s="80"/>
      <c r="V452" s="80"/>
      <c r="W452" s="202" t="s">
        <v>513</v>
      </c>
      <c r="X452" s="203"/>
      <c r="Y452" s="34"/>
      <c r="Z452" s="34"/>
    </row>
    <row r="453">
      <c r="E453" s="131" t="b">
        <v>0</v>
      </c>
      <c r="F453" s="131" t="b">
        <v>0</v>
      </c>
      <c r="G453" s="131" t="b">
        <v>1</v>
      </c>
      <c r="H453" s="131" t="b">
        <v>0</v>
      </c>
      <c r="I453" s="38">
        <v>44543.0</v>
      </c>
      <c r="J453" s="38">
        <v>44545.0</v>
      </c>
      <c r="K453" s="28">
        <v>48.0</v>
      </c>
      <c r="L453" s="175"/>
      <c r="M453" s="169" t="s">
        <v>603</v>
      </c>
      <c r="N453" s="80" t="b">
        <v>0</v>
      </c>
      <c r="O453" s="80"/>
      <c r="P453" s="80"/>
      <c r="Q453" s="80"/>
      <c r="R453" s="80"/>
      <c r="S453" s="80"/>
      <c r="T453" s="80"/>
      <c r="U453" s="80"/>
      <c r="V453" s="80"/>
      <c r="W453" s="202" t="s">
        <v>513</v>
      </c>
      <c r="X453" s="203"/>
      <c r="Y453" s="34"/>
      <c r="Z453" s="34"/>
    </row>
    <row r="454">
      <c r="E454" s="131" t="b">
        <v>0</v>
      </c>
      <c r="F454" s="131" t="b">
        <v>0</v>
      </c>
      <c r="G454" s="131" t="b">
        <v>1</v>
      </c>
      <c r="H454" s="131" t="b">
        <v>0</v>
      </c>
      <c r="I454" s="38">
        <v>44540.0</v>
      </c>
      <c r="J454" s="38">
        <v>44542.0</v>
      </c>
      <c r="K454" s="28">
        <v>48.0</v>
      </c>
      <c r="L454" s="175"/>
      <c r="M454" s="169" t="s">
        <v>603</v>
      </c>
      <c r="N454" s="80" t="b">
        <v>0</v>
      </c>
      <c r="O454" s="80"/>
      <c r="P454" s="80"/>
      <c r="Q454" s="80"/>
      <c r="R454" s="80"/>
      <c r="S454" s="80"/>
      <c r="T454" s="80"/>
      <c r="U454" s="80"/>
      <c r="V454" s="80"/>
      <c r="W454" s="202" t="s">
        <v>513</v>
      </c>
      <c r="X454" s="203"/>
      <c r="Y454" s="34"/>
      <c r="Z454" s="34"/>
    </row>
    <row r="455">
      <c r="E455" s="131" t="b">
        <v>0</v>
      </c>
      <c r="F455" s="131" t="b">
        <v>0</v>
      </c>
      <c r="G455" s="131" t="b">
        <v>1</v>
      </c>
      <c r="H455" s="131" t="b">
        <v>0</v>
      </c>
      <c r="I455" s="38">
        <v>44538.0</v>
      </c>
      <c r="J455" s="38">
        <v>44538.0</v>
      </c>
      <c r="K455" s="28">
        <v>24.0</v>
      </c>
      <c r="L455" s="175"/>
      <c r="M455" s="169" t="s">
        <v>603</v>
      </c>
      <c r="N455" s="80" t="b">
        <v>0</v>
      </c>
      <c r="O455" s="80"/>
      <c r="P455" s="80"/>
      <c r="Q455" s="80"/>
      <c r="R455" s="80"/>
      <c r="S455" s="80"/>
      <c r="T455" s="80"/>
      <c r="U455" s="80"/>
      <c r="V455" s="80"/>
      <c r="W455" s="202" t="s">
        <v>513</v>
      </c>
      <c r="X455" s="203"/>
      <c r="Y455" s="34"/>
      <c r="Z455" s="34"/>
    </row>
    <row r="456">
      <c r="E456" s="131" t="b">
        <v>0</v>
      </c>
      <c r="F456" s="131" t="b">
        <v>0</v>
      </c>
      <c r="G456" s="131" t="b">
        <v>1</v>
      </c>
      <c r="H456" s="131" t="b">
        <v>0</v>
      </c>
      <c r="I456" s="38">
        <v>44538.0</v>
      </c>
      <c r="J456" s="38">
        <v>44539.0</v>
      </c>
      <c r="K456" s="28">
        <v>24.0</v>
      </c>
      <c r="L456" s="175"/>
      <c r="M456" s="169" t="s">
        <v>603</v>
      </c>
      <c r="N456" s="80" t="b">
        <v>0</v>
      </c>
      <c r="O456" s="80"/>
      <c r="P456" s="80"/>
      <c r="Q456" s="80"/>
      <c r="R456" s="80"/>
      <c r="S456" s="80"/>
      <c r="T456" s="80"/>
      <c r="U456" s="80"/>
      <c r="V456" s="80"/>
      <c r="W456" s="202" t="s">
        <v>513</v>
      </c>
      <c r="X456" s="203"/>
      <c r="Y456" s="34"/>
      <c r="Z456" s="34"/>
    </row>
    <row r="457">
      <c r="E457" s="131" t="b">
        <v>0</v>
      </c>
      <c r="F457" s="131" t="b">
        <v>0</v>
      </c>
      <c r="G457" s="131" t="b">
        <v>1</v>
      </c>
      <c r="H457" s="131" t="b">
        <v>0</v>
      </c>
      <c r="I457" s="38">
        <v>44531.0</v>
      </c>
      <c r="J457" s="38">
        <v>44532.0</v>
      </c>
      <c r="K457" s="28">
        <v>24.0</v>
      </c>
      <c r="L457" s="175"/>
      <c r="M457" s="169" t="s">
        <v>603</v>
      </c>
      <c r="N457" s="80" t="b">
        <v>0</v>
      </c>
      <c r="O457" s="80"/>
      <c r="P457" s="80"/>
      <c r="Q457" s="80"/>
      <c r="R457" s="80"/>
      <c r="S457" s="80"/>
      <c r="T457" s="80"/>
      <c r="U457" s="80"/>
      <c r="V457" s="80"/>
      <c r="W457" s="202" t="s">
        <v>513</v>
      </c>
      <c r="X457" s="203"/>
      <c r="Y457" s="34"/>
      <c r="Z457" s="34"/>
    </row>
    <row r="458">
      <c r="E458" s="131" t="b">
        <v>0</v>
      </c>
      <c r="F458" s="131" t="b">
        <v>0</v>
      </c>
      <c r="G458" s="131" t="b">
        <v>1</v>
      </c>
      <c r="H458" s="131" t="b">
        <v>0</v>
      </c>
      <c r="I458" s="38">
        <v>44531.0</v>
      </c>
      <c r="J458" s="38">
        <v>44537.0</v>
      </c>
      <c r="K458" s="28">
        <v>144.0</v>
      </c>
      <c r="L458" s="175"/>
      <c r="M458" s="169" t="s">
        <v>603</v>
      </c>
      <c r="N458" s="80" t="b">
        <v>0</v>
      </c>
      <c r="O458" s="80"/>
      <c r="P458" s="80"/>
      <c r="Q458" s="80"/>
      <c r="R458" s="80"/>
      <c r="S458" s="80"/>
      <c r="T458" s="80"/>
      <c r="U458" s="80"/>
      <c r="V458" s="80"/>
      <c r="W458" s="202" t="s">
        <v>513</v>
      </c>
      <c r="X458" s="203"/>
      <c r="Y458" s="34"/>
      <c r="Z458" s="34"/>
    </row>
    <row r="459">
      <c r="E459" s="131" t="b">
        <v>0</v>
      </c>
      <c r="F459" s="131" t="b">
        <v>0</v>
      </c>
      <c r="G459" s="131" t="b">
        <v>1</v>
      </c>
      <c r="H459" s="131" t="b">
        <v>0</v>
      </c>
      <c r="I459" s="38">
        <v>44529.0</v>
      </c>
      <c r="J459" s="38">
        <v>44530.0</v>
      </c>
      <c r="K459" s="28">
        <v>24.0</v>
      </c>
      <c r="L459" s="175"/>
      <c r="M459" s="169" t="s">
        <v>603</v>
      </c>
      <c r="N459" s="80" t="b">
        <v>0</v>
      </c>
      <c r="O459" s="80"/>
      <c r="P459" s="80"/>
      <c r="Q459" s="80"/>
      <c r="R459" s="80"/>
      <c r="S459" s="80"/>
      <c r="T459" s="80"/>
      <c r="U459" s="80"/>
      <c r="V459" s="80"/>
      <c r="W459" s="202" t="s">
        <v>513</v>
      </c>
      <c r="X459" s="203"/>
      <c r="Y459" s="34"/>
      <c r="Z459" s="34"/>
    </row>
    <row r="460">
      <c r="E460" s="131" t="b">
        <v>0</v>
      </c>
      <c r="F460" s="131" t="b">
        <v>0</v>
      </c>
      <c r="G460" s="131" t="b">
        <v>1</v>
      </c>
      <c r="H460" s="131" t="b">
        <v>0</v>
      </c>
      <c r="I460" s="38">
        <v>44527.0</v>
      </c>
      <c r="J460" s="38">
        <v>44529.0</v>
      </c>
      <c r="K460" s="28">
        <v>48.0</v>
      </c>
      <c r="L460" s="175"/>
      <c r="M460" s="169" t="s">
        <v>603</v>
      </c>
      <c r="N460" s="80" t="b">
        <v>0</v>
      </c>
      <c r="O460" s="80"/>
      <c r="P460" s="80"/>
      <c r="Q460" s="80"/>
      <c r="R460" s="80"/>
      <c r="S460" s="80"/>
      <c r="T460" s="80"/>
      <c r="U460" s="80"/>
      <c r="V460" s="80"/>
      <c r="W460" s="202" t="s">
        <v>513</v>
      </c>
      <c r="X460" s="203"/>
      <c r="Y460" s="34"/>
      <c r="Z460" s="34"/>
    </row>
    <row r="461">
      <c r="E461" s="131" t="b">
        <v>0</v>
      </c>
      <c r="F461" s="131" t="b">
        <v>0</v>
      </c>
      <c r="G461" s="131" t="b">
        <v>1</v>
      </c>
      <c r="H461" s="131" t="b">
        <v>0</v>
      </c>
      <c r="I461" s="38">
        <v>44525.0</v>
      </c>
      <c r="J461" s="38">
        <v>44527.0</v>
      </c>
      <c r="K461" s="28">
        <v>48.0</v>
      </c>
      <c r="L461" s="175"/>
      <c r="M461" s="169" t="s">
        <v>603</v>
      </c>
      <c r="N461" s="80" t="b">
        <v>0</v>
      </c>
      <c r="O461" s="80"/>
      <c r="P461" s="80"/>
      <c r="Q461" s="80"/>
      <c r="R461" s="80"/>
      <c r="S461" s="80"/>
      <c r="T461" s="80"/>
      <c r="U461" s="80"/>
      <c r="V461" s="80"/>
      <c r="W461" s="202" t="s">
        <v>513</v>
      </c>
      <c r="X461" s="203"/>
      <c r="Y461" s="34"/>
      <c r="Z461" s="34"/>
    </row>
    <row r="462">
      <c r="E462" s="131" t="b">
        <v>0</v>
      </c>
      <c r="F462" s="131" t="b">
        <v>0</v>
      </c>
      <c r="G462" s="131" t="b">
        <v>1</v>
      </c>
      <c r="H462" s="131" t="b">
        <v>0</v>
      </c>
      <c r="I462" s="38">
        <v>44524.0</v>
      </c>
      <c r="J462" s="38">
        <v>44529.0</v>
      </c>
      <c r="K462" s="28">
        <v>120.0</v>
      </c>
      <c r="L462" s="175"/>
      <c r="M462" s="169" t="s">
        <v>603</v>
      </c>
      <c r="N462" s="80" t="b">
        <v>0</v>
      </c>
      <c r="O462" s="80"/>
      <c r="P462" s="80"/>
      <c r="Q462" s="80"/>
      <c r="R462" s="80"/>
      <c r="S462" s="80"/>
      <c r="T462" s="80"/>
      <c r="U462" s="80"/>
      <c r="V462" s="80"/>
      <c r="W462" s="202" t="s">
        <v>513</v>
      </c>
      <c r="X462" s="203"/>
      <c r="Y462" s="34"/>
      <c r="Z462" s="34"/>
    </row>
    <row r="463">
      <c r="E463" s="131" t="b">
        <v>0</v>
      </c>
      <c r="F463" s="131" t="b">
        <v>0</v>
      </c>
      <c r="G463" s="131" t="b">
        <v>1</v>
      </c>
      <c r="H463" s="131" t="b">
        <v>0</v>
      </c>
      <c r="I463" s="38">
        <v>44523.0</v>
      </c>
      <c r="J463" s="38">
        <v>44525.0</v>
      </c>
      <c r="K463" s="28">
        <v>48.0</v>
      </c>
      <c r="L463" s="175"/>
      <c r="M463" s="169" t="s">
        <v>603</v>
      </c>
      <c r="N463" s="80" t="b">
        <v>0</v>
      </c>
      <c r="O463" s="80"/>
      <c r="P463" s="80"/>
      <c r="Q463" s="80"/>
      <c r="R463" s="80"/>
      <c r="S463" s="80"/>
      <c r="T463" s="80"/>
      <c r="U463" s="80"/>
      <c r="V463" s="80"/>
      <c r="W463" s="202" t="s">
        <v>513</v>
      </c>
      <c r="X463" s="203"/>
      <c r="Y463" s="34"/>
      <c r="Z463" s="34"/>
    </row>
    <row r="464">
      <c r="E464" s="131" t="b">
        <v>0</v>
      </c>
      <c r="F464" s="131" t="b">
        <v>0</v>
      </c>
      <c r="G464" s="131" t="b">
        <v>1</v>
      </c>
      <c r="H464" s="131" t="b">
        <v>0</v>
      </c>
      <c r="I464" s="38">
        <v>44521.0</v>
      </c>
      <c r="J464" s="38">
        <v>44523.0</v>
      </c>
      <c r="K464" s="28">
        <v>48.0</v>
      </c>
      <c r="L464" s="175"/>
      <c r="M464" s="169" t="s">
        <v>603</v>
      </c>
      <c r="N464" s="80" t="b">
        <v>0</v>
      </c>
      <c r="O464" s="80"/>
      <c r="P464" s="80"/>
      <c r="Q464" s="80"/>
      <c r="R464" s="80"/>
      <c r="S464" s="80"/>
      <c r="T464" s="80"/>
      <c r="U464" s="80"/>
      <c r="V464" s="80"/>
      <c r="W464" s="202" t="s">
        <v>513</v>
      </c>
      <c r="X464" s="203"/>
      <c r="Y464" s="34"/>
      <c r="Z464" s="34"/>
    </row>
    <row r="465">
      <c r="E465" s="131" t="b">
        <v>0</v>
      </c>
      <c r="F465" s="131" t="b">
        <v>0</v>
      </c>
      <c r="G465" s="131" t="b">
        <v>1</v>
      </c>
      <c r="H465" s="131" t="b">
        <v>0</v>
      </c>
      <c r="I465" s="38">
        <v>44520.0</v>
      </c>
      <c r="J465" s="38">
        <v>44521.0</v>
      </c>
      <c r="K465" s="28">
        <v>24.0</v>
      </c>
      <c r="L465" s="175"/>
      <c r="M465" s="169" t="s">
        <v>603</v>
      </c>
      <c r="N465" s="80" t="b">
        <v>0</v>
      </c>
      <c r="O465" s="80"/>
      <c r="P465" s="80"/>
      <c r="Q465" s="80"/>
      <c r="R465" s="80"/>
      <c r="S465" s="80"/>
      <c r="T465" s="80"/>
      <c r="U465" s="80"/>
      <c r="V465" s="80"/>
      <c r="W465" s="202" t="s">
        <v>513</v>
      </c>
      <c r="X465" s="203"/>
      <c r="Y465" s="34"/>
      <c r="Z465" s="34"/>
    </row>
    <row r="466">
      <c r="E466" s="131" t="b">
        <v>0</v>
      </c>
      <c r="F466" s="131" t="b">
        <v>0</v>
      </c>
      <c r="G466" s="131" t="b">
        <v>1</v>
      </c>
      <c r="H466" s="131" t="b">
        <v>0</v>
      </c>
      <c r="I466" s="38">
        <v>44519.0</v>
      </c>
      <c r="J466" s="38">
        <v>44521.0</v>
      </c>
      <c r="K466" s="28">
        <v>48.0</v>
      </c>
      <c r="L466" s="175"/>
      <c r="M466" s="169" t="s">
        <v>603</v>
      </c>
      <c r="N466" s="80" t="b">
        <v>0</v>
      </c>
      <c r="O466" s="80"/>
      <c r="P466" s="80"/>
      <c r="Q466" s="80"/>
      <c r="R466" s="80"/>
      <c r="S466" s="80"/>
      <c r="T466" s="80"/>
      <c r="U466" s="80"/>
      <c r="V466" s="80"/>
      <c r="W466" s="202" t="s">
        <v>513</v>
      </c>
      <c r="X466" s="203"/>
      <c r="Y466" s="34"/>
      <c r="Z466" s="34"/>
    </row>
    <row r="467">
      <c r="E467" s="131" t="b">
        <v>0</v>
      </c>
      <c r="F467" s="131" t="b">
        <v>0</v>
      </c>
      <c r="G467" s="131" t="b">
        <v>1</v>
      </c>
      <c r="H467" s="131" t="b">
        <v>0</v>
      </c>
      <c r="I467" s="38">
        <v>44518.0</v>
      </c>
      <c r="J467" s="38">
        <v>44520.0</v>
      </c>
      <c r="K467" s="28">
        <v>48.0</v>
      </c>
      <c r="L467" s="175"/>
      <c r="M467" s="169" t="s">
        <v>603</v>
      </c>
      <c r="N467" s="80" t="b">
        <v>0</v>
      </c>
      <c r="O467" s="80"/>
      <c r="P467" s="80"/>
      <c r="Q467" s="80"/>
      <c r="R467" s="80"/>
      <c r="S467" s="80"/>
      <c r="T467" s="80"/>
      <c r="U467" s="80"/>
      <c r="V467" s="80"/>
      <c r="W467" s="202" t="s">
        <v>513</v>
      </c>
      <c r="X467" s="203"/>
      <c r="Y467" s="34"/>
      <c r="Z467" s="34"/>
    </row>
    <row r="468">
      <c r="E468" s="131" t="b">
        <v>0</v>
      </c>
      <c r="F468" s="131" t="b">
        <v>0</v>
      </c>
      <c r="G468" s="131" t="b">
        <v>1</v>
      </c>
      <c r="H468" s="131" t="b">
        <v>0</v>
      </c>
      <c r="I468" s="38">
        <v>44517.0</v>
      </c>
      <c r="J468" s="38">
        <v>44519.0</v>
      </c>
      <c r="K468" s="28">
        <v>48.0</v>
      </c>
      <c r="L468" s="175"/>
      <c r="M468" s="169" t="s">
        <v>603</v>
      </c>
      <c r="N468" s="80" t="b">
        <v>0</v>
      </c>
      <c r="O468" s="80"/>
      <c r="P468" s="80"/>
      <c r="Q468" s="80"/>
      <c r="R468" s="80"/>
      <c r="S468" s="80"/>
      <c r="T468" s="80"/>
      <c r="U468" s="80"/>
      <c r="V468" s="80"/>
      <c r="W468" s="202" t="s">
        <v>513</v>
      </c>
      <c r="X468" s="203"/>
      <c r="Y468" s="34"/>
      <c r="Z468" s="34"/>
    </row>
    <row r="469">
      <c r="E469" s="131" t="b">
        <v>0</v>
      </c>
      <c r="F469" s="131" t="b">
        <v>0</v>
      </c>
      <c r="G469" s="131" t="b">
        <v>1</v>
      </c>
      <c r="H469" s="131" t="b">
        <v>0</v>
      </c>
      <c r="I469" s="38">
        <v>44515.0</v>
      </c>
      <c r="J469" s="38">
        <v>44517.0</v>
      </c>
      <c r="K469" s="28">
        <v>48.0</v>
      </c>
      <c r="L469" s="175"/>
      <c r="M469" s="169" t="s">
        <v>603</v>
      </c>
      <c r="N469" s="80" t="b">
        <v>0</v>
      </c>
      <c r="O469" s="80"/>
      <c r="P469" s="80"/>
      <c r="Q469" s="80"/>
      <c r="R469" s="80"/>
      <c r="S469" s="80"/>
      <c r="T469" s="80"/>
      <c r="U469" s="80"/>
      <c r="V469" s="80"/>
      <c r="W469" s="202" t="s">
        <v>513</v>
      </c>
      <c r="X469" s="203"/>
      <c r="Y469" s="34"/>
      <c r="Z469" s="34"/>
    </row>
    <row r="470">
      <c r="E470" s="131" t="b">
        <v>0</v>
      </c>
      <c r="F470" s="131" t="b">
        <v>0</v>
      </c>
      <c r="G470" s="131" t="b">
        <v>1</v>
      </c>
      <c r="H470" s="131" t="b">
        <v>0</v>
      </c>
      <c r="I470" s="38">
        <v>44513.0</v>
      </c>
      <c r="J470" s="38">
        <v>44515.0</v>
      </c>
      <c r="K470" s="28">
        <v>48.0</v>
      </c>
      <c r="L470" s="175"/>
      <c r="M470" s="169" t="s">
        <v>603</v>
      </c>
      <c r="N470" s="80" t="b">
        <v>0</v>
      </c>
      <c r="O470" s="80"/>
      <c r="P470" s="80"/>
      <c r="Q470" s="80"/>
      <c r="R470" s="80"/>
      <c r="S470" s="80"/>
      <c r="T470" s="80"/>
      <c r="U470" s="80"/>
      <c r="V470" s="80"/>
      <c r="W470" s="202" t="s">
        <v>513</v>
      </c>
      <c r="X470" s="203"/>
      <c r="Y470" s="34"/>
      <c r="Z470" s="34"/>
    </row>
    <row r="471">
      <c r="E471" s="131" t="b">
        <v>1</v>
      </c>
      <c r="F471" s="131" t="b">
        <v>0</v>
      </c>
      <c r="G471" s="131" t="b">
        <v>0</v>
      </c>
      <c r="H471" s="131" t="b">
        <v>0</v>
      </c>
      <c r="I471" s="38">
        <v>44513.0</v>
      </c>
      <c r="J471" s="38">
        <v>44516.0</v>
      </c>
      <c r="K471" s="28">
        <v>72.0</v>
      </c>
      <c r="L471" s="175"/>
      <c r="M471" s="169" t="s">
        <v>603</v>
      </c>
      <c r="N471" s="80" t="b">
        <v>0</v>
      </c>
      <c r="O471" s="80"/>
      <c r="P471" s="80"/>
      <c r="Q471" s="80"/>
      <c r="R471" s="80"/>
      <c r="S471" s="80"/>
      <c r="T471" s="80"/>
      <c r="U471" s="80"/>
      <c r="V471" s="80"/>
      <c r="W471" s="202" t="s">
        <v>513</v>
      </c>
      <c r="X471" s="203"/>
      <c r="Y471" s="34"/>
      <c r="Z471" s="34"/>
    </row>
    <row r="472">
      <c r="E472" s="131" t="b">
        <v>0</v>
      </c>
      <c r="F472" s="131" t="b">
        <v>0</v>
      </c>
      <c r="G472" s="131" t="b">
        <v>1</v>
      </c>
      <c r="H472" s="131" t="b">
        <v>0</v>
      </c>
      <c r="I472" s="38">
        <v>44511.0</v>
      </c>
      <c r="J472" s="38">
        <v>44512.0</v>
      </c>
      <c r="K472" s="28">
        <v>24.0</v>
      </c>
      <c r="L472" s="175"/>
      <c r="M472" s="169" t="s">
        <v>603</v>
      </c>
      <c r="N472" s="80" t="b">
        <v>0</v>
      </c>
      <c r="O472" s="80"/>
      <c r="P472" s="80"/>
      <c r="Q472" s="80"/>
      <c r="R472" s="80"/>
      <c r="S472" s="80"/>
      <c r="T472" s="80"/>
      <c r="U472" s="80"/>
      <c r="V472" s="80"/>
      <c r="W472" s="202" t="s">
        <v>513</v>
      </c>
      <c r="X472" s="203"/>
      <c r="Y472" s="34"/>
      <c r="Z472" s="34"/>
    </row>
    <row r="473">
      <c r="E473" s="131" t="b">
        <v>0</v>
      </c>
      <c r="F473" s="131" t="b">
        <v>0</v>
      </c>
      <c r="G473" s="131" t="b">
        <v>1</v>
      </c>
      <c r="H473" s="131" t="b">
        <v>0</v>
      </c>
      <c r="I473" s="38">
        <v>44511.0</v>
      </c>
      <c r="J473" s="38">
        <v>44513.0</v>
      </c>
      <c r="K473" s="28">
        <v>48.0</v>
      </c>
      <c r="L473" s="175"/>
      <c r="M473" s="169" t="s">
        <v>603</v>
      </c>
      <c r="N473" s="80" t="b">
        <v>0</v>
      </c>
      <c r="O473" s="80"/>
      <c r="P473" s="80"/>
      <c r="Q473" s="80"/>
      <c r="R473" s="80"/>
      <c r="S473" s="80"/>
      <c r="T473" s="80"/>
      <c r="U473" s="80"/>
      <c r="V473" s="80"/>
      <c r="W473" s="202" t="s">
        <v>513</v>
      </c>
      <c r="X473" s="203"/>
      <c r="Y473" s="34"/>
      <c r="Z473" s="34"/>
    </row>
    <row r="474">
      <c r="E474" s="131" t="b">
        <v>0</v>
      </c>
      <c r="F474" s="131" t="b">
        <v>0</v>
      </c>
      <c r="G474" s="131" t="b">
        <v>1</v>
      </c>
      <c r="H474" s="131" t="b">
        <v>0</v>
      </c>
      <c r="I474" s="38">
        <v>44509.0</v>
      </c>
      <c r="J474" s="38">
        <v>44511.0</v>
      </c>
      <c r="K474" s="28">
        <v>48.0</v>
      </c>
      <c r="L474" s="175"/>
      <c r="M474" s="169" t="s">
        <v>603</v>
      </c>
      <c r="N474" s="80" t="b">
        <v>0</v>
      </c>
      <c r="O474" s="80"/>
      <c r="P474" s="80"/>
      <c r="Q474" s="80"/>
      <c r="R474" s="80"/>
      <c r="S474" s="80"/>
      <c r="T474" s="80"/>
      <c r="U474" s="80"/>
      <c r="V474" s="80"/>
      <c r="W474" s="202" t="s">
        <v>513</v>
      </c>
      <c r="X474" s="203"/>
      <c r="Y474" s="34"/>
      <c r="Z474" s="34"/>
    </row>
    <row r="475">
      <c r="E475" s="131" t="b">
        <v>0</v>
      </c>
      <c r="F475" s="131" t="b">
        <v>0</v>
      </c>
      <c r="G475" s="131" t="b">
        <v>1</v>
      </c>
      <c r="H475" s="131" t="b">
        <v>0</v>
      </c>
      <c r="I475" s="38">
        <v>44507.0</v>
      </c>
      <c r="J475" s="38">
        <v>44509.0</v>
      </c>
      <c r="K475" s="28">
        <v>48.0</v>
      </c>
      <c r="L475" s="175"/>
      <c r="M475" s="169" t="s">
        <v>603</v>
      </c>
      <c r="N475" s="80" t="b">
        <v>0</v>
      </c>
      <c r="O475" s="80"/>
      <c r="P475" s="80"/>
      <c r="Q475" s="80"/>
      <c r="R475" s="80"/>
      <c r="S475" s="80"/>
      <c r="T475" s="80"/>
      <c r="U475" s="80"/>
      <c r="V475" s="80"/>
      <c r="W475" s="202" t="s">
        <v>513</v>
      </c>
      <c r="X475" s="203"/>
      <c r="Y475" s="34"/>
      <c r="Z475" s="34"/>
    </row>
    <row r="476">
      <c r="E476" s="131" t="b">
        <v>0</v>
      </c>
      <c r="F476" s="131" t="b">
        <v>0</v>
      </c>
      <c r="G476" s="131" t="b">
        <v>1</v>
      </c>
      <c r="H476" s="131" t="b">
        <v>0</v>
      </c>
      <c r="I476" s="38">
        <v>44505.0</v>
      </c>
      <c r="J476" s="38">
        <v>44507.0</v>
      </c>
      <c r="K476" s="28">
        <v>48.0</v>
      </c>
      <c r="L476" s="175"/>
      <c r="M476" s="169" t="s">
        <v>603</v>
      </c>
      <c r="N476" s="80" t="b">
        <v>0</v>
      </c>
      <c r="O476" s="80"/>
      <c r="P476" s="80"/>
      <c r="Q476" s="80"/>
      <c r="R476" s="80"/>
      <c r="S476" s="80"/>
      <c r="T476" s="80"/>
      <c r="U476" s="80"/>
      <c r="V476" s="80"/>
      <c r="W476" s="202" t="s">
        <v>513</v>
      </c>
      <c r="X476" s="203"/>
      <c r="Y476" s="34"/>
      <c r="Z476" s="34"/>
    </row>
    <row r="477">
      <c r="E477" s="131" t="b">
        <v>0</v>
      </c>
      <c r="F477" s="131" t="b">
        <v>0</v>
      </c>
      <c r="G477" s="131" t="b">
        <v>1</v>
      </c>
      <c r="H477" s="131" t="b">
        <v>0</v>
      </c>
      <c r="I477" s="38">
        <v>44503.0</v>
      </c>
      <c r="J477" s="38">
        <v>44505.0</v>
      </c>
      <c r="K477" s="28">
        <v>48.0</v>
      </c>
      <c r="L477" s="175"/>
      <c r="M477" s="169" t="s">
        <v>603</v>
      </c>
      <c r="N477" s="80" t="b">
        <v>0</v>
      </c>
      <c r="O477" s="80"/>
      <c r="P477" s="80"/>
      <c r="Q477" s="80"/>
      <c r="R477" s="80"/>
      <c r="S477" s="80"/>
      <c r="T477" s="80"/>
      <c r="U477" s="80"/>
      <c r="V477" s="80"/>
      <c r="W477" s="202" t="s">
        <v>513</v>
      </c>
      <c r="X477" s="203"/>
      <c r="Y477" s="34"/>
      <c r="Z477" s="34"/>
    </row>
    <row r="478">
      <c r="E478" s="131" t="b">
        <v>0</v>
      </c>
      <c r="F478" s="131" t="b">
        <v>0</v>
      </c>
      <c r="G478" s="131" t="b">
        <v>1</v>
      </c>
      <c r="H478" s="131" t="b">
        <v>0</v>
      </c>
      <c r="I478" s="38">
        <v>44501.0</v>
      </c>
      <c r="J478" s="38">
        <v>44503.0</v>
      </c>
      <c r="K478" s="28">
        <v>48.0</v>
      </c>
      <c r="L478" s="175"/>
      <c r="M478" s="169" t="s">
        <v>603</v>
      </c>
      <c r="N478" s="80" t="b">
        <v>0</v>
      </c>
      <c r="O478" s="80"/>
      <c r="P478" s="80"/>
      <c r="Q478" s="80"/>
      <c r="R478" s="80"/>
      <c r="S478" s="80"/>
      <c r="T478" s="80"/>
      <c r="U478" s="80"/>
      <c r="V478" s="80"/>
      <c r="W478" s="202" t="s">
        <v>513</v>
      </c>
      <c r="X478" s="203"/>
      <c r="Y478" s="34"/>
      <c r="Z478" s="34"/>
    </row>
    <row r="479">
      <c r="E479" s="131" t="b">
        <v>0</v>
      </c>
      <c r="F479" s="131" t="b">
        <v>0</v>
      </c>
      <c r="G479" s="131" t="b">
        <v>1</v>
      </c>
      <c r="H479" s="131" t="b">
        <v>0</v>
      </c>
      <c r="I479" s="38">
        <v>44499.0</v>
      </c>
      <c r="J479" s="38">
        <v>44501.0</v>
      </c>
      <c r="K479" s="28">
        <v>48.0</v>
      </c>
      <c r="L479" s="175"/>
      <c r="M479" s="169" t="s">
        <v>603</v>
      </c>
      <c r="N479" s="80" t="b">
        <v>0</v>
      </c>
      <c r="O479" s="80"/>
      <c r="P479" s="80"/>
      <c r="Q479" s="80"/>
      <c r="R479" s="80"/>
      <c r="S479" s="80"/>
      <c r="T479" s="80"/>
      <c r="U479" s="80"/>
      <c r="V479" s="80"/>
      <c r="W479" s="202" t="s">
        <v>513</v>
      </c>
      <c r="X479" s="203"/>
      <c r="Y479" s="34"/>
      <c r="Z479" s="34"/>
    </row>
    <row r="480">
      <c r="E480" s="131" t="b">
        <v>0</v>
      </c>
      <c r="F480" s="131" t="b">
        <v>0</v>
      </c>
      <c r="G480" s="131" t="b">
        <v>1</v>
      </c>
      <c r="H480" s="131" t="b">
        <v>0</v>
      </c>
      <c r="I480" s="38">
        <v>44497.0</v>
      </c>
      <c r="J480" s="38">
        <v>44499.0</v>
      </c>
      <c r="K480" s="28">
        <v>48.0</v>
      </c>
      <c r="L480" s="175"/>
      <c r="M480" s="169" t="s">
        <v>603</v>
      </c>
      <c r="N480" s="80" t="b">
        <v>0</v>
      </c>
      <c r="O480" s="80"/>
      <c r="P480" s="80"/>
      <c r="Q480" s="80"/>
      <c r="R480" s="80"/>
      <c r="S480" s="80"/>
      <c r="T480" s="80"/>
      <c r="U480" s="80"/>
      <c r="V480" s="80"/>
      <c r="W480" s="202" t="s">
        <v>513</v>
      </c>
      <c r="X480" s="203"/>
      <c r="Y480" s="34"/>
      <c r="Z480" s="34"/>
    </row>
    <row r="481">
      <c r="E481" s="131" t="b">
        <v>0</v>
      </c>
      <c r="F481" s="131" t="b">
        <v>0</v>
      </c>
      <c r="G481" s="131" t="b">
        <v>1</v>
      </c>
      <c r="H481" s="131" t="b">
        <v>0</v>
      </c>
      <c r="I481" s="38">
        <v>44495.0</v>
      </c>
      <c r="J481" s="38">
        <v>44496.0</v>
      </c>
      <c r="K481" s="28">
        <v>24.0</v>
      </c>
      <c r="L481" s="175"/>
      <c r="M481" s="169" t="s">
        <v>603</v>
      </c>
      <c r="N481" s="80" t="b">
        <v>0</v>
      </c>
      <c r="O481" s="80"/>
      <c r="P481" s="80"/>
      <c r="Q481" s="80"/>
      <c r="R481" s="80"/>
      <c r="S481" s="80"/>
      <c r="T481" s="80"/>
      <c r="U481" s="80"/>
      <c r="V481" s="80"/>
      <c r="W481" s="202" t="s">
        <v>513</v>
      </c>
      <c r="X481" s="203"/>
      <c r="Y481" s="34"/>
      <c r="Z481" s="34"/>
    </row>
    <row r="482">
      <c r="E482" s="131" t="b">
        <v>0</v>
      </c>
      <c r="F482" s="131" t="b">
        <v>0</v>
      </c>
      <c r="G482" s="131" t="b">
        <v>1</v>
      </c>
      <c r="H482" s="131" t="b">
        <v>0</v>
      </c>
      <c r="I482" s="38">
        <v>44493.0</v>
      </c>
      <c r="J482" s="38">
        <v>44495.0</v>
      </c>
      <c r="K482" s="28">
        <v>48.0</v>
      </c>
      <c r="L482" s="175"/>
      <c r="M482" s="169" t="s">
        <v>603</v>
      </c>
      <c r="N482" s="80" t="b">
        <v>0</v>
      </c>
      <c r="O482" s="80"/>
      <c r="P482" s="80"/>
      <c r="Q482" s="80"/>
      <c r="R482" s="80"/>
      <c r="S482" s="80"/>
      <c r="T482" s="80"/>
      <c r="U482" s="80"/>
      <c r="V482" s="80"/>
      <c r="W482" s="202" t="s">
        <v>513</v>
      </c>
      <c r="X482" s="203"/>
      <c r="Y482" s="34"/>
      <c r="Z482" s="34"/>
    </row>
    <row r="483">
      <c r="E483" s="131" t="b">
        <v>0</v>
      </c>
      <c r="F483" s="131" t="b">
        <v>0</v>
      </c>
      <c r="G483" s="131" t="b">
        <v>1</v>
      </c>
      <c r="H483" s="131" t="b">
        <v>0</v>
      </c>
      <c r="I483" s="38">
        <v>44491.0</v>
      </c>
      <c r="J483" s="38">
        <v>44493.0</v>
      </c>
      <c r="K483" s="28">
        <v>48.0</v>
      </c>
      <c r="L483" s="175"/>
      <c r="M483" s="169" t="s">
        <v>603</v>
      </c>
      <c r="N483" s="80" t="b">
        <v>0</v>
      </c>
      <c r="O483" s="80"/>
      <c r="P483" s="80"/>
      <c r="Q483" s="80"/>
      <c r="R483" s="80"/>
      <c r="S483" s="80"/>
      <c r="T483" s="80"/>
      <c r="U483" s="80"/>
      <c r="V483" s="80"/>
      <c r="W483" s="202" t="s">
        <v>513</v>
      </c>
      <c r="X483" s="203"/>
      <c r="Y483" s="34"/>
      <c r="Z483" s="34"/>
    </row>
    <row r="484">
      <c r="E484" s="131" t="b">
        <v>0</v>
      </c>
      <c r="F484" s="131" t="b">
        <v>0</v>
      </c>
      <c r="G484" s="131" t="b">
        <v>1</v>
      </c>
      <c r="H484" s="131" t="b">
        <v>0</v>
      </c>
      <c r="I484" s="38">
        <v>44489.0</v>
      </c>
      <c r="J484" s="38">
        <v>44491.0</v>
      </c>
      <c r="K484" s="28">
        <v>48.0</v>
      </c>
      <c r="L484" s="175"/>
      <c r="M484" s="169" t="s">
        <v>603</v>
      </c>
      <c r="N484" s="80" t="b">
        <v>0</v>
      </c>
      <c r="O484" s="80"/>
      <c r="P484" s="80"/>
      <c r="Q484" s="80"/>
      <c r="R484" s="80"/>
      <c r="S484" s="80"/>
      <c r="T484" s="80"/>
      <c r="U484" s="80"/>
      <c r="V484" s="80"/>
      <c r="W484" s="202" t="s">
        <v>513</v>
      </c>
      <c r="X484" s="203"/>
      <c r="Y484" s="34"/>
      <c r="Z484" s="34"/>
    </row>
    <row r="485">
      <c r="E485" s="131" t="b">
        <v>0</v>
      </c>
      <c r="F485" s="131" t="b">
        <v>0</v>
      </c>
      <c r="G485" s="131" t="b">
        <v>1</v>
      </c>
      <c r="H485" s="131" t="b">
        <v>0</v>
      </c>
      <c r="I485" s="38">
        <v>44487.0</v>
      </c>
      <c r="J485" s="38">
        <v>44489.0</v>
      </c>
      <c r="K485" s="28">
        <v>48.0</v>
      </c>
      <c r="L485" s="175"/>
      <c r="M485" s="169" t="s">
        <v>603</v>
      </c>
      <c r="N485" s="80" t="b">
        <v>0</v>
      </c>
      <c r="O485" s="80"/>
      <c r="P485" s="80"/>
      <c r="Q485" s="80"/>
      <c r="R485" s="80"/>
      <c r="S485" s="80"/>
      <c r="T485" s="80"/>
      <c r="U485" s="80"/>
      <c r="V485" s="80"/>
      <c r="W485" s="202" t="s">
        <v>513</v>
      </c>
      <c r="X485" s="203"/>
      <c r="Y485" s="34"/>
      <c r="Z485" s="34"/>
    </row>
    <row r="486">
      <c r="E486" s="131" t="b">
        <v>0</v>
      </c>
      <c r="F486" s="131" t="b">
        <v>0</v>
      </c>
      <c r="G486" s="131" t="b">
        <v>1</v>
      </c>
      <c r="H486" s="131" t="b">
        <v>0</v>
      </c>
      <c r="I486" s="38">
        <v>44485.0</v>
      </c>
      <c r="J486" s="38">
        <v>44486.0</v>
      </c>
      <c r="K486" s="28">
        <v>24.0</v>
      </c>
      <c r="L486" s="175"/>
      <c r="M486" s="169" t="s">
        <v>603</v>
      </c>
      <c r="N486" s="80" t="b">
        <v>0</v>
      </c>
      <c r="O486" s="80"/>
      <c r="P486" s="80"/>
      <c r="Q486" s="80"/>
      <c r="R486" s="80"/>
      <c r="S486" s="80"/>
      <c r="T486" s="80"/>
      <c r="U486" s="80"/>
      <c r="V486" s="80"/>
      <c r="W486" s="202" t="s">
        <v>513</v>
      </c>
      <c r="X486" s="203"/>
      <c r="Y486" s="34"/>
      <c r="Z486" s="34"/>
    </row>
    <row r="487">
      <c r="E487" s="131" t="b">
        <v>0</v>
      </c>
      <c r="F487" s="131" t="b">
        <v>0</v>
      </c>
      <c r="G487" s="131" t="b">
        <v>1</v>
      </c>
      <c r="H487" s="131" t="b">
        <v>0</v>
      </c>
      <c r="I487" s="38">
        <v>44459.0</v>
      </c>
      <c r="J487" s="38">
        <v>44460.0</v>
      </c>
      <c r="K487" s="28">
        <v>24.0</v>
      </c>
      <c r="L487" s="175"/>
      <c r="M487" s="169" t="s">
        <v>603</v>
      </c>
      <c r="N487" s="80" t="b">
        <v>0</v>
      </c>
      <c r="O487" s="80"/>
      <c r="P487" s="80"/>
      <c r="Q487" s="80"/>
      <c r="R487" s="80"/>
      <c r="S487" s="80"/>
      <c r="T487" s="80"/>
      <c r="U487" s="80"/>
      <c r="V487" s="80"/>
      <c r="W487" s="202" t="s">
        <v>513</v>
      </c>
      <c r="X487" s="203"/>
      <c r="Y487" s="34"/>
      <c r="Z487" s="34"/>
    </row>
    <row r="488">
      <c r="E488" s="131" t="b">
        <v>0</v>
      </c>
      <c r="F488" s="131" t="b">
        <v>0</v>
      </c>
      <c r="G488" s="131" t="b">
        <v>1</v>
      </c>
      <c r="H488" s="131" t="b">
        <v>0</v>
      </c>
      <c r="I488" s="38">
        <v>44442.0</v>
      </c>
      <c r="J488" s="38">
        <v>44445.0</v>
      </c>
      <c r="K488" s="28">
        <v>72.0</v>
      </c>
      <c r="L488" s="175"/>
      <c r="M488" s="169" t="s">
        <v>603</v>
      </c>
      <c r="N488" s="80" t="b">
        <v>0</v>
      </c>
      <c r="O488" s="80"/>
      <c r="P488" s="80"/>
      <c r="Q488" s="80"/>
      <c r="R488" s="80"/>
      <c r="S488" s="80"/>
      <c r="T488" s="80"/>
      <c r="U488" s="80"/>
      <c r="V488" s="80"/>
      <c r="W488" s="202" t="s">
        <v>513</v>
      </c>
      <c r="X488" s="203"/>
      <c r="Y488" s="34"/>
      <c r="Z488" s="34"/>
    </row>
    <row r="489">
      <c r="E489" s="131" t="b">
        <v>0</v>
      </c>
      <c r="F489" s="131" t="b">
        <v>0</v>
      </c>
      <c r="G489" s="131" t="b">
        <v>1</v>
      </c>
      <c r="H489" s="131" t="b">
        <v>0</v>
      </c>
      <c r="I489" s="38">
        <v>44441.0</v>
      </c>
      <c r="J489" s="38">
        <v>44445.0</v>
      </c>
      <c r="K489" s="28">
        <v>96.0</v>
      </c>
      <c r="L489" s="175"/>
      <c r="M489" s="169" t="s">
        <v>603</v>
      </c>
      <c r="N489" s="80" t="b">
        <v>0</v>
      </c>
      <c r="O489" s="80"/>
      <c r="P489" s="80"/>
      <c r="Q489" s="80"/>
      <c r="R489" s="80"/>
      <c r="S489" s="80"/>
      <c r="T489" s="80"/>
      <c r="U489" s="80"/>
      <c r="V489" s="80"/>
      <c r="W489" s="202" t="s">
        <v>513</v>
      </c>
      <c r="X489" s="203"/>
      <c r="Y489" s="34"/>
      <c r="Z489" s="34"/>
    </row>
    <row r="490">
      <c r="E490" s="131" t="b">
        <v>0</v>
      </c>
      <c r="F490" s="131" t="b">
        <v>0</v>
      </c>
      <c r="G490" s="131" t="b">
        <v>1</v>
      </c>
      <c r="H490" s="131" t="b">
        <v>0</v>
      </c>
      <c r="I490" s="38">
        <v>44440.0</v>
      </c>
      <c r="J490" s="38">
        <v>44441.0</v>
      </c>
      <c r="K490" s="28">
        <v>24.0</v>
      </c>
      <c r="L490" s="175"/>
      <c r="M490" s="169" t="s">
        <v>603</v>
      </c>
      <c r="N490" s="80" t="b">
        <v>0</v>
      </c>
      <c r="O490" s="80"/>
      <c r="P490" s="80"/>
      <c r="Q490" s="80"/>
      <c r="R490" s="80"/>
      <c r="S490" s="80"/>
      <c r="T490" s="80"/>
      <c r="U490" s="80"/>
      <c r="V490" s="80"/>
      <c r="W490" s="202" t="s">
        <v>513</v>
      </c>
      <c r="X490" s="203"/>
      <c r="Y490" s="34"/>
      <c r="Z490" s="34"/>
    </row>
    <row r="491">
      <c r="E491" s="131" t="b">
        <v>0</v>
      </c>
      <c r="F491" s="131" t="b">
        <v>0</v>
      </c>
      <c r="G491" s="131" t="b">
        <v>1</v>
      </c>
      <c r="H491" s="131" t="b">
        <v>0</v>
      </c>
      <c r="I491" s="38">
        <v>44432.0</v>
      </c>
      <c r="J491" s="38">
        <v>44433.0</v>
      </c>
      <c r="K491" s="28">
        <v>24.0</v>
      </c>
      <c r="L491" s="175"/>
      <c r="M491" s="169" t="s">
        <v>603</v>
      </c>
      <c r="N491" s="80" t="b">
        <v>0</v>
      </c>
      <c r="O491" s="80"/>
      <c r="P491" s="80"/>
      <c r="Q491" s="80"/>
      <c r="R491" s="80"/>
      <c r="S491" s="80"/>
      <c r="T491" s="80"/>
      <c r="U491" s="80"/>
      <c r="V491" s="80"/>
      <c r="W491" s="202" t="s">
        <v>513</v>
      </c>
      <c r="X491" s="203"/>
      <c r="Y491" s="34"/>
      <c r="Z491" s="34"/>
    </row>
    <row r="492">
      <c r="E492" s="131" t="b">
        <v>0</v>
      </c>
      <c r="F492" s="131" t="b">
        <v>0</v>
      </c>
      <c r="G492" s="131" t="b">
        <v>1</v>
      </c>
      <c r="H492" s="131" t="b">
        <v>0</v>
      </c>
      <c r="I492" s="38">
        <v>44415.0</v>
      </c>
      <c r="J492" s="38">
        <v>44415.0</v>
      </c>
      <c r="K492" s="28">
        <v>24.0</v>
      </c>
      <c r="L492" s="175"/>
      <c r="M492" s="169" t="s">
        <v>603</v>
      </c>
      <c r="N492" s="80" t="b">
        <v>0</v>
      </c>
      <c r="O492" s="80"/>
      <c r="P492" s="80"/>
      <c r="Q492" s="80"/>
      <c r="R492" s="80"/>
      <c r="S492" s="80"/>
      <c r="T492" s="80"/>
      <c r="U492" s="80"/>
      <c r="V492" s="80"/>
      <c r="W492" s="202" t="s">
        <v>513</v>
      </c>
      <c r="X492" s="203"/>
      <c r="Y492" s="34"/>
      <c r="Z492" s="34"/>
    </row>
    <row r="493">
      <c r="E493" s="131" t="b">
        <v>1</v>
      </c>
      <c r="F493" s="131" t="b">
        <v>0</v>
      </c>
      <c r="G493" s="131" t="b">
        <v>0</v>
      </c>
      <c r="H493" s="131" t="b">
        <v>0</v>
      </c>
      <c r="I493" s="38">
        <v>44408.0</v>
      </c>
      <c r="J493" s="38">
        <v>44408.0</v>
      </c>
      <c r="K493" s="28">
        <v>24.0</v>
      </c>
      <c r="L493" s="175"/>
      <c r="M493" s="169" t="s">
        <v>603</v>
      </c>
      <c r="N493" s="80" t="b">
        <v>0</v>
      </c>
      <c r="O493" s="80"/>
      <c r="P493" s="80"/>
      <c r="Q493" s="80"/>
      <c r="R493" s="80"/>
      <c r="S493" s="80"/>
      <c r="T493" s="80"/>
      <c r="U493" s="80"/>
      <c r="V493" s="80"/>
      <c r="W493" s="202" t="s">
        <v>513</v>
      </c>
      <c r="X493" s="203"/>
      <c r="Y493" s="34"/>
      <c r="Z493" s="34"/>
    </row>
    <row r="494">
      <c r="E494" s="131" t="b">
        <v>0</v>
      </c>
      <c r="F494" s="131" t="b">
        <v>0</v>
      </c>
      <c r="G494" s="131" t="b">
        <v>1</v>
      </c>
      <c r="H494" s="131" t="b">
        <v>0</v>
      </c>
      <c r="I494" s="38">
        <v>44399.0</v>
      </c>
      <c r="J494" s="38">
        <v>44401.0</v>
      </c>
      <c r="K494" s="28">
        <v>48.0</v>
      </c>
      <c r="L494" s="175"/>
      <c r="M494" s="169" t="s">
        <v>603</v>
      </c>
      <c r="N494" s="80" t="b">
        <v>0</v>
      </c>
      <c r="O494" s="80"/>
      <c r="P494" s="80"/>
      <c r="Q494" s="80"/>
      <c r="R494" s="80"/>
      <c r="S494" s="80"/>
      <c r="T494" s="80"/>
      <c r="U494" s="80"/>
      <c r="V494" s="80"/>
      <c r="W494" s="202" t="s">
        <v>513</v>
      </c>
      <c r="X494" s="203"/>
      <c r="Y494" s="34"/>
      <c r="Z494" s="34"/>
    </row>
    <row r="495">
      <c r="E495" s="131" t="b">
        <v>0</v>
      </c>
      <c r="F495" s="131" t="b">
        <v>0</v>
      </c>
      <c r="G495" s="131" t="b">
        <v>1</v>
      </c>
      <c r="H495" s="131" t="b">
        <v>0</v>
      </c>
      <c r="I495" s="38">
        <v>44395.0</v>
      </c>
      <c r="J495" s="38">
        <v>44396.0</v>
      </c>
      <c r="K495" s="28">
        <v>24.0</v>
      </c>
      <c r="L495" s="175"/>
      <c r="M495" s="169" t="s">
        <v>603</v>
      </c>
      <c r="N495" s="80" t="b">
        <v>0</v>
      </c>
      <c r="O495" s="80"/>
      <c r="P495" s="80"/>
      <c r="Q495" s="80"/>
      <c r="R495" s="80"/>
      <c r="S495" s="80"/>
      <c r="T495" s="80"/>
      <c r="U495" s="80"/>
      <c r="V495" s="80"/>
      <c r="W495" s="202" t="s">
        <v>513</v>
      </c>
      <c r="X495" s="203"/>
      <c r="Y495" s="34"/>
      <c r="Z495" s="34"/>
    </row>
    <row r="496">
      <c r="E496" s="131" t="b">
        <v>0</v>
      </c>
      <c r="F496" s="131" t="b">
        <v>0</v>
      </c>
      <c r="G496" s="131" t="b">
        <v>1</v>
      </c>
      <c r="H496" s="131" t="b">
        <v>0</v>
      </c>
      <c r="I496" s="38">
        <v>44391.0</v>
      </c>
      <c r="J496" s="38">
        <v>44391.0</v>
      </c>
      <c r="K496" s="28">
        <v>24.0</v>
      </c>
      <c r="L496" s="175"/>
      <c r="M496" s="169" t="s">
        <v>603</v>
      </c>
      <c r="N496" s="80" t="b">
        <v>0</v>
      </c>
      <c r="O496" s="80"/>
      <c r="P496" s="80"/>
      <c r="Q496" s="80"/>
      <c r="R496" s="80"/>
      <c r="S496" s="80"/>
      <c r="T496" s="80"/>
      <c r="U496" s="80"/>
      <c r="V496" s="80"/>
      <c r="W496" s="202" t="s">
        <v>513</v>
      </c>
      <c r="X496" s="203"/>
      <c r="Y496" s="34"/>
      <c r="Z496" s="34"/>
    </row>
    <row r="497">
      <c r="E497" s="131" t="b">
        <v>0</v>
      </c>
      <c r="F497" s="131" t="b">
        <v>0</v>
      </c>
      <c r="G497" s="131" t="b">
        <v>1</v>
      </c>
      <c r="H497" s="131" t="b">
        <v>0</v>
      </c>
      <c r="I497" s="38">
        <v>44386.0</v>
      </c>
      <c r="J497" s="38">
        <v>44386.0</v>
      </c>
      <c r="K497" s="28">
        <v>24.0</v>
      </c>
      <c r="L497" s="175"/>
      <c r="M497" s="169" t="s">
        <v>603</v>
      </c>
      <c r="N497" s="80" t="b">
        <v>0</v>
      </c>
      <c r="O497" s="80"/>
      <c r="P497" s="80"/>
      <c r="Q497" s="80"/>
      <c r="R497" s="80"/>
      <c r="S497" s="80"/>
      <c r="T497" s="80"/>
      <c r="U497" s="80"/>
      <c r="V497" s="80"/>
      <c r="W497" s="202" t="s">
        <v>513</v>
      </c>
      <c r="X497" s="203"/>
      <c r="Y497" s="34"/>
      <c r="Z497" s="34"/>
    </row>
    <row r="498">
      <c r="E498" s="131" t="b">
        <v>0</v>
      </c>
      <c r="F498" s="131" t="b">
        <v>0</v>
      </c>
      <c r="G498" s="131" t="b">
        <v>1</v>
      </c>
      <c r="H498" s="131" t="b">
        <v>0</v>
      </c>
      <c r="I498" s="38">
        <v>44385.0</v>
      </c>
      <c r="J498" s="38">
        <v>44385.0</v>
      </c>
      <c r="K498" s="28">
        <v>24.0</v>
      </c>
      <c r="L498" s="175"/>
      <c r="M498" s="169" t="s">
        <v>603</v>
      </c>
      <c r="N498" s="80" t="b">
        <v>0</v>
      </c>
      <c r="O498" s="80"/>
      <c r="P498" s="80"/>
      <c r="Q498" s="80"/>
      <c r="R498" s="80"/>
      <c r="S498" s="80"/>
      <c r="T498" s="80"/>
      <c r="U498" s="80"/>
      <c r="V498" s="80"/>
      <c r="W498" s="202" t="s">
        <v>513</v>
      </c>
      <c r="X498" s="203"/>
      <c r="Y498" s="34"/>
      <c r="Z498" s="34"/>
    </row>
    <row r="499">
      <c r="E499" s="131" t="b">
        <v>0</v>
      </c>
      <c r="F499" s="131" t="b">
        <v>0</v>
      </c>
      <c r="G499" s="131" t="b">
        <v>1</v>
      </c>
      <c r="H499" s="131" t="b">
        <v>0</v>
      </c>
      <c r="I499" s="38">
        <v>44384.0</v>
      </c>
      <c r="J499" s="38">
        <v>44385.0</v>
      </c>
      <c r="K499" s="28">
        <v>24.0</v>
      </c>
      <c r="L499" s="175"/>
      <c r="M499" s="169" t="s">
        <v>603</v>
      </c>
      <c r="N499" s="80" t="b">
        <v>0</v>
      </c>
      <c r="O499" s="80"/>
      <c r="P499" s="80"/>
      <c r="Q499" s="80"/>
      <c r="R499" s="80"/>
      <c r="S499" s="80"/>
      <c r="T499" s="80"/>
      <c r="U499" s="80"/>
      <c r="V499" s="80"/>
      <c r="W499" s="202" t="s">
        <v>513</v>
      </c>
      <c r="X499" s="203"/>
      <c r="Y499" s="34"/>
      <c r="Z499" s="34"/>
    </row>
    <row r="500">
      <c r="E500" s="131" t="b">
        <v>0</v>
      </c>
      <c r="F500" s="131" t="b">
        <v>0</v>
      </c>
      <c r="G500" s="131" t="b">
        <v>1</v>
      </c>
      <c r="H500" s="131" t="b">
        <v>0</v>
      </c>
      <c r="I500" s="38">
        <v>44384.0</v>
      </c>
      <c r="J500" s="38">
        <v>44385.0</v>
      </c>
      <c r="K500" s="28">
        <v>24.0</v>
      </c>
      <c r="L500" s="175"/>
      <c r="M500" s="169" t="s">
        <v>603</v>
      </c>
      <c r="N500" s="80" t="b">
        <v>0</v>
      </c>
      <c r="O500" s="80"/>
      <c r="P500" s="80"/>
      <c r="Q500" s="80"/>
      <c r="R500" s="80"/>
      <c r="S500" s="80"/>
      <c r="T500" s="80"/>
      <c r="U500" s="80"/>
      <c r="V500" s="80"/>
      <c r="W500" s="202" t="s">
        <v>513</v>
      </c>
      <c r="X500" s="203"/>
      <c r="Y500" s="34"/>
      <c r="Z500" s="34"/>
    </row>
    <row r="501">
      <c r="E501" s="131" t="b">
        <v>0</v>
      </c>
      <c r="F501" s="131" t="b">
        <v>0</v>
      </c>
      <c r="G501" s="131" t="b">
        <v>1</v>
      </c>
      <c r="H501" s="131" t="b">
        <v>0</v>
      </c>
      <c r="I501" s="38">
        <v>44378.0</v>
      </c>
      <c r="J501" s="38">
        <v>44380.0</v>
      </c>
      <c r="K501" s="28">
        <v>48.0</v>
      </c>
      <c r="L501" s="175"/>
      <c r="M501" s="169" t="s">
        <v>603</v>
      </c>
      <c r="N501" s="80" t="b">
        <v>0</v>
      </c>
      <c r="O501" s="80"/>
      <c r="P501" s="80"/>
      <c r="Q501" s="80"/>
      <c r="R501" s="80"/>
      <c r="S501" s="80"/>
      <c r="T501" s="80"/>
      <c r="U501" s="80"/>
      <c r="V501" s="80"/>
      <c r="W501" s="202" t="s">
        <v>513</v>
      </c>
      <c r="X501" s="203"/>
      <c r="Y501" s="34"/>
      <c r="Z501" s="34"/>
    </row>
    <row r="502">
      <c r="E502" s="131" t="b">
        <v>0</v>
      </c>
      <c r="F502" s="131" t="b">
        <v>0</v>
      </c>
      <c r="G502" s="131" t="b">
        <v>1</v>
      </c>
      <c r="H502" s="131" t="b">
        <v>0</v>
      </c>
      <c r="I502" s="38">
        <v>44377.0</v>
      </c>
      <c r="J502" s="38">
        <v>44377.0</v>
      </c>
      <c r="K502" s="28">
        <v>24.0</v>
      </c>
      <c r="L502" s="175"/>
      <c r="M502" s="169" t="s">
        <v>603</v>
      </c>
      <c r="N502" s="80" t="b">
        <v>0</v>
      </c>
      <c r="O502" s="80"/>
      <c r="P502" s="80"/>
      <c r="Q502" s="80"/>
      <c r="R502" s="80"/>
      <c r="S502" s="80"/>
      <c r="T502" s="80"/>
      <c r="U502" s="80"/>
      <c r="V502" s="80"/>
      <c r="W502" s="202" t="s">
        <v>513</v>
      </c>
      <c r="X502" s="203"/>
      <c r="Y502" s="34"/>
      <c r="Z502" s="34"/>
    </row>
    <row r="503">
      <c r="E503" s="131" t="b">
        <v>0</v>
      </c>
      <c r="F503" s="131" t="b">
        <v>0</v>
      </c>
      <c r="G503" s="131" t="b">
        <v>1</v>
      </c>
      <c r="H503" s="131" t="b">
        <v>0</v>
      </c>
      <c r="I503" s="38">
        <v>44376.0</v>
      </c>
      <c r="J503" s="38">
        <v>44377.0</v>
      </c>
      <c r="K503" s="28">
        <v>24.0</v>
      </c>
      <c r="L503" s="175"/>
      <c r="M503" s="169" t="s">
        <v>603</v>
      </c>
      <c r="N503" s="80" t="b">
        <v>0</v>
      </c>
      <c r="O503" s="80"/>
      <c r="P503" s="80"/>
      <c r="Q503" s="80"/>
      <c r="R503" s="80"/>
      <c r="S503" s="80"/>
      <c r="T503" s="80"/>
      <c r="U503" s="80"/>
      <c r="V503" s="80"/>
      <c r="W503" s="202" t="s">
        <v>513</v>
      </c>
      <c r="X503" s="203"/>
      <c r="Y503" s="34"/>
      <c r="Z503" s="34"/>
    </row>
    <row r="504">
      <c r="E504" s="131" t="b">
        <v>0</v>
      </c>
      <c r="F504" s="131" t="b">
        <v>0</v>
      </c>
      <c r="G504" s="131" t="b">
        <v>1</v>
      </c>
      <c r="H504" s="131" t="b">
        <v>0</v>
      </c>
      <c r="I504" s="38">
        <v>44372.0</v>
      </c>
      <c r="J504" s="38">
        <v>44373.0</v>
      </c>
      <c r="K504" s="28">
        <v>24.0</v>
      </c>
      <c r="L504" s="175"/>
      <c r="M504" s="169" t="s">
        <v>603</v>
      </c>
      <c r="N504" s="80" t="b">
        <v>0</v>
      </c>
      <c r="O504" s="80"/>
      <c r="P504" s="80"/>
      <c r="Q504" s="80"/>
      <c r="R504" s="80"/>
      <c r="S504" s="80"/>
      <c r="T504" s="80"/>
      <c r="U504" s="80"/>
      <c r="V504" s="80"/>
      <c r="W504" s="202" t="s">
        <v>513</v>
      </c>
      <c r="X504" s="203"/>
      <c r="Y504" s="34"/>
      <c r="Z504" s="34"/>
    </row>
    <row r="505">
      <c r="E505" s="131" t="b">
        <v>0</v>
      </c>
      <c r="F505" s="131" t="b">
        <v>0</v>
      </c>
      <c r="G505" s="131" t="b">
        <v>1</v>
      </c>
      <c r="H505" s="131" t="b">
        <v>0</v>
      </c>
      <c r="I505" s="38">
        <v>44370.0</v>
      </c>
      <c r="J505" s="38">
        <v>44370.0</v>
      </c>
      <c r="K505" s="28">
        <v>24.0</v>
      </c>
      <c r="L505" s="175"/>
      <c r="M505" s="169" t="s">
        <v>603</v>
      </c>
      <c r="N505" s="80" t="b">
        <v>0</v>
      </c>
      <c r="O505" s="80"/>
      <c r="P505" s="80"/>
      <c r="Q505" s="80"/>
      <c r="R505" s="80"/>
      <c r="S505" s="80"/>
      <c r="T505" s="80"/>
      <c r="U505" s="80"/>
      <c r="V505" s="80"/>
      <c r="W505" s="202" t="s">
        <v>513</v>
      </c>
      <c r="X505" s="203"/>
      <c r="Y505" s="34"/>
      <c r="Z505" s="34"/>
    </row>
    <row r="506">
      <c r="E506" s="131" t="b">
        <v>0</v>
      </c>
      <c r="F506" s="131" t="b">
        <v>0</v>
      </c>
      <c r="G506" s="131" t="b">
        <v>1</v>
      </c>
      <c r="H506" s="131" t="b">
        <v>0</v>
      </c>
      <c r="I506" s="38">
        <v>44368.0</v>
      </c>
      <c r="J506" s="38">
        <v>44369.0</v>
      </c>
      <c r="K506" s="28">
        <v>24.0</v>
      </c>
      <c r="L506" s="175"/>
      <c r="M506" s="169" t="s">
        <v>603</v>
      </c>
      <c r="N506" s="80" t="b">
        <v>0</v>
      </c>
      <c r="O506" s="80"/>
      <c r="P506" s="80"/>
      <c r="Q506" s="80"/>
      <c r="R506" s="80"/>
      <c r="S506" s="80"/>
      <c r="T506" s="80"/>
      <c r="U506" s="80"/>
      <c r="V506" s="80"/>
      <c r="W506" s="202" t="s">
        <v>513</v>
      </c>
      <c r="X506" s="203"/>
      <c r="Y506" s="34"/>
      <c r="Z506" s="34"/>
    </row>
    <row r="507">
      <c r="E507" s="131" t="b">
        <v>0</v>
      </c>
      <c r="F507" s="131" t="b">
        <v>0</v>
      </c>
      <c r="G507" s="131" t="b">
        <v>1</v>
      </c>
      <c r="H507" s="131" t="b">
        <v>0</v>
      </c>
      <c r="I507" s="38">
        <v>44344.0</v>
      </c>
      <c r="J507" s="38">
        <v>44345.0</v>
      </c>
      <c r="K507" s="28">
        <v>24.0</v>
      </c>
      <c r="L507" s="175"/>
      <c r="M507" s="169" t="s">
        <v>603</v>
      </c>
      <c r="N507" s="80" t="b">
        <v>0</v>
      </c>
      <c r="O507" s="80"/>
      <c r="P507" s="80"/>
      <c r="Q507" s="80"/>
      <c r="R507" s="80"/>
      <c r="S507" s="80"/>
      <c r="T507" s="80"/>
      <c r="U507" s="80"/>
      <c r="V507" s="80"/>
      <c r="W507" s="202" t="s">
        <v>513</v>
      </c>
      <c r="X507" s="203"/>
      <c r="Y507" s="34"/>
      <c r="Z507" s="34"/>
    </row>
    <row r="508">
      <c r="E508" s="131" t="b">
        <v>0</v>
      </c>
      <c r="F508" s="131" t="b">
        <v>0</v>
      </c>
      <c r="G508" s="131" t="b">
        <v>1</v>
      </c>
      <c r="H508" s="131" t="b">
        <v>0</v>
      </c>
      <c r="I508" s="38">
        <v>44333.0</v>
      </c>
      <c r="J508" s="38">
        <v>44333.0</v>
      </c>
      <c r="K508" s="28">
        <v>24.0</v>
      </c>
      <c r="L508" s="175"/>
      <c r="M508" s="169" t="s">
        <v>603</v>
      </c>
      <c r="N508" s="80" t="b">
        <v>0</v>
      </c>
      <c r="O508" s="80"/>
      <c r="P508" s="80"/>
      <c r="Q508" s="80"/>
      <c r="R508" s="80"/>
      <c r="S508" s="80"/>
      <c r="T508" s="80"/>
      <c r="U508" s="80"/>
      <c r="V508" s="80"/>
      <c r="W508" s="202" t="s">
        <v>513</v>
      </c>
      <c r="X508" s="203"/>
      <c r="Y508" s="34"/>
      <c r="Z508" s="34"/>
    </row>
    <row r="509">
      <c r="E509" s="131" t="b">
        <v>0</v>
      </c>
      <c r="F509" s="131" t="b">
        <v>0</v>
      </c>
      <c r="G509" s="131" t="b">
        <v>1</v>
      </c>
      <c r="H509" s="131" t="b">
        <v>0</v>
      </c>
      <c r="I509" s="38">
        <v>44322.0</v>
      </c>
      <c r="J509" s="38">
        <v>44323.0</v>
      </c>
      <c r="K509" s="28">
        <v>24.0</v>
      </c>
      <c r="L509" s="175"/>
      <c r="M509" s="169" t="s">
        <v>603</v>
      </c>
      <c r="N509" s="80" t="b">
        <v>0</v>
      </c>
      <c r="O509" s="80"/>
      <c r="P509" s="80"/>
      <c r="Q509" s="80"/>
      <c r="R509" s="80"/>
      <c r="S509" s="80"/>
      <c r="T509" s="80"/>
      <c r="U509" s="80"/>
      <c r="V509" s="80"/>
      <c r="W509" s="202" t="s">
        <v>513</v>
      </c>
      <c r="X509" s="203"/>
      <c r="Y509" s="34"/>
      <c r="Z509" s="34"/>
    </row>
    <row r="510">
      <c r="E510" s="131" t="b">
        <v>0</v>
      </c>
      <c r="F510" s="131" t="b">
        <v>0</v>
      </c>
      <c r="G510" s="131" t="b">
        <v>1</v>
      </c>
      <c r="H510" s="131" t="b">
        <v>0</v>
      </c>
      <c r="I510" s="38">
        <v>44320.0</v>
      </c>
      <c r="J510" s="38">
        <v>44321.0</v>
      </c>
      <c r="K510" s="28">
        <v>24.0</v>
      </c>
      <c r="L510" s="175"/>
      <c r="M510" s="169" t="s">
        <v>603</v>
      </c>
      <c r="N510" s="80" t="b">
        <v>0</v>
      </c>
      <c r="O510" s="80"/>
      <c r="P510" s="80"/>
      <c r="Q510" s="80"/>
      <c r="R510" s="80"/>
      <c r="S510" s="80"/>
      <c r="T510" s="80"/>
      <c r="U510" s="80"/>
      <c r="V510" s="80"/>
      <c r="W510" s="202" t="s">
        <v>513</v>
      </c>
      <c r="X510" s="203"/>
      <c r="Y510" s="34"/>
      <c r="Z510" s="34"/>
    </row>
    <row r="511">
      <c r="E511" s="131" t="b">
        <v>0</v>
      </c>
      <c r="F511" s="131" t="b">
        <v>0</v>
      </c>
      <c r="G511" s="131" t="b">
        <v>1</v>
      </c>
      <c r="H511" s="131" t="b">
        <v>0</v>
      </c>
      <c r="I511" s="38">
        <v>44305.0</v>
      </c>
      <c r="J511" s="38">
        <v>44306.0</v>
      </c>
      <c r="K511" s="28">
        <v>24.0</v>
      </c>
      <c r="L511" s="175"/>
      <c r="M511" s="169" t="s">
        <v>603</v>
      </c>
      <c r="N511" s="80" t="b">
        <v>0</v>
      </c>
      <c r="O511" s="80"/>
      <c r="P511" s="80"/>
      <c r="Q511" s="80"/>
      <c r="R511" s="80"/>
      <c r="S511" s="80"/>
      <c r="T511" s="80"/>
      <c r="U511" s="80"/>
      <c r="V511" s="80"/>
      <c r="W511" s="202" t="s">
        <v>513</v>
      </c>
      <c r="X511" s="203"/>
      <c r="Y511" s="34"/>
      <c r="Z511" s="34"/>
    </row>
    <row r="512">
      <c r="E512" s="131" t="b">
        <v>0</v>
      </c>
      <c r="F512" s="131" t="b">
        <v>0</v>
      </c>
      <c r="G512" s="131" t="b">
        <v>1</v>
      </c>
      <c r="H512" s="131" t="b">
        <v>0</v>
      </c>
      <c r="I512" s="38">
        <v>44305.0</v>
      </c>
      <c r="J512" s="38">
        <v>44306.0</v>
      </c>
      <c r="K512" s="28">
        <v>24.0</v>
      </c>
      <c r="L512" s="175"/>
      <c r="M512" s="169" t="s">
        <v>603</v>
      </c>
      <c r="N512" s="80" t="b">
        <v>0</v>
      </c>
      <c r="O512" s="80"/>
      <c r="P512" s="80"/>
      <c r="Q512" s="80"/>
      <c r="R512" s="80"/>
      <c r="S512" s="80"/>
      <c r="T512" s="80"/>
      <c r="U512" s="80"/>
      <c r="V512" s="80"/>
      <c r="W512" s="202" t="s">
        <v>513</v>
      </c>
      <c r="X512" s="203"/>
      <c r="Y512" s="34"/>
      <c r="Z512" s="34"/>
    </row>
    <row r="513">
      <c r="E513" s="131" t="b">
        <v>0</v>
      </c>
      <c r="F513" s="131" t="b">
        <v>0</v>
      </c>
      <c r="G513" s="131" t="b">
        <v>1</v>
      </c>
      <c r="H513" s="131" t="b">
        <v>0</v>
      </c>
      <c r="I513" s="38">
        <v>44296.0</v>
      </c>
      <c r="J513" s="38">
        <v>44297.0</v>
      </c>
      <c r="K513" s="28">
        <v>24.0</v>
      </c>
      <c r="L513" s="175"/>
      <c r="M513" s="169" t="s">
        <v>603</v>
      </c>
      <c r="N513" s="80" t="b">
        <v>0</v>
      </c>
      <c r="O513" s="80"/>
      <c r="P513" s="80"/>
      <c r="Q513" s="80"/>
      <c r="R513" s="80"/>
      <c r="S513" s="80"/>
      <c r="T513" s="80"/>
      <c r="U513" s="80"/>
      <c r="V513" s="80"/>
      <c r="W513" s="202" t="s">
        <v>513</v>
      </c>
      <c r="X513" s="203"/>
      <c r="Y513" s="34"/>
      <c r="Z513" s="34"/>
    </row>
    <row r="514">
      <c r="E514" s="131" t="b">
        <v>0</v>
      </c>
      <c r="F514" s="131" t="b">
        <v>0</v>
      </c>
      <c r="G514" s="131" t="b">
        <v>1</v>
      </c>
      <c r="H514" s="131" t="b">
        <v>0</v>
      </c>
      <c r="I514" s="38">
        <v>44295.0</v>
      </c>
      <c r="J514" s="38">
        <v>44295.0</v>
      </c>
      <c r="K514" s="28">
        <v>24.0</v>
      </c>
      <c r="L514" s="175"/>
      <c r="M514" s="169" t="s">
        <v>603</v>
      </c>
      <c r="N514" s="80" t="b">
        <v>0</v>
      </c>
      <c r="O514" s="80"/>
      <c r="P514" s="80"/>
      <c r="Q514" s="80"/>
      <c r="R514" s="80"/>
      <c r="S514" s="80"/>
      <c r="T514" s="80"/>
      <c r="U514" s="80"/>
      <c r="V514" s="80"/>
      <c r="W514" s="202" t="s">
        <v>513</v>
      </c>
      <c r="X514" s="203"/>
      <c r="Y514" s="34"/>
      <c r="Z514" s="34"/>
    </row>
    <row r="515">
      <c r="E515" s="131" t="b">
        <v>0</v>
      </c>
      <c r="F515" s="131" t="b">
        <v>0</v>
      </c>
      <c r="G515" s="131" t="b">
        <v>1</v>
      </c>
      <c r="H515" s="131" t="b">
        <v>0</v>
      </c>
      <c r="I515" s="38">
        <v>44294.0</v>
      </c>
      <c r="J515" s="38">
        <v>44295.0</v>
      </c>
      <c r="K515" s="28">
        <v>24.0</v>
      </c>
      <c r="L515" s="175"/>
      <c r="M515" s="169" t="s">
        <v>603</v>
      </c>
      <c r="N515" s="80" t="b">
        <v>0</v>
      </c>
      <c r="O515" s="80"/>
      <c r="P515" s="80"/>
      <c r="Q515" s="80"/>
      <c r="R515" s="80"/>
      <c r="S515" s="80"/>
      <c r="T515" s="80"/>
      <c r="U515" s="80"/>
      <c r="V515" s="80"/>
      <c r="W515" s="202" t="s">
        <v>513</v>
      </c>
      <c r="X515" s="203"/>
      <c r="Y515" s="34"/>
      <c r="Z515" s="34"/>
    </row>
    <row r="516">
      <c r="E516" s="131" t="b">
        <v>0</v>
      </c>
      <c r="F516" s="131" t="b">
        <v>0</v>
      </c>
      <c r="G516" s="131" t="b">
        <v>1</v>
      </c>
      <c r="H516" s="131" t="b">
        <v>0</v>
      </c>
      <c r="I516" s="38">
        <v>44294.0</v>
      </c>
      <c r="J516" s="38">
        <v>44297.0</v>
      </c>
      <c r="K516" s="28">
        <v>72.0</v>
      </c>
      <c r="L516" s="175"/>
      <c r="M516" s="169" t="s">
        <v>603</v>
      </c>
      <c r="N516" s="80" t="b">
        <v>0</v>
      </c>
      <c r="O516" s="80"/>
      <c r="P516" s="80"/>
      <c r="Q516" s="80"/>
      <c r="R516" s="80"/>
      <c r="S516" s="80"/>
      <c r="T516" s="80"/>
      <c r="U516" s="80"/>
      <c r="V516" s="80"/>
      <c r="W516" s="202" t="s">
        <v>513</v>
      </c>
      <c r="X516" s="203"/>
      <c r="Y516" s="34"/>
      <c r="Z516" s="34"/>
    </row>
    <row r="517">
      <c r="E517" s="131" t="b">
        <v>0</v>
      </c>
      <c r="F517" s="131" t="b">
        <v>0</v>
      </c>
      <c r="G517" s="131" t="b">
        <v>1</v>
      </c>
      <c r="H517" s="131" t="b">
        <v>0</v>
      </c>
      <c r="I517" s="38">
        <v>44288.0</v>
      </c>
      <c r="J517" s="38">
        <v>44289.0</v>
      </c>
      <c r="K517" s="28">
        <v>24.0</v>
      </c>
      <c r="L517" s="175"/>
      <c r="M517" s="169" t="s">
        <v>603</v>
      </c>
      <c r="N517" s="80" t="b">
        <v>0</v>
      </c>
      <c r="O517" s="80"/>
      <c r="P517" s="80"/>
      <c r="Q517" s="80"/>
      <c r="R517" s="80"/>
      <c r="S517" s="80"/>
      <c r="T517" s="80"/>
      <c r="U517" s="80"/>
      <c r="V517" s="80"/>
      <c r="W517" s="202" t="s">
        <v>513</v>
      </c>
      <c r="X517" s="203"/>
      <c r="Y517" s="34"/>
      <c r="Z517" s="34"/>
    </row>
    <row r="518">
      <c r="E518" s="131" t="b">
        <v>0</v>
      </c>
      <c r="F518" s="131" t="b">
        <v>0</v>
      </c>
      <c r="G518" s="131" t="b">
        <v>1</v>
      </c>
      <c r="H518" s="131" t="b">
        <v>0</v>
      </c>
      <c r="I518" s="38">
        <v>44282.0</v>
      </c>
      <c r="J518" s="38">
        <v>44283.0</v>
      </c>
      <c r="K518" s="28">
        <v>24.0</v>
      </c>
      <c r="L518" s="175"/>
      <c r="M518" s="169" t="s">
        <v>603</v>
      </c>
      <c r="N518" s="80" t="b">
        <v>0</v>
      </c>
      <c r="O518" s="80"/>
      <c r="P518" s="80"/>
      <c r="Q518" s="80"/>
      <c r="R518" s="80"/>
      <c r="S518" s="80"/>
      <c r="T518" s="80"/>
      <c r="U518" s="80"/>
      <c r="V518" s="80"/>
      <c r="W518" s="202" t="s">
        <v>513</v>
      </c>
      <c r="X518" s="203"/>
      <c r="Y518" s="34"/>
      <c r="Z518" s="34"/>
    </row>
    <row r="519">
      <c r="E519" s="131" t="b">
        <v>0</v>
      </c>
      <c r="F519" s="131" t="b">
        <v>0</v>
      </c>
      <c r="G519" s="131" t="b">
        <v>1</v>
      </c>
      <c r="H519" s="131" t="b">
        <v>0</v>
      </c>
      <c r="I519" s="38">
        <v>44276.0</v>
      </c>
      <c r="J519" s="38">
        <v>44277.0</v>
      </c>
      <c r="K519" s="28">
        <v>24.0</v>
      </c>
      <c r="L519" s="175"/>
      <c r="M519" s="169" t="s">
        <v>603</v>
      </c>
      <c r="N519" s="80" t="b">
        <v>0</v>
      </c>
      <c r="O519" s="80"/>
      <c r="P519" s="80"/>
      <c r="Q519" s="80"/>
      <c r="R519" s="80"/>
      <c r="S519" s="80"/>
      <c r="T519" s="80"/>
      <c r="U519" s="80"/>
      <c r="V519" s="80"/>
      <c r="W519" s="202" t="s">
        <v>513</v>
      </c>
      <c r="X519" s="203"/>
      <c r="Y519" s="34"/>
      <c r="Z519" s="34"/>
    </row>
    <row r="520">
      <c r="E520" s="131" t="b">
        <v>0</v>
      </c>
      <c r="F520" s="131" t="b">
        <v>0</v>
      </c>
      <c r="G520" s="131" t="b">
        <v>1</v>
      </c>
      <c r="H520" s="131" t="b">
        <v>0</v>
      </c>
      <c r="I520" s="38">
        <v>44268.0</v>
      </c>
      <c r="J520" s="38">
        <v>44270.0</v>
      </c>
      <c r="K520" s="28">
        <v>48.0</v>
      </c>
      <c r="L520" s="175"/>
      <c r="M520" s="169" t="s">
        <v>603</v>
      </c>
      <c r="N520" s="80" t="b">
        <v>0</v>
      </c>
      <c r="O520" s="80"/>
      <c r="P520" s="80"/>
      <c r="Q520" s="80"/>
      <c r="R520" s="80"/>
      <c r="S520" s="80"/>
      <c r="T520" s="80"/>
      <c r="U520" s="80"/>
      <c r="V520" s="80"/>
      <c r="W520" s="202" t="s">
        <v>513</v>
      </c>
      <c r="X520" s="203"/>
      <c r="Y520" s="34"/>
      <c r="Z520" s="34"/>
    </row>
    <row r="521">
      <c r="E521" s="131" t="b">
        <v>0</v>
      </c>
      <c r="F521" s="131" t="b">
        <v>0</v>
      </c>
      <c r="G521" s="131" t="b">
        <v>1</v>
      </c>
      <c r="H521" s="131" t="b">
        <v>0</v>
      </c>
      <c r="I521" s="38">
        <v>44265.0</v>
      </c>
      <c r="J521" s="38">
        <v>44266.0</v>
      </c>
      <c r="K521" s="28">
        <v>24.0</v>
      </c>
      <c r="L521" s="175"/>
      <c r="M521" s="169" t="s">
        <v>603</v>
      </c>
      <c r="N521" s="80" t="b">
        <v>0</v>
      </c>
      <c r="O521" s="80"/>
      <c r="P521" s="80"/>
      <c r="Q521" s="80"/>
      <c r="R521" s="80"/>
      <c r="S521" s="80"/>
      <c r="T521" s="80"/>
      <c r="U521" s="80"/>
      <c r="V521" s="80"/>
      <c r="W521" s="202" t="s">
        <v>513</v>
      </c>
      <c r="X521" s="203"/>
      <c r="Y521" s="34"/>
      <c r="Z521" s="34"/>
    </row>
    <row r="522">
      <c r="E522" s="131" t="b">
        <v>0</v>
      </c>
      <c r="F522" s="131" t="b">
        <v>0</v>
      </c>
      <c r="G522" s="131" t="b">
        <v>1</v>
      </c>
      <c r="H522" s="131" t="b">
        <v>0</v>
      </c>
      <c r="I522" s="38">
        <v>44251.0</v>
      </c>
      <c r="J522" s="38">
        <v>44251.0</v>
      </c>
      <c r="K522" s="28">
        <v>24.0</v>
      </c>
      <c r="L522" s="175"/>
      <c r="M522" s="169" t="s">
        <v>603</v>
      </c>
      <c r="N522" s="80" t="b">
        <v>0</v>
      </c>
      <c r="O522" s="80"/>
      <c r="P522" s="80"/>
      <c r="Q522" s="80"/>
      <c r="R522" s="80"/>
      <c r="S522" s="80"/>
      <c r="T522" s="80"/>
      <c r="U522" s="80"/>
      <c r="V522" s="80"/>
      <c r="W522" s="202" t="s">
        <v>513</v>
      </c>
      <c r="X522" s="203"/>
      <c r="Y522" s="34"/>
      <c r="Z522" s="34"/>
    </row>
    <row r="523">
      <c r="E523" s="131" t="b">
        <v>0</v>
      </c>
      <c r="F523" s="131" t="b">
        <v>0</v>
      </c>
      <c r="G523" s="131" t="b">
        <v>1</v>
      </c>
      <c r="H523" s="131" t="b">
        <v>0</v>
      </c>
      <c r="I523" s="38">
        <v>44245.0</v>
      </c>
      <c r="J523" s="38">
        <v>44246.0</v>
      </c>
      <c r="K523" s="28">
        <v>24.0</v>
      </c>
      <c r="L523" s="175"/>
      <c r="M523" s="169" t="s">
        <v>603</v>
      </c>
      <c r="N523" s="80" t="b">
        <v>0</v>
      </c>
      <c r="O523" s="80"/>
      <c r="P523" s="80"/>
      <c r="Q523" s="80"/>
      <c r="R523" s="80"/>
      <c r="S523" s="80"/>
      <c r="T523" s="80"/>
      <c r="U523" s="80"/>
      <c r="V523" s="80"/>
      <c r="W523" s="202" t="s">
        <v>513</v>
      </c>
      <c r="X523" s="203"/>
      <c r="Y523" s="34"/>
      <c r="Z523" s="34"/>
    </row>
    <row r="524">
      <c r="E524" s="131" t="b">
        <v>0</v>
      </c>
      <c r="F524" s="131" t="b">
        <v>0</v>
      </c>
      <c r="G524" s="131" t="b">
        <v>1</v>
      </c>
      <c r="H524" s="131" t="b">
        <v>0</v>
      </c>
      <c r="I524" s="38">
        <v>44225.0</v>
      </c>
      <c r="J524" s="38">
        <v>44226.0</v>
      </c>
      <c r="K524" s="28">
        <v>24.0</v>
      </c>
      <c r="L524" s="175"/>
      <c r="M524" s="169" t="s">
        <v>603</v>
      </c>
      <c r="N524" s="80" t="b">
        <v>0</v>
      </c>
      <c r="O524" s="80"/>
      <c r="P524" s="80"/>
      <c r="Q524" s="80"/>
      <c r="R524" s="80"/>
      <c r="S524" s="80"/>
      <c r="T524" s="80"/>
      <c r="U524" s="80"/>
      <c r="V524" s="80"/>
      <c r="W524" s="202" t="s">
        <v>513</v>
      </c>
      <c r="X524" s="203"/>
      <c r="Y524" s="34"/>
      <c r="Z524" s="34"/>
    </row>
    <row r="525">
      <c r="E525" s="131" t="b">
        <v>0</v>
      </c>
      <c r="F525" s="131" t="b">
        <v>0</v>
      </c>
      <c r="G525" s="131" t="b">
        <v>1</v>
      </c>
      <c r="H525" s="131" t="b">
        <v>0</v>
      </c>
      <c r="I525" s="38">
        <v>44225.0</v>
      </c>
      <c r="J525" s="38">
        <v>44227.0</v>
      </c>
      <c r="K525" s="28">
        <v>48.0</v>
      </c>
      <c r="L525" s="175"/>
      <c r="M525" s="169" t="s">
        <v>603</v>
      </c>
      <c r="N525" s="80" t="b">
        <v>0</v>
      </c>
      <c r="O525" s="80"/>
      <c r="P525" s="80"/>
      <c r="Q525" s="80"/>
      <c r="R525" s="80"/>
      <c r="S525" s="80"/>
      <c r="T525" s="80"/>
      <c r="U525" s="80"/>
      <c r="V525" s="80"/>
      <c r="W525" s="202" t="s">
        <v>513</v>
      </c>
      <c r="X525" s="203"/>
      <c r="Y525" s="34"/>
      <c r="Z525" s="34"/>
    </row>
    <row r="526">
      <c r="E526" s="131" t="b">
        <v>0</v>
      </c>
      <c r="F526" s="131" t="b">
        <v>0</v>
      </c>
      <c r="G526" s="131" t="b">
        <v>1</v>
      </c>
      <c r="H526" s="131" t="b">
        <v>0</v>
      </c>
      <c r="I526" s="38">
        <v>44219.0</v>
      </c>
      <c r="J526" s="38">
        <v>44233.0</v>
      </c>
      <c r="K526" s="28">
        <v>336.0</v>
      </c>
      <c r="L526" s="175"/>
      <c r="M526" s="169" t="s">
        <v>603</v>
      </c>
      <c r="N526" s="80" t="b">
        <v>0</v>
      </c>
      <c r="O526" s="80"/>
      <c r="P526" s="80"/>
      <c r="Q526" s="80"/>
      <c r="R526" s="80"/>
      <c r="S526" s="80"/>
      <c r="T526" s="80"/>
      <c r="U526" s="80"/>
      <c r="V526" s="80"/>
      <c r="W526" s="202" t="s">
        <v>513</v>
      </c>
      <c r="X526" s="203"/>
      <c r="Y526" s="34"/>
      <c r="Z526" s="34"/>
    </row>
    <row r="527">
      <c r="E527" s="131" t="b">
        <v>0</v>
      </c>
      <c r="F527" s="131" t="b">
        <v>0</v>
      </c>
      <c r="G527" s="131" t="b">
        <v>1</v>
      </c>
      <c r="H527" s="131" t="b">
        <v>0</v>
      </c>
      <c r="I527" s="38">
        <v>44195.0</v>
      </c>
      <c r="J527" s="38">
        <v>44201.0</v>
      </c>
      <c r="K527" s="28">
        <v>144.0</v>
      </c>
      <c r="L527" s="175"/>
      <c r="M527" s="169" t="s">
        <v>603</v>
      </c>
      <c r="N527" s="80" t="b">
        <v>0</v>
      </c>
      <c r="O527" s="80"/>
      <c r="P527" s="80"/>
      <c r="Q527" s="80"/>
      <c r="R527" s="80"/>
      <c r="S527" s="80"/>
      <c r="T527" s="80"/>
      <c r="U527" s="80"/>
      <c r="V527" s="80"/>
      <c r="W527" s="202" t="s">
        <v>513</v>
      </c>
      <c r="X527" s="203"/>
      <c r="Y527" s="34"/>
      <c r="Z527" s="34"/>
    </row>
    <row r="528">
      <c r="E528" s="131" t="b">
        <v>0</v>
      </c>
      <c r="F528" s="131" t="b">
        <v>0</v>
      </c>
      <c r="G528" s="131" t="b">
        <v>1</v>
      </c>
      <c r="H528" s="131" t="b">
        <v>0</v>
      </c>
      <c r="I528" s="38">
        <v>44190.0</v>
      </c>
      <c r="J528" s="38">
        <v>44191.0</v>
      </c>
      <c r="K528" s="28">
        <v>24.0</v>
      </c>
      <c r="L528" s="175"/>
      <c r="M528" s="169" t="s">
        <v>603</v>
      </c>
      <c r="N528" s="80" t="b">
        <v>0</v>
      </c>
      <c r="O528" s="80"/>
      <c r="P528" s="80"/>
      <c r="Q528" s="80"/>
      <c r="R528" s="80"/>
      <c r="S528" s="80"/>
      <c r="T528" s="80"/>
      <c r="U528" s="80"/>
      <c r="V528" s="80"/>
      <c r="W528" s="202" t="s">
        <v>513</v>
      </c>
      <c r="X528" s="203"/>
      <c r="Y528" s="34"/>
      <c r="Z528" s="34"/>
    </row>
    <row r="529">
      <c r="E529" s="131" t="b">
        <v>0</v>
      </c>
      <c r="F529" s="131" t="b">
        <v>1</v>
      </c>
      <c r="G529" s="131" t="b">
        <v>0</v>
      </c>
      <c r="H529" s="131" t="b">
        <v>0</v>
      </c>
      <c r="I529" s="38">
        <v>44183.0</v>
      </c>
      <c r="J529" s="38">
        <v>44184.0</v>
      </c>
      <c r="K529" s="28">
        <v>24.0</v>
      </c>
      <c r="L529" s="175"/>
      <c r="M529" s="169" t="s">
        <v>603</v>
      </c>
      <c r="N529" s="80" t="b">
        <v>0</v>
      </c>
      <c r="O529" s="80"/>
      <c r="P529" s="80"/>
      <c r="Q529" s="80"/>
      <c r="R529" s="80"/>
      <c r="S529" s="80"/>
      <c r="T529" s="80"/>
      <c r="U529" s="80"/>
      <c r="V529" s="80"/>
      <c r="W529" s="202" t="s">
        <v>513</v>
      </c>
      <c r="X529" s="203"/>
      <c r="Y529" s="34"/>
      <c r="Z529" s="34"/>
    </row>
    <row r="530">
      <c r="E530" s="131" t="b">
        <v>0</v>
      </c>
      <c r="F530" s="131" t="b">
        <v>1</v>
      </c>
      <c r="G530" s="131" t="b">
        <v>0</v>
      </c>
      <c r="H530" s="131" t="b">
        <v>0</v>
      </c>
      <c r="I530" s="38">
        <v>44180.0</v>
      </c>
      <c r="J530" s="38">
        <v>44181.0</v>
      </c>
      <c r="K530" s="28">
        <v>24.0</v>
      </c>
      <c r="L530" s="175"/>
      <c r="M530" s="169" t="s">
        <v>603</v>
      </c>
      <c r="N530" s="80" t="b">
        <v>0</v>
      </c>
      <c r="O530" s="80"/>
      <c r="P530" s="80"/>
      <c r="Q530" s="80"/>
      <c r="R530" s="80"/>
      <c r="S530" s="80"/>
      <c r="T530" s="80"/>
      <c r="U530" s="80"/>
      <c r="V530" s="80"/>
      <c r="W530" s="202" t="s">
        <v>513</v>
      </c>
      <c r="X530" s="203"/>
      <c r="Y530" s="34"/>
      <c r="Z530" s="34"/>
    </row>
    <row r="531">
      <c r="E531" s="131" t="b">
        <v>0</v>
      </c>
      <c r="F531" s="131" t="b">
        <v>1</v>
      </c>
      <c r="G531" s="131" t="b">
        <v>0</v>
      </c>
      <c r="H531" s="131" t="b">
        <v>0</v>
      </c>
      <c r="I531" s="38">
        <v>44178.0</v>
      </c>
      <c r="J531" s="38">
        <v>44178.0</v>
      </c>
      <c r="K531" s="28">
        <v>24.0</v>
      </c>
      <c r="L531" s="175"/>
      <c r="M531" s="169" t="s">
        <v>603</v>
      </c>
      <c r="N531" s="80" t="b">
        <v>0</v>
      </c>
      <c r="O531" s="80"/>
      <c r="P531" s="80"/>
      <c r="Q531" s="80"/>
      <c r="R531" s="80"/>
      <c r="S531" s="80"/>
      <c r="T531" s="80"/>
      <c r="U531" s="80"/>
      <c r="V531" s="80"/>
      <c r="W531" s="202" t="s">
        <v>513</v>
      </c>
      <c r="X531" s="203"/>
      <c r="Y531" s="34"/>
      <c r="Z531" s="34"/>
    </row>
    <row r="532">
      <c r="E532" s="131" t="b">
        <v>0</v>
      </c>
      <c r="F532" s="131" t="b">
        <v>1</v>
      </c>
      <c r="G532" s="131" t="b">
        <v>0</v>
      </c>
      <c r="H532" s="131" t="b">
        <v>0</v>
      </c>
      <c r="I532" s="38">
        <v>44177.0</v>
      </c>
      <c r="J532" s="38">
        <v>44188.0</v>
      </c>
      <c r="K532" s="28">
        <v>264.0</v>
      </c>
      <c r="L532" s="175"/>
      <c r="M532" s="169" t="s">
        <v>603</v>
      </c>
      <c r="N532" s="80" t="b">
        <v>0</v>
      </c>
      <c r="O532" s="80"/>
      <c r="P532" s="80"/>
      <c r="Q532" s="80"/>
      <c r="R532" s="80"/>
      <c r="S532" s="80"/>
      <c r="T532" s="80"/>
      <c r="U532" s="80"/>
      <c r="V532" s="80"/>
      <c r="W532" s="202" t="s">
        <v>513</v>
      </c>
      <c r="X532" s="203"/>
      <c r="Y532" s="34"/>
      <c r="Z532" s="34"/>
    </row>
    <row r="533">
      <c r="E533" s="131" t="b">
        <v>0</v>
      </c>
      <c r="F533" s="131" t="b">
        <v>0</v>
      </c>
      <c r="G533" s="131" t="b">
        <v>1</v>
      </c>
      <c r="H533" s="131" t="b">
        <v>0</v>
      </c>
      <c r="I533" s="38">
        <v>44174.0</v>
      </c>
      <c r="J533" s="38">
        <v>44175.0</v>
      </c>
      <c r="K533" s="28">
        <v>24.0</v>
      </c>
      <c r="L533" s="175"/>
      <c r="M533" s="169" t="s">
        <v>603</v>
      </c>
      <c r="N533" s="80" t="b">
        <v>0</v>
      </c>
      <c r="O533" s="80"/>
      <c r="P533" s="80"/>
      <c r="Q533" s="80"/>
      <c r="R533" s="80"/>
      <c r="S533" s="80"/>
      <c r="T533" s="80"/>
      <c r="U533" s="80"/>
      <c r="V533" s="80"/>
      <c r="W533" s="202" t="s">
        <v>513</v>
      </c>
      <c r="X533" s="203"/>
      <c r="Y533" s="34"/>
      <c r="Z533" s="34"/>
    </row>
    <row r="534">
      <c r="E534" s="131" t="b">
        <v>0</v>
      </c>
      <c r="F534" s="131" t="b">
        <v>1</v>
      </c>
      <c r="G534" s="131" t="b">
        <v>0</v>
      </c>
      <c r="H534" s="131" t="b">
        <v>0</v>
      </c>
      <c r="I534" s="38">
        <v>44172.0</v>
      </c>
      <c r="J534" s="38">
        <v>44172.0</v>
      </c>
      <c r="K534" s="28">
        <v>24.0</v>
      </c>
      <c r="L534" s="175"/>
      <c r="M534" s="169" t="s">
        <v>603</v>
      </c>
      <c r="N534" s="80" t="b">
        <v>0</v>
      </c>
      <c r="O534" s="80"/>
      <c r="P534" s="80"/>
      <c r="Q534" s="80"/>
      <c r="R534" s="80"/>
      <c r="S534" s="80"/>
      <c r="T534" s="80"/>
      <c r="U534" s="80"/>
      <c r="V534" s="80"/>
      <c r="W534" s="202" t="s">
        <v>513</v>
      </c>
      <c r="X534" s="203"/>
      <c r="Y534" s="34"/>
      <c r="Z534" s="34"/>
    </row>
    <row r="535">
      <c r="E535" s="131" t="b">
        <v>0</v>
      </c>
      <c r="F535" s="131" t="b">
        <v>1</v>
      </c>
      <c r="G535" s="131" t="b">
        <v>0</v>
      </c>
      <c r="H535" s="131" t="b">
        <v>0</v>
      </c>
      <c r="I535" s="38">
        <v>44168.0</v>
      </c>
      <c r="J535" s="38">
        <v>44169.0</v>
      </c>
      <c r="K535" s="28">
        <v>24.0</v>
      </c>
      <c r="L535" s="175"/>
      <c r="M535" s="169" t="s">
        <v>603</v>
      </c>
      <c r="N535" s="80" t="b">
        <v>0</v>
      </c>
      <c r="O535" s="80"/>
      <c r="P535" s="80"/>
      <c r="Q535" s="80"/>
      <c r="R535" s="80"/>
      <c r="S535" s="80"/>
      <c r="T535" s="80"/>
      <c r="U535" s="80"/>
      <c r="V535" s="80"/>
      <c r="W535" s="202" t="s">
        <v>513</v>
      </c>
      <c r="X535" s="203"/>
      <c r="Y535" s="34"/>
      <c r="Z535" s="34"/>
    </row>
    <row r="536">
      <c r="E536" s="131" t="b">
        <v>0</v>
      </c>
      <c r="F536" s="131" t="b">
        <v>1</v>
      </c>
      <c r="G536" s="131" t="b">
        <v>0</v>
      </c>
      <c r="H536" s="131" t="b">
        <v>0</v>
      </c>
      <c r="I536" s="38">
        <v>44166.0</v>
      </c>
      <c r="J536" s="38">
        <v>44166.0</v>
      </c>
      <c r="K536" s="28">
        <v>24.0</v>
      </c>
      <c r="L536" s="175"/>
      <c r="M536" s="169" t="s">
        <v>603</v>
      </c>
      <c r="N536" s="80" t="b">
        <v>0</v>
      </c>
      <c r="O536" s="80"/>
      <c r="P536" s="80"/>
      <c r="Q536" s="80"/>
      <c r="R536" s="80"/>
      <c r="S536" s="80"/>
      <c r="T536" s="80"/>
      <c r="U536" s="80"/>
      <c r="V536" s="80"/>
      <c r="W536" s="202" t="s">
        <v>513</v>
      </c>
      <c r="X536" s="203"/>
      <c r="Y536" s="34"/>
      <c r="Z536" s="34"/>
    </row>
    <row r="537">
      <c r="E537" s="131" t="b">
        <v>0</v>
      </c>
      <c r="F537" s="131" t="b">
        <v>1</v>
      </c>
      <c r="G537" s="131" t="b">
        <v>0</v>
      </c>
      <c r="H537" s="131" t="b">
        <v>0</v>
      </c>
      <c r="I537" s="38">
        <v>44165.0</v>
      </c>
      <c r="J537" s="38">
        <v>44166.0</v>
      </c>
      <c r="K537" s="28">
        <v>24.0</v>
      </c>
      <c r="L537" s="175"/>
      <c r="M537" s="169" t="s">
        <v>603</v>
      </c>
      <c r="N537" s="80" t="b">
        <v>0</v>
      </c>
      <c r="O537" s="80"/>
      <c r="P537" s="80"/>
      <c r="Q537" s="80"/>
      <c r="R537" s="80"/>
      <c r="S537" s="80"/>
      <c r="T537" s="80"/>
      <c r="U537" s="80"/>
      <c r="V537" s="80"/>
      <c r="W537" s="202" t="s">
        <v>513</v>
      </c>
      <c r="X537" s="203"/>
      <c r="Y537" s="34"/>
      <c r="Z537" s="34"/>
    </row>
    <row r="538">
      <c r="E538" s="131" t="b">
        <v>0</v>
      </c>
      <c r="F538" s="131" t="b">
        <v>1</v>
      </c>
      <c r="G538" s="131" t="b">
        <v>0</v>
      </c>
      <c r="H538" s="131" t="b">
        <v>0</v>
      </c>
      <c r="I538" s="38">
        <v>44147.0</v>
      </c>
      <c r="J538" s="38">
        <v>44161.0</v>
      </c>
      <c r="K538" s="28">
        <v>336.0</v>
      </c>
      <c r="L538" s="175"/>
      <c r="M538" s="169" t="s">
        <v>603</v>
      </c>
      <c r="N538" s="80" t="b">
        <v>0</v>
      </c>
      <c r="O538" s="80"/>
      <c r="P538" s="80"/>
      <c r="Q538" s="80"/>
      <c r="R538" s="80"/>
      <c r="S538" s="80"/>
      <c r="T538" s="80"/>
      <c r="U538" s="80"/>
      <c r="V538" s="80"/>
      <c r="W538" s="202" t="s">
        <v>513</v>
      </c>
      <c r="X538" s="203"/>
      <c r="Y538" s="34"/>
      <c r="Z538" s="34"/>
    </row>
    <row r="539">
      <c r="E539" s="131" t="b">
        <v>0</v>
      </c>
      <c r="F539" s="131" t="b">
        <v>0</v>
      </c>
      <c r="G539" s="131" t="b">
        <v>1</v>
      </c>
      <c r="H539" s="131" t="b">
        <v>0</v>
      </c>
      <c r="I539" s="38">
        <v>44145.0</v>
      </c>
      <c r="J539" s="38">
        <v>44145.0</v>
      </c>
      <c r="K539" s="28">
        <v>24.0</v>
      </c>
      <c r="L539" s="175"/>
      <c r="M539" s="169" t="s">
        <v>603</v>
      </c>
      <c r="N539" s="80" t="b">
        <v>0</v>
      </c>
      <c r="O539" s="80"/>
      <c r="P539" s="80"/>
      <c r="Q539" s="80"/>
      <c r="R539" s="80"/>
      <c r="S539" s="80"/>
      <c r="T539" s="80"/>
      <c r="U539" s="80"/>
      <c r="V539" s="80"/>
      <c r="W539" s="202" t="s">
        <v>513</v>
      </c>
      <c r="X539" s="203"/>
      <c r="Y539" s="34"/>
      <c r="Z539" s="34"/>
    </row>
    <row r="540">
      <c r="E540" s="131" t="b">
        <v>0</v>
      </c>
      <c r="F540" s="131" t="b">
        <v>0</v>
      </c>
      <c r="G540" s="131" t="b">
        <v>1</v>
      </c>
      <c r="H540" s="131" t="b">
        <v>0</v>
      </c>
      <c r="I540" s="38">
        <v>44140.0</v>
      </c>
      <c r="J540" s="38">
        <v>44141.0</v>
      </c>
      <c r="K540" s="28">
        <v>24.0</v>
      </c>
      <c r="L540" s="175"/>
      <c r="M540" s="169" t="s">
        <v>603</v>
      </c>
      <c r="N540" s="80" t="b">
        <v>0</v>
      </c>
      <c r="O540" s="80"/>
      <c r="P540" s="80"/>
      <c r="Q540" s="80"/>
      <c r="R540" s="80"/>
      <c r="S540" s="80"/>
      <c r="T540" s="80"/>
      <c r="U540" s="80"/>
      <c r="V540" s="80"/>
      <c r="W540" s="202" t="s">
        <v>513</v>
      </c>
      <c r="X540" s="203"/>
      <c r="Y540" s="34"/>
      <c r="Z540" s="34"/>
    </row>
    <row r="541">
      <c r="E541" s="131" t="b">
        <v>0</v>
      </c>
      <c r="F541" s="131" t="b">
        <v>0</v>
      </c>
      <c r="G541" s="131" t="b">
        <v>1</v>
      </c>
      <c r="H541" s="131" t="b">
        <v>0</v>
      </c>
      <c r="I541" s="38">
        <v>44136.0</v>
      </c>
      <c r="J541" s="38">
        <v>44137.0</v>
      </c>
      <c r="K541" s="28">
        <v>24.0</v>
      </c>
      <c r="L541" s="175"/>
      <c r="M541" s="169" t="s">
        <v>603</v>
      </c>
      <c r="N541" s="80" t="b">
        <v>0</v>
      </c>
      <c r="O541" s="80"/>
      <c r="P541" s="80"/>
      <c r="Q541" s="80"/>
      <c r="R541" s="80"/>
      <c r="S541" s="80"/>
      <c r="T541" s="80"/>
      <c r="U541" s="80"/>
      <c r="V541" s="80"/>
      <c r="W541" s="202" t="s">
        <v>513</v>
      </c>
      <c r="X541" s="203"/>
      <c r="Y541" s="34"/>
      <c r="Z541" s="34"/>
    </row>
    <row r="542">
      <c r="E542" s="131" t="b">
        <v>0</v>
      </c>
      <c r="F542" s="131" t="b">
        <v>0</v>
      </c>
      <c r="G542" s="131" t="b">
        <v>1</v>
      </c>
      <c r="H542" s="131" t="b">
        <v>0</v>
      </c>
      <c r="I542" s="38">
        <v>44130.0</v>
      </c>
      <c r="J542" s="38">
        <v>44130.0</v>
      </c>
      <c r="K542" s="28">
        <v>24.0</v>
      </c>
      <c r="L542" s="175"/>
      <c r="M542" s="169" t="s">
        <v>603</v>
      </c>
      <c r="N542" s="80" t="b">
        <v>0</v>
      </c>
      <c r="O542" s="80"/>
      <c r="P542" s="80"/>
      <c r="Q542" s="80"/>
      <c r="R542" s="80"/>
      <c r="S542" s="80"/>
      <c r="T542" s="80"/>
      <c r="U542" s="80"/>
      <c r="V542" s="80"/>
      <c r="W542" s="202" t="s">
        <v>513</v>
      </c>
      <c r="X542" s="203"/>
      <c r="Y542" s="34"/>
      <c r="Z542" s="34"/>
    </row>
    <row r="543">
      <c r="E543" s="131" t="b">
        <v>0</v>
      </c>
      <c r="F543" s="131" t="b">
        <v>0</v>
      </c>
      <c r="G543" s="131" t="b">
        <v>1</v>
      </c>
      <c r="H543" s="131" t="b">
        <v>0</v>
      </c>
      <c r="I543" s="38">
        <v>44124.0</v>
      </c>
      <c r="J543" s="38">
        <v>44125.0</v>
      </c>
      <c r="K543" s="28">
        <v>24.0</v>
      </c>
      <c r="L543" s="175"/>
      <c r="M543" s="169" t="s">
        <v>603</v>
      </c>
      <c r="N543" s="80" t="b">
        <v>0</v>
      </c>
      <c r="O543" s="80"/>
      <c r="P543" s="80"/>
      <c r="Q543" s="80"/>
      <c r="R543" s="80"/>
      <c r="S543" s="80"/>
      <c r="T543" s="80"/>
      <c r="U543" s="80"/>
      <c r="V543" s="80"/>
      <c r="W543" s="202" t="s">
        <v>513</v>
      </c>
      <c r="X543" s="203"/>
      <c r="Y543" s="34"/>
      <c r="Z543" s="34"/>
    </row>
    <row r="544">
      <c r="E544" s="131" t="b">
        <v>0</v>
      </c>
      <c r="F544" s="131" t="b">
        <v>0</v>
      </c>
      <c r="G544" s="131" t="b">
        <v>1</v>
      </c>
      <c r="H544" s="131" t="b">
        <v>0</v>
      </c>
      <c r="I544" s="38">
        <v>44123.0</v>
      </c>
      <c r="J544" s="38">
        <v>44124.0</v>
      </c>
      <c r="K544" s="28">
        <v>24.0</v>
      </c>
      <c r="L544" s="175"/>
      <c r="M544" s="169" t="s">
        <v>603</v>
      </c>
      <c r="N544" s="80" t="b">
        <v>0</v>
      </c>
      <c r="O544" s="80"/>
      <c r="P544" s="80"/>
      <c r="Q544" s="80"/>
      <c r="R544" s="80"/>
      <c r="S544" s="80"/>
      <c r="T544" s="80"/>
      <c r="U544" s="80"/>
      <c r="V544" s="80"/>
      <c r="W544" s="202" t="s">
        <v>513</v>
      </c>
      <c r="X544" s="203"/>
      <c r="Y544" s="34"/>
      <c r="Z544" s="34"/>
    </row>
    <row r="545">
      <c r="E545" s="131" t="b">
        <v>0</v>
      </c>
      <c r="F545" s="131" t="b">
        <v>0</v>
      </c>
      <c r="G545" s="131" t="b">
        <v>1</v>
      </c>
      <c r="H545" s="131" t="b">
        <v>0</v>
      </c>
      <c r="I545" s="179">
        <v>44120.0</v>
      </c>
      <c r="J545" s="179">
        <v>44120.0</v>
      </c>
      <c r="K545" s="28">
        <v>24.0</v>
      </c>
      <c r="L545" s="175"/>
      <c r="M545" s="169" t="s">
        <v>603</v>
      </c>
      <c r="N545" s="80" t="b">
        <v>0</v>
      </c>
      <c r="O545" s="80"/>
      <c r="P545" s="80"/>
      <c r="Q545" s="80"/>
      <c r="R545" s="80"/>
      <c r="S545" s="80"/>
      <c r="T545" s="80"/>
      <c r="U545" s="80"/>
      <c r="V545" s="80"/>
      <c r="W545" s="202" t="s">
        <v>513</v>
      </c>
      <c r="X545" s="203"/>
      <c r="Y545" s="34"/>
      <c r="Z545" s="34"/>
    </row>
    <row r="546">
      <c r="E546" s="131" t="b">
        <v>0</v>
      </c>
      <c r="F546" s="131" t="b">
        <v>0</v>
      </c>
      <c r="G546" s="131" t="b">
        <v>1</v>
      </c>
      <c r="H546" s="131" t="b">
        <v>0</v>
      </c>
      <c r="I546" s="38">
        <v>44118.0</v>
      </c>
      <c r="J546" s="38">
        <v>44118.0</v>
      </c>
      <c r="K546" s="28">
        <v>24.0</v>
      </c>
      <c r="L546" s="175"/>
      <c r="M546" s="169" t="s">
        <v>603</v>
      </c>
      <c r="N546" s="80" t="b">
        <v>0</v>
      </c>
      <c r="O546" s="80"/>
      <c r="P546" s="80"/>
      <c r="Q546" s="80"/>
      <c r="R546" s="80"/>
      <c r="S546" s="80"/>
      <c r="T546" s="80"/>
      <c r="U546" s="80"/>
      <c r="V546" s="80"/>
      <c r="W546" s="202" t="s">
        <v>513</v>
      </c>
      <c r="X546" s="203"/>
      <c r="Y546" s="34"/>
      <c r="Z546" s="34"/>
    </row>
    <row r="547">
      <c r="E547" s="131" t="b">
        <v>0</v>
      </c>
      <c r="F547" s="131" t="b">
        <v>0</v>
      </c>
      <c r="G547" s="131" t="b">
        <v>1</v>
      </c>
      <c r="H547" s="131" t="b">
        <v>0</v>
      </c>
      <c r="I547" s="38">
        <v>44114.0</v>
      </c>
      <c r="J547" s="38">
        <v>44114.0</v>
      </c>
      <c r="K547" s="28">
        <v>24.0</v>
      </c>
      <c r="L547" s="175"/>
      <c r="M547" s="169" t="s">
        <v>603</v>
      </c>
      <c r="N547" s="80" t="b">
        <v>0</v>
      </c>
      <c r="O547" s="80"/>
      <c r="P547" s="80"/>
      <c r="Q547" s="80"/>
      <c r="R547" s="80"/>
      <c r="S547" s="80"/>
      <c r="T547" s="80"/>
      <c r="U547" s="80"/>
      <c r="V547" s="80"/>
      <c r="W547" s="202" t="s">
        <v>513</v>
      </c>
      <c r="X547" s="203"/>
      <c r="Y547" s="34"/>
      <c r="Z547" s="34"/>
    </row>
    <row r="548">
      <c r="E548" s="131" t="b">
        <v>0</v>
      </c>
      <c r="F548" s="131" t="b">
        <v>0</v>
      </c>
      <c r="G548" s="131" t="b">
        <v>1</v>
      </c>
      <c r="H548" s="131" t="b">
        <v>0</v>
      </c>
      <c r="I548" s="38">
        <v>44114.0</v>
      </c>
      <c r="J548" s="38">
        <v>44115.0</v>
      </c>
      <c r="K548" s="28">
        <v>24.0</v>
      </c>
      <c r="L548" s="175"/>
      <c r="M548" s="169" t="s">
        <v>603</v>
      </c>
      <c r="N548" s="80" t="b">
        <v>0</v>
      </c>
      <c r="O548" s="80"/>
      <c r="P548" s="80"/>
      <c r="Q548" s="80"/>
      <c r="R548" s="80"/>
      <c r="S548" s="80"/>
      <c r="T548" s="80"/>
      <c r="U548" s="80"/>
      <c r="V548" s="80"/>
      <c r="W548" s="202" t="s">
        <v>513</v>
      </c>
      <c r="X548" s="203"/>
      <c r="Y548" s="34"/>
      <c r="Z548" s="34"/>
    </row>
    <row r="549">
      <c r="E549" s="131" t="b">
        <v>0</v>
      </c>
      <c r="F549" s="131" t="b">
        <v>0</v>
      </c>
      <c r="G549" s="131" t="b">
        <v>1</v>
      </c>
      <c r="H549" s="131" t="b">
        <v>0</v>
      </c>
      <c r="I549" s="38">
        <v>44110.0</v>
      </c>
      <c r="J549" s="38">
        <v>44111.0</v>
      </c>
      <c r="K549" s="28">
        <v>24.0</v>
      </c>
      <c r="L549" s="175"/>
      <c r="M549" s="169" t="s">
        <v>603</v>
      </c>
      <c r="N549" s="80" t="b">
        <v>0</v>
      </c>
      <c r="O549" s="80"/>
      <c r="P549" s="80"/>
      <c r="Q549" s="80"/>
      <c r="R549" s="80"/>
      <c r="S549" s="80"/>
      <c r="T549" s="80"/>
      <c r="U549" s="80"/>
      <c r="V549" s="80"/>
      <c r="W549" s="202" t="s">
        <v>513</v>
      </c>
      <c r="X549" s="203"/>
      <c r="Y549" s="34"/>
      <c r="Z549" s="34"/>
    </row>
    <row r="550">
      <c r="E550" s="131" t="b">
        <v>0</v>
      </c>
      <c r="F550" s="131" t="b">
        <v>0</v>
      </c>
      <c r="G550" s="131" t="b">
        <v>1</v>
      </c>
      <c r="H550" s="131" t="b">
        <v>0</v>
      </c>
      <c r="I550" s="38">
        <v>44101.0</v>
      </c>
      <c r="J550" s="38">
        <v>44102.0</v>
      </c>
      <c r="K550" s="28">
        <v>24.0</v>
      </c>
      <c r="L550" s="175"/>
      <c r="M550" s="169" t="s">
        <v>603</v>
      </c>
      <c r="N550" s="80" t="b">
        <v>0</v>
      </c>
      <c r="O550" s="80"/>
      <c r="P550" s="80"/>
      <c r="Q550" s="80"/>
      <c r="R550" s="80"/>
      <c r="S550" s="80"/>
      <c r="T550" s="80"/>
      <c r="U550" s="80"/>
      <c r="V550" s="80"/>
      <c r="W550" s="202" t="s">
        <v>513</v>
      </c>
      <c r="X550" s="203"/>
      <c r="Y550" s="34"/>
      <c r="Z550" s="34"/>
    </row>
    <row r="551">
      <c r="E551" s="131" t="b">
        <v>0</v>
      </c>
      <c r="F551" s="131" t="b">
        <v>0</v>
      </c>
      <c r="G551" s="131" t="b">
        <v>1</v>
      </c>
      <c r="H551" s="131" t="b">
        <v>0</v>
      </c>
      <c r="I551" s="38">
        <v>44095.0</v>
      </c>
      <c r="J551" s="38">
        <v>44096.0</v>
      </c>
      <c r="K551" s="28">
        <v>24.0</v>
      </c>
      <c r="L551" s="175"/>
      <c r="M551" s="169" t="s">
        <v>603</v>
      </c>
      <c r="N551" s="80" t="b">
        <v>0</v>
      </c>
      <c r="O551" s="80"/>
      <c r="P551" s="80"/>
      <c r="Q551" s="80"/>
      <c r="R551" s="80"/>
      <c r="S551" s="80"/>
      <c r="T551" s="80"/>
      <c r="U551" s="80"/>
      <c r="V551" s="80"/>
      <c r="W551" s="202" t="s">
        <v>513</v>
      </c>
      <c r="X551" s="203"/>
      <c r="Y551" s="34"/>
      <c r="Z551" s="34"/>
    </row>
    <row r="552">
      <c r="E552" s="131" t="b">
        <v>1</v>
      </c>
      <c r="F552" s="131" t="b">
        <v>0</v>
      </c>
      <c r="G552" s="131" t="b">
        <v>0</v>
      </c>
      <c r="H552" s="131" t="b">
        <v>0</v>
      </c>
      <c r="I552" s="38">
        <v>44090.0</v>
      </c>
      <c r="J552" s="38">
        <v>44093.0</v>
      </c>
      <c r="K552" s="28">
        <v>72.0</v>
      </c>
      <c r="L552" s="175"/>
      <c r="M552" s="169" t="s">
        <v>603</v>
      </c>
      <c r="N552" s="80" t="b">
        <v>0</v>
      </c>
      <c r="O552" s="80"/>
      <c r="P552" s="80"/>
      <c r="Q552" s="80"/>
      <c r="R552" s="80"/>
      <c r="S552" s="80"/>
      <c r="T552" s="80"/>
      <c r="U552" s="80"/>
      <c r="V552" s="80"/>
      <c r="W552" s="202" t="s">
        <v>513</v>
      </c>
      <c r="X552" s="203"/>
      <c r="Y552" s="34"/>
      <c r="Z552" s="34"/>
    </row>
    <row r="553">
      <c r="E553" s="131" t="b">
        <v>0</v>
      </c>
      <c r="F553" s="131" t="b">
        <v>0</v>
      </c>
      <c r="G553" s="131" t="b">
        <v>1</v>
      </c>
      <c r="H553" s="131" t="b">
        <v>0</v>
      </c>
      <c r="I553" s="38">
        <v>44089.0</v>
      </c>
      <c r="J553" s="38">
        <v>44089.0</v>
      </c>
      <c r="K553" s="28">
        <v>24.0</v>
      </c>
      <c r="L553" s="175"/>
      <c r="M553" s="169" t="s">
        <v>603</v>
      </c>
      <c r="N553" s="80" t="b">
        <v>0</v>
      </c>
      <c r="O553" s="80"/>
      <c r="P553" s="80"/>
      <c r="Q553" s="80"/>
      <c r="R553" s="80"/>
      <c r="S553" s="80"/>
      <c r="T553" s="80"/>
      <c r="U553" s="80"/>
      <c r="V553" s="80"/>
      <c r="W553" s="202" t="s">
        <v>513</v>
      </c>
      <c r="X553" s="203"/>
      <c r="Y553" s="34"/>
      <c r="Z553" s="34"/>
    </row>
    <row r="554">
      <c r="E554" s="131" t="b">
        <v>0</v>
      </c>
      <c r="F554" s="131" t="b">
        <v>0</v>
      </c>
      <c r="G554" s="131" t="b">
        <v>1</v>
      </c>
      <c r="H554" s="131" t="b">
        <v>0</v>
      </c>
      <c r="I554" s="38">
        <v>44087.0</v>
      </c>
      <c r="J554" s="38">
        <v>44088.0</v>
      </c>
      <c r="K554" s="28">
        <v>24.0</v>
      </c>
      <c r="L554" s="175"/>
      <c r="M554" s="169" t="s">
        <v>603</v>
      </c>
      <c r="N554" s="80" t="b">
        <v>0</v>
      </c>
      <c r="O554" s="80"/>
      <c r="P554" s="80"/>
      <c r="Q554" s="80"/>
      <c r="R554" s="80"/>
      <c r="S554" s="80"/>
      <c r="T554" s="80"/>
      <c r="U554" s="80"/>
      <c r="V554" s="80"/>
      <c r="W554" s="202" t="s">
        <v>513</v>
      </c>
      <c r="X554" s="203"/>
      <c r="Y554" s="34"/>
      <c r="Z554" s="34"/>
    </row>
    <row r="555">
      <c r="E555" s="131" t="b">
        <v>0</v>
      </c>
      <c r="F555" s="131" t="b">
        <v>0</v>
      </c>
      <c r="G555" s="131" t="b">
        <v>1</v>
      </c>
      <c r="H555" s="131" t="b">
        <v>0</v>
      </c>
      <c r="I555" s="38">
        <v>44078.0</v>
      </c>
      <c r="J555" s="38">
        <v>44079.0</v>
      </c>
      <c r="K555" s="28">
        <v>24.0</v>
      </c>
      <c r="L555" s="175"/>
      <c r="M555" s="169" t="s">
        <v>603</v>
      </c>
      <c r="N555" s="80" t="b">
        <v>0</v>
      </c>
      <c r="O555" s="80"/>
      <c r="P555" s="80"/>
      <c r="Q555" s="80"/>
      <c r="R555" s="80"/>
      <c r="S555" s="80"/>
      <c r="T555" s="80"/>
      <c r="U555" s="80"/>
      <c r="V555" s="80"/>
      <c r="W555" s="202" t="s">
        <v>513</v>
      </c>
      <c r="X555" s="203"/>
      <c r="Y555" s="34"/>
      <c r="Z555" s="34"/>
    </row>
    <row r="556">
      <c r="E556" s="131" t="b">
        <v>0</v>
      </c>
      <c r="F556" s="131" t="b">
        <v>0</v>
      </c>
      <c r="G556" s="131" t="b">
        <v>1</v>
      </c>
      <c r="H556" s="131" t="b">
        <v>0</v>
      </c>
      <c r="I556" s="38">
        <v>44073.0</v>
      </c>
      <c r="J556" s="38">
        <v>44074.0</v>
      </c>
      <c r="K556" s="28">
        <v>24.0</v>
      </c>
      <c r="L556" s="175"/>
      <c r="M556" s="169" t="s">
        <v>603</v>
      </c>
      <c r="N556" s="80" t="b">
        <v>0</v>
      </c>
      <c r="O556" s="80"/>
      <c r="P556" s="80"/>
      <c r="Q556" s="80"/>
      <c r="R556" s="80"/>
      <c r="S556" s="80"/>
      <c r="T556" s="80"/>
      <c r="U556" s="80"/>
      <c r="V556" s="80"/>
      <c r="W556" s="202" t="s">
        <v>513</v>
      </c>
      <c r="X556" s="203"/>
      <c r="Y556" s="34"/>
      <c r="Z556" s="34"/>
    </row>
    <row r="557">
      <c r="E557" s="131" t="b">
        <v>0</v>
      </c>
      <c r="F557" s="131" t="b">
        <v>0</v>
      </c>
      <c r="G557" s="131" t="b">
        <v>1</v>
      </c>
      <c r="H557" s="131" t="b">
        <v>0</v>
      </c>
      <c r="I557" s="38">
        <v>44072.0</v>
      </c>
      <c r="J557" s="38">
        <v>44073.0</v>
      </c>
      <c r="K557" s="28">
        <v>24.0</v>
      </c>
      <c r="L557" s="175"/>
      <c r="M557" s="169" t="s">
        <v>603</v>
      </c>
      <c r="N557" s="80" t="b">
        <v>0</v>
      </c>
      <c r="O557" s="80"/>
      <c r="P557" s="80"/>
      <c r="Q557" s="80"/>
      <c r="R557" s="80"/>
      <c r="S557" s="80"/>
      <c r="T557" s="80"/>
      <c r="U557" s="80"/>
      <c r="V557" s="80"/>
      <c r="W557" s="202" t="s">
        <v>513</v>
      </c>
      <c r="X557" s="203"/>
      <c r="Y557" s="34"/>
      <c r="Z557" s="34"/>
    </row>
    <row r="558">
      <c r="E558" s="131" t="b">
        <v>0</v>
      </c>
      <c r="F558" s="131" t="b">
        <v>0</v>
      </c>
      <c r="G558" s="131" t="b">
        <v>1</v>
      </c>
      <c r="H558" s="131" t="b">
        <v>0</v>
      </c>
      <c r="I558" s="38">
        <v>44071.0</v>
      </c>
      <c r="J558" s="38">
        <v>44072.0</v>
      </c>
      <c r="K558" s="28">
        <v>24.0</v>
      </c>
      <c r="L558" s="175"/>
      <c r="M558" s="169" t="s">
        <v>603</v>
      </c>
      <c r="N558" s="80" t="b">
        <v>0</v>
      </c>
      <c r="O558" s="80"/>
      <c r="P558" s="80"/>
      <c r="Q558" s="80"/>
      <c r="R558" s="80"/>
      <c r="S558" s="80"/>
      <c r="T558" s="80"/>
      <c r="U558" s="80"/>
      <c r="V558" s="80"/>
      <c r="W558" s="202" t="s">
        <v>513</v>
      </c>
      <c r="X558" s="203"/>
      <c r="Y558" s="34"/>
      <c r="Z558" s="34"/>
    </row>
    <row r="559">
      <c r="E559" s="131" t="b">
        <v>0</v>
      </c>
      <c r="F559" s="131" t="b">
        <v>0</v>
      </c>
      <c r="G559" s="131" t="b">
        <v>1</v>
      </c>
      <c r="H559" s="131" t="b">
        <v>0</v>
      </c>
      <c r="I559" s="38">
        <v>44065.0</v>
      </c>
      <c r="J559" s="38">
        <v>44065.0</v>
      </c>
      <c r="K559" s="28">
        <v>24.0</v>
      </c>
      <c r="L559" s="175"/>
      <c r="M559" s="169" t="s">
        <v>603</v>
      </c>
      <c r="N559" s="80" t="b">
        <v>0</v>
      </c>
      <c r="O559" s="80"/>
      <c r="P559" s="80"/>
      <c r="Q559" s="80"/>
      <c r="R559" s="80"/>
      <c r="S559" s="80"/>
      <c r="T559" s="80"/>
      <c r="U559" s="80"/>
      <c r="V559" s="80"/>
      <c r="W559" s="202" t="s">
        <v>513</v>
      </c>
      <c r="X559" s="203"/>
      <c r="Y559" s="34"/>
      <c r="Z559" s="34"/>
    </row>
    <row r="560">
      <c r="E560" s="131" t="b">
        <v>0</v>
      </c>
      <c r="F560" s="131" t="b">
        <v>0</v>
      </c>
      <c r="G560" s="131" t="b">
        <v>1</v>
      </c>
      <c r="H560" s="131" t="b">
        <v>0</v>
      </c>
      <c r="I560" s="38">
        <v>44062.0</v>
      </c>
      <c r="J560" s="38">
        <v>44063.0</v>
      </c>
      <c r="K560" s="28">
        <v>24.0</v>
      </c>
      <c r="L560" s="175"/>
      <c r="M560" s="169" t="s">
        <v>603</v>
      </c>
      <c r="N560" s="80" t="b">
        <v>0</v>
      </c>
      <c r="O560" s="80"/>
      <c r="P560" s="80"/>
      <c r="Q560" s="80"/>
      <c r="R560" s="80"/>
      <c r="S560" s="80"/>
      <c r="T560" s="80"/>
      <c r="U560" s="80"/>
      <c r="V560" s="80"/>
      <c r="W560" s="202" t="s">
        <v>513</v>
      </c>
      <c r="X560" s="203"/>
      <c r="Y560" s="34"/>
      <c r="Z560" s="34"/>
    </row>
    <row r="561">
      <c r="E561" s="131" t="b">
        <v>0</v>
      </c>
      <c r="F561" s="131" t="b">
        <v>0</v>
      </c>
      <c r="G561" s="131" t="b">
        <v>1</v>
      </c>
      <c r="H561" s="131" t="b">
        <v>0</v>
      </c>
      <c r="I561" s="38">
        <v>44060.0</v>
      </c>
      <c r="J561" s="38">
        <v>44061.0</v>
      </c>
      <c r="K561" s="28">
        <v>24.0</v>
      </c>
      <c r="L561" s="175"/>
      <c r="M561" s="169" t="s">
        <v>603</v>
      </c>
      <c r="N561" s="80" t="b">
        <v>0</v>
      </c>
      <c r="O561" s="80"/>
      <c r="P561" s="80"/>
      <c r="Q561" s="80"/>
      <c r="R561" s="80"/>
      <c r="S561" s="80"/>
      <c r="T561" s="80"/>
      <c r="U561" s="80"/>
      <c r="V561" s="80"/>
      <c r="W561" s="202" t="s">
        <v>513</v>
      </c>
      <c r="X561" s="203"/>
      <c r="Y561" s="34"/>
      <c r="Z561" s="34"/>
    </row>
    <row r="562">
      <c r="E562" s="131" t="b">
        <v>0</v>
      </c>
      <c r="F562" s="131" t="b">
        <v>0</v>
      </c>
      <c r="G562" s="131" t="b">
        <v>1</v>
      </c>
      <c r="H562" s="131" t="b">
        <v>0</v>
      </c>
      <c r="I562" s="38">
        <v>44030.0</v>
      </c>
      <c r="J562" s="38">
        <v>44031.0</v>
      </c>
      <c r="K562" s="28">
        <v>24.0</v>
      </c>
      <c r="L562" s="175"/>
      <c r="M562" s="169" t="s">
        <v>603</v>
      </c>
      <c r="N562" s="80" t="b">
        <v>0</v>
      </c>
      <c r="O562" s="80"/>
      <c r="P562" s="80"/>
      <c r="Q562" s="80"/>
      <c r="R562" s="80"/>
      <c r="S562" s="80"/>
      <c r="T562" s="80"/>
      <c r="U562" s="80"/>
      <c r="V562" s="80"/>
      <c r="W562" s="202" t="s">
        <v>513</v>
      </c>
      <c r="X562" s="203"/>
      <c r="Y562" s="34"/>
      <c r="Z562" s="34"/>
    </row>
    <row r="563">
      <c r="E563" s="131" t="b">
        <v>0</v>
      </c>
      <c r="F563" s="131" t="b">
        <v>0</v>
      </c>
      <c r="G563" s="131" t="b">
        <v>1</v>
      </c>
      <c r="H563" s="131" t="b">
        <v>0</v>
      </c>
      <c r="I563" s="38">
        <v>44029.0</v>
      </c>
      <c r="J563" s="38">
        <v>44030.0</v>
      </c>
      <c r="K563" s="28">
        <v>24.0</v>
      </c>
      <c r="L563" s="175"/>
      <c r="M563" s="169" t="s">
        <v>603</v>
      </c>
      <c r="N563" s="80" t="b">
        <v>0</v>
      </c>
      <c r="O563" s="80"/>
      <c r="P563" s="80"/>
      <c r="Q563" s="80"/>
      <c r="R563" s="80"/>
      <c r="S563" s="80"/>
      <c r="T563" s="80"/>
      <c r="U563" s="80"/>
      <c r="V563" s="80"/>
      <c r="W563" s="202" t="s">
        <v>513</v>
      </c>
      <c r="X563" s="203"/>
      <c r="Y563" s="34"/>
      <c r="Z563" s="34"/>
    </row>
    <row r="564">
      <c r="E564" s="131" t="b">
        <v>0</v>
      </c>
      <c r="F564" s="131" t="b">
        <v>0</v>
      </c>
      <c r="G564" s="131" t="b">
        <v>1</v>
      </c>
      <c r="H564" s="131" t="b">
        <v>0</v>
      </c>
      <c r="I564" s="38">
        <v>44025.0</v>
      </c>
      <c r="J564" s="38">
        <v>44025.0</v>
      </c>
      <c r="K564" s="28">
        <v>24.0</v>
      </c>
      <c r="L564" s="175"/>
      <c r="M564" s="169" t="s">
        <v>603</v>
      </c>
      <c r="N564" s="80" t="b">
        <v>0</v>
      </c>
      <c r="O564" s="80"/>
      <c r="P564" s="80"/>
      <c r="Q564" s="80"/>
      <c r="R564" s="80"/>
      <c r="S564" s="80"/>
      <c r="T564" s="80"/>
      <c r="U564" s="80"/>
      <c r="V564" s="80"/>
      <c r="W564" s="202" t="s">
        <v>513</v>
      </c>
      <c r="X564" s="203"/>
      <c r="Y564" s="34"/>
      <c r="Z564" s="34"/>
    </row>
    <row r="565">
      <c r="E565" s="131" t="b">
        <v>0</v>
      </c>
      <c r="F565" s="131" t="b">
        <v>0</v>
      </c>
      <c r="G565" s="131" t="b">
        <v>1</v>
      </c>
      <c r="H565" s="131" t="b">
        <v>0</v>
      </c>
      <c r="I565" s="38">
        <v>44024.0</v>
      </c>
      <c r="J565" s="38">
        <v>44025.0</v>
      </c>
      <c r="K565" s="28">
        <v>24.0</v>
      </c>
      <c r="L565" s="175"/>
      <c r="M565" s="169" t="s">
        <v>603</v>
      </c>
      <c r="N565" s="80" t="b">
        <v>0</v>
      </c>
      <c r="O565" s="80"/>
      <c r="P565" s="80"/>
      <c r="Q565" s="80"/>
      <c r="R565" s="80"/>
      <c r="S565" s="80"/>
      <c r="T565" s="80"/>
      <c r="U565" s="80"/>
      <c r="V565" s="80"/>
      <c r="W565" s="202" t="s">
        <v>513</v>
      </c>
      <c r="X565" s="203"/>
      <c r="Y565" s="34"/>
      <c r="Z565" s="34"/>
    </row>
    <row r="566">
      <c r="E566" s="131" t="b">
        <v>0</v>
      </c>
      <c r="F566" s="131" t="b">
        <v>0</v>
      </c>
      <c r="G566" s="131" t="b">
        <v>1</v>
      </c>
      <c r="H566" s="131" t="b">
        <v>0</v>
      </c>
      <c r="I566" s="38">
        <v>44019.0</v>
      </c>
      <c r="J566" s="38">
        <v>44020.0</v>
      </c>
      <c r="K566" s="28">
        <v>24.0</v>
      </c>
      <c r="L566" s="175"/>
      <c r="M566" s="169" t="s">
        <v>603</v>
      </c>
      <c r="N566" s="80" t="b">
        <v>0</v>
      </c>
      <c r="O566" s="80"/>
      <c r="P566" s="80"/>
      <c r="Q566" s="80"/>
      <c r="R566" s="80"/>
      <c r="S566" s="80"/>
      <c r="T566" s="80"/>
      <c r="U566" s="80"/>
      <c r="V566" s="80"/>
      <c r="W566" s="202" t="s">
        <v>513</v>
      </c>
      <c r="X566" s="203"/>
      <c r="Y566" s="34"/>
      <c r="Z566" s="34"/>
    </row>
    <row r="567">
      <c r="E567" s="131" t="b">
        <v>0</v>
      </c>
      <c r="F567" s="131" t="b">
        <v>0</v>
      </c>
      <c r="G567" s="131" t="b">
        <v>1</v>
      </c>
      <c r="H567" s="131" t="b">
        <v>0</v>
      </c>
      <c r="I567" s="38">
        <v>44016.0</v>
      </c>
      <c r="J567" s="38">
        <v>44017.0</v>
      </c>
      <c r="K567" s="28">
        <v>24.0</v>
      </c>
      <c r="L567" s="175"/>
      <c r="M567" s="169" t="s">
        <v>603</v>
      </c>
      <c r="N567" s="80" t="b">
        <v>0</v>
      </c>
      <c r="O567" s="80"/>
      <c r="P567" s="80"/>
      <c r="Q567" s="80"/>
      <c r="R567" s="80"/>
      <c r="S567" s="80"/>
      <c r="T567" s="80"/>
      <c r="U567" s="80"/>
      <c r="V567" s="80"/>
      <c r="W567" s="202" t="s">
        <v>513</v>
      </c>
      <c r="X567" s="203"/>
      <c r="Y567" s="34"/>
      <c r="Z567" s="34"/>
    </row>
    <row r="568">
      <c r="E568" s="131" t="b">
        <v>0</v>
      </c>
      <c r="F568" s="131" t="b">
        <v>0</v>
      </c>
      <c r="G568" s="131" t="b">
        <v>1</v>
      </c>
      <c r="H568" s="131" t="b">
        <v>0</v>
      </c>
      <c r="I568" s="38">
        <v>44012.0</v>
      </c>
      <c r="J568" s="38">
        <v>44012.0</v>
      </c>
      <c r="K568" s="28">
        <v>24.0</v>
      </c>
      <c r="L568" s="175"/>
      <c r="M568" s="169" t="s">
        <v>603</v>
      </c>
      <c r="N568" s="80" t="b">
        <v>0</v>
      </c>
      <c r="O568" s="80"/>
      <c r="P568" s="80"/>
      <c r="Q568" s="80"/>
      <c r="R568" s="80"/>
      <c r="S568" s="80"/>
      <c r="T568" s="80"/>
      <c r="U568" s="80"/>
      <c r="V568" s="80"/>
      <c r="W568" s="202" t="s">
        <v>513</v>
      </c>
      <c r="X568" s="203"/>
      <c r="Y568" s="34"/>
      <c r="Z568" s="34"/>
    </row>
    <row r="569">
      <c r="E569" s="131" t="b">
        <v>0</v>
      </c>
      <c r="F569" s="131" t="b">
        <v>0</v>
      </c>
      <c r="G569" s="131" t="b">
        <v>1</v>
      </c>
      <c r="H569" s="131" t="b">
        <v>0</v>
      </c>
      <c r="I569" s="38">
        <v>44012.0</v>
      </c>
      <c r="J569" s="38">
        <v>44013.0</v>
      </c>
      <c r="K569" s="28">
        <v>24.0</v>
      </c>
      <c r="L569" s="175"/>
      <c r="M569" s="169" t="s">
        <v>603</v>
      </c>
      <c r="N569" s="80" t="b">
        <v>0</v>
      </c>
      <c r="O569" s="80"/>
      <c r="P569" s="80"/>
      <c r="Q569" s="80"/>
      <c r="R569" s="80"/>
      <c r="S569" s="80"/>
      <c r="T569" s="80"/>
      <c r="U569" s="80"/>
      <c r="V569" s="80"/>
      <c r="W569" s="202" t="s">
        <v>513</v>
      </c>
      <c r="X569" s="203"/>
      <c r="Y569" s="34"/>
      <c r="Z569" s="34"/>
    </row>
    <row r="570">
      <c r="E570" s="131" t="b">
        <v>0</v>
      </c>
      <c r="F570" s="131" t="b">
        <v>0</v>
      </c>
      <c r="G570" s="131" t="b">
        <v>1</v>
      </c>
      <c r="H570" s="131" t="b">
        <v>0</v>
      </c>
      <c r="I570" s="38">
        <v>44011.0</v>
      </c>
      <c r="J570" s="38">
        <v>44011.0</v>
      </c>
      <c r="K570" s="28">
        <v>24.0</v>
      </c>
      <c r="L570" s="175"/>
      <c r="M570" s="169" t="s">
        <v>603</v>
      </c>
      <c r="N570" s="80" t="b">
        <v>0</v>
      </c>
      <c r="O570" s="80"/>
      <c r="P570" s="80"/>
      <c r="Q570" s="80"/>
      <c r="R570" s="80"/>
      <c r="S570" s="80"/>
      <c r="T570" s="80"/>
      <c r="U570" s="80"/>
      <c r="V570" s="80"/>
      <c r="W570" s="202" t="s">
        <v>513</v>
      </c>
      <c r="X570" s="203"/>
      <c r="Y570" s="34"/>
      <c r="Z570" s="34"/>
    </row>
    <row r="571">
      <c r="E571" s="131" t="b">
        <v>0</v>
      </c>
      <c r="F571" s="131" t="b">
        <v>0</v>
      </c>
      <c r="G571" s="131" t="b">
        <v>1</v>
      </c>
      <c r="H571" s="131" t="b">
        <v>0</v>
      </c>
      <c r="I571" s="38">
        <v>44007.0</v>
      </c>
      <c r="J571" s="38">
        <v>44008.0</v>
      </c>
      <c r="K571" s="28">
        <v>24.0</v>
      </c>
      <c r="L571" s="175"/>
      <c r="M571" s="169" t="s">
        <v>603</v>
      </c>
      <c r="N571" s="80" t="b">
        <v>0</v>
      </c>
      <c r="O571" s="80"/>
      <c r="P571" s="80"/>
      <c r="Q571" s="80"/>
      <c r="R571" s="80"/>
      <c r="S571" s="80"/>
      <c r="T571" s="80"/>
      <c r="U571" s="80"/>
      <c r="V571" s="80"/>
      <c r="W571" s="202" t="s">
        <v>513</v>
      </c>
      <c r="X571" s="203"/>
      <c r="Y571" s="34"/>
      <c r="Z571" s="34"/>
    </row>
    <row r="572">
      <c r="E572" s="131" t="b">
        <v>0</v>
      </c>
      <c r="F572" s="131" t="b">
        <v>0</v>
      </c>
      <c r="G572" s="131" t="b">
        <v>1</v>
      </c>
      <c r="H572" s="131" t="b">
        <v>0</v>
      </c>
      <c r="I572" s="38">
        <v>44007.0</v>
      </c>
      <c r="J572" s="38">
        <v>44008.0</v>
      </c>
      <c r="K572" s="28">
        <v>24.0</v>
      </c>
      <c r="L572" s="175"/>
      <c r="M572" s="169" t="s">
        <v>603</v>
      </c>
      <c r="N572" s="80" t="b">
        <v>0</v>
      </c>
      <c r="O572" s="80"/>
      <c r="P572" s="80"/>
      <c r="Q572" s="80"/>
      <c r="R572" s="80"/>
      <c r="S572" s="80"/>
      <c r="T572" s="80"/>
      <c r="U572" s="80"/>
      <c r="V572" s="80"/>
      <c r="W572" s="202" t="s">
        <v>513</v>
      </c>
      <c r="X572" s="203"/>
      <c r="Y572" s="34"/>
      <c r="Z572" s="34"/>
    </row>
    <row r="573">
      <c r="E573" s="131" t="b">
        <v>0</v>
      </c>
      <c r="F573" s="131" t="b">
        <v>0</v>
      </c>
      <c r="G573" s="131" t="b">
        <v>1</v>
      </c>
      <c r="H573" s="131" t="b">
        <v>0</v>
      </c>
      <c r="I573" s="38">
        <v>44005.0</v>
      </c>
      <c r="J573" s="38">
        <v>44005.0</v>
      </c>
      <c r="K573" s="28">
        <v>24.0</v>
      </c>
      <c r="L573" s="175"/>
      <c r="M573" s="169" t="s">
        <v>603</v>
      </c>
      <c r="N573" s="80" t="b">
        <v>0</v>
      </c>
      <c r="O573" s="80"/>
      <c r="P573" s="80"/>
      <c r="Q573" s="80"/>
      <c r="R573" s="80"/>
      <c r="S573" s="80"/>
      <c r="T573" s="80"/>
      <c r="U573" s="80"/>
      <c r="V573" s="80"/>
      <c r="W573" s="202" t="s">
        <v>513</v>
      </c>
      <c r="X573" s="203"/>
      <c r="Y573" s="34"/>
      <c r="Z573" s="34"/>
    </row>
    <row r="574">
      <c r="E574" s="131" t="b">
        <v>0</v>
      </c>
      <c r="F574" s="131" t="b">
        <v>0</v>
      </c>
      <c r="G574" s="131" t="b">
        <v>1</v>
      </c>
      <c r="H574" s="131" t="b">
        <v>0</v>
      </c>
      <c r="I574" s="38">
        <v>44003.0</v>
      </c>
      <c r="J574" s="38">
        <v>44003.0</v>
      </c>
      <c r="K574" s="28">
        <v>24.0</v>
      </c>
      <c r="L574" s="175"/>
      <c r="M574" s="169" t="s">
        <v>603</v>
      </c>
      <c r="N574" s="80" t="b">
        <v>0</v>
      </c>
      <c r="O574" s="80"/>
      <c r="P574" s="80"/>
      <c r="Q574" s="80"/>
      <c r="R574" s="80"/>
      <c r="S574" s="80"/>
      <c r="T574" s="80"/>
      <c r="U574" s="80"/>
      <c r="V574" s="80"/>
      <c r="W574" s="202" t="s">
        <v>513</v>
      </c>
      <c r="X574" s="203"/>
      <c r="Y574" s="34"/>
      <c r="Z574" s="34"/>
    </row>
    <row r="575">
      <c r="E575" s="131" t="b">
        <v>0</v>
      </c>
      <c r="F575" s="131" t="b">
        <v>0</v>
      </c>
      <c r="G575" s="131" t="b">
        <v>1</v>
      </c>
      <c r="H575" s="131" t="b">
        <v>0</v>
      </c>
      <c r="I575" s="38">
        <v>44002.0</v>
      </c>
      <c r="J575" s="38">
        <v>44003.0</v>
      </c>
      <c r="K575" s="28">
        <v>24.0</v>
      </c>
      <c r="L575" s="175"/>
      <c r="M575" s="169" t="s">
        <v>603</v>
      </c>
      <c r="N575" s="80" t="b">
        <v>0</v>
      </c>
      <c r="O575" s="80"/>
      <c r="P575" s="80"/>
      <c r="Q575" s="80"/>
      <c r="R575" s="80"/>
      <c r="S575" s="80"/>
      <c r="T575" s="80"/>
      <c r="U575" s="80"/>
      <c r="V575" s="80"/>
      <c r="W575" s="202" t="s">
        <v>513</v>
      </c>
      <c r="X575" s="203"/>
      <c r="Y575" s="34"/>
      <c r="Z575" s="34"/>
    </row>
    <row r="576">
      <c r="E576" s="131" t="b">
        <v>0</v>
      </c>
      <c r="F576" s="131" t="b">
        <v>0</v>
      </c>
      <c r="G576" s="131" t="b">
        <v>1</v>
      </c>
      <c r="H576" s="131" t="b">
        <v>0</v>
      </c>
      <c r="I576" s="38">
        <v>44000.0</v>
      </c>
      <c r="J576" s="38">
        <v>44001.0</v>
      </c>
      <c r="K576" s="28">
        <v>24.0</v>
      </c>
      <c r="L576" s="175"/>
      <c r="M576" s="169" t="s">
        <v>603</v>
      </c>
      <c r="N576" s="80" t="b">
        <v>0</v>
      </c>
      <c r="O576" s="80"/>
      <c r="P576" s="80"/>
      <c r="Q576" s="80"/>
      <c r="R576" s="80"/>
      <c r="S576" s="80"/>
      <c r="T576" s="80"/>
      <c r="U576" s="80"/>
      <c r="V576" s="80"/>
      <c r="W576" s="202" t="s">
        <v>513</v>
      </c>
      <c r="X576" s="203"/>
      <c r="Y576" s="34"/>
      <c r="Z576" s="34"/>
    </row>
    <row r="577">
      <c r="E577" s="131" t="b">
        <v>0</v>
      </c>
      <c r="F577" s="131" t="b">
        <v>0</v>
      </c>
      <c r="G577" s="131" t="b">
        <v>1</v>
      </c>
      <c r="H577" s="131" t="b">
        <v>0</v>
      </c>
      <c r="I577" s="38">
        <v>44000.0</v>
      </c>
      <c r="J577" s="38">
        <v>44001.0</v>
      </c>
      <c r="K577" s="28">
        <v>24.0</v>
      </c>
      <c r="L577" s="175"/>
      <c r="M577" s="169" t="s">
        <v>603</v>
      </c>
      <c r="N577" s="80" t="b">
        <v>0</v>
      </c>
      <c r="O577" s="80"/>
      <c r="P577" s="80"/>
      <c r="Q577" s="80"/>
      <c r="R577" s="80"/>
      <c r="S577" s="80"/>
      <c r="T577" s="80"/>
      <c r="U577" s="80"/>
      <c r="V577" s="80"/>
      <c r="W577" s="202" t="s">
        <v>513</v>
      </c>
      <c r="X577" s="203"/>
      <c r="Y577" s="34"/>
      <c r="Z577" s="34"/>
    </row>
    <row r="578">
      <c r="E578" s="131" t="b">
        <v>0</v>
      </c>
      <c r="F578" s="131" t="b">
        <v>0</v>
      </c>
      <c r="G578" s="131" t="b">
        <v>1</v>
      </c>
      <c r="H578" s="131" t="b">
        <v>0</v>
      </c>
      <c r="I578" s="38">
        <v>44000.0</v>
      </c>
      <c r="J578" s="38">
        <v>44002.0</v>
      </c>
      <c r="K578" s="28">
        <v>48.0</v>
      </c>
      <c r="L578" s="175"/>
      <c r="M578" s="169" t="s">
        <v>603</v>
      </c>
      <c r="N578" s="80" t="b">
        <v>0</v>
      </c>
      <c r="O578" s="80"/>
      <c r="P578" s="80"/>
      <c r="Q578" s="80"/>
      <c r="R578" s="80"/>
      <c r="S578" s="80"/>
      <c r="T578" s="80"/>
      <c r="U578" s="80"/>
      <c r="V578" s="80"/>
      <c r="W578" s="202" t="s">
        <v>513</v>
      </c>
      <c r="X578" s="203"/>
      <c r="Y578" s="34"/>
      <c r="Z578" s="34"/>
    </row>
    <row r="579">
      <c r="E579" s="131" t="b">
        <v>0</v>
      </c>
      <c r="F579" s="131" t="b">
        <v>0</v>
      </c>
      <c r="G579" s="131" t="b">
        <v>1</v>
      </c>
      <c r="H579" s="131" t="b">
        <v>0</v>
      </c>
      <c r="I579" s="38">
        <v>43998.0</v>
      </c>
      <c r="J579" s="38">
        <v>43999.0</v>
      </c>
      <c r="K579" s="28">
        <v>24.0</v>
      </c>
      <c r="L579" s="175"/>
      <c r="M579" s="169" t="s">
        <v>603</v>
      </c>
      <c r="N579" s="80" t="b">
        <v>0</v>
      </c>
      <c r="O579" s="80"/>
      <c r="P579" s="80"/>
      <c r="Q579" s="80"/>
      <c r="R579" s="80"/>
      <c r="S579" s="80"/>
      <c r="T579" s="80"/>
      <c r="U579" s="80"/>
      <c r="V579" s="80"/>
      <c r="W579" s="202" t="s">
        <v>513</v>
      </c>
      <c r="X579" s="203"/>
      <c r="Y579" s="34"/>
      <c r="Z579" s="34"/>
    </row>
    <row r="580">
      <c r="E580" s="131" t="b">
        <v>0</v>
      </c>
      <c r="F580" s="131" t="b">
        <v>0</v>
      </c>
      <c r="G580" s="131" t="b">
        <v>1</v>
      </c>
      <c r="H580" s="131" t="b">
        <v>0</v>
      </c>
      <c r="I580" s="38">
        <v>43995.0</v>
      </c>
      <c r="J580" s="38">
        <v>43996.0</v>
      </c>
      <c r="K580" s="28">
        <v>24.0</v>
      </c>
      <c r="L580" s="175"/>
      <c r="M580" s="169" t="s">
        <v>603</v>
      </c>
      <c r="N580" s="80" t="b">
        <v>0</v>
      </c>
      <c r="O580" s="80"/>
      <c r="P580" s="80"/>
      <c r="Q580" s="80"/>
      <c r="R580" s="80"/>
      <c r="S580" s="80"/>
      <c r="T580" s="80"/>
      <c r="U580" s="80"/>
      <c r="V580" s="80"/>
      <c r="W580" s="202" t="s">
        <v>513</v>
      </c>
      <c r="X580" s="203"/>
      <c r="Y580" s="34"/>
      <c r="Z580" s="34"/>
    </row>
    <row r="581">
      <c r="E581" s="131" t="b">
        <v>0</v>
      </c>
      <c r="F581" s="131" t="b">
        <v>0</v>
      </c>
      <c r="G581" s="131" t="b">
        <v>1</v>
      </c>
      <c r="H581" s="131" t="b">
        <v>0</v>
      </c>
      <c r="I581" s="38">
        <v>43992.0</v>
      </c>
      <c r="J581" s="38">
        <v>43994.0</v>
      </c>
      <c r="K581" s="28">
        <v>48.0</v>
      </c>
      <c r="L581" s="175"/>
      <c r="M581" s="169" t="s">
        <v>603</v>
      </c>
      <c r="N581" s="80" t="b">
        <v>0</v>
      </c>
      <c r="O581" s="80"/>
      <c r="P581" s="80"/>
      <c r="Q581" s="80"/>
      <c r="R581" s="80"/>
      <c r="S581" s="80"/>
      <c r="T581" s="80"/>
      <c r="U581" s="80"/>
      <c r="V581" s="80"/>
      <c r="W581" s="202" t="s">
        <v>513</v>
      </c>
      <c r="X581" s="203"/>
      <c r="Y581" s="34"/>
      <c r="Z581" s="34"/>
    </row>
    <row r="582">
      <c r="E582" s="131" t="b">
        <v>0</v>
      </c>
      <c r="F582" s="131" t="b">
        <v>0</v>
      </c>
      <c r="G582" s="131" t="b">
        <v>1</v>
      </c>
      <c r="H582" s="131" t="b">
        <v>0</v>
      </c>
      <c r="I582" s="38">
        <v>43989.0</v>
      </c>
      <c r="J582" s="38">
        <v>43990.0</v>
      </c>
      <c r="K582" s="28">
        <v>24.0</v>
      </c>
      <c r="L582" s="175"/>
      <c r="M582" s="169" t="s">
        <v>603</v>
      </c>
      <c r="N582" s="80" t="b">
        <v>0</v>
      </c>
      <c r="O582" s="80"/>
      <c r="P582" s="80"/>
      <c r="Q582" s="80"/>
      <c r="R582" s="80"/>
      <c r="S582" s="80"/>
      <c r="T582" s="80"/>
      <c r="U582" s="80"/>
      <c r="V582" s="80"/>
      <c r="W582" s="202" t="s">
        <v>513</v>
      </c>
      <c r="X582" s="203"/>
      <c r="Y582" s="34"/>
      <c r="Z582" s="34"/>
    </row>
    <row r="583">
      <c r="E583" s="131" t="b">
        <v>0</v>
      </c>
      <c r="F583" s="131" t="b">
        <v>0</v>
      </c>
      <c r="G583" s="131" t="b">
        <v>1</v>
      </c>
      <c r="H583" s="131" t="b">
        <v>0</v>
      </c>
      <c r="I583" s="38">
        <v>43985.0</v>
      </c>
      <c r="J583" s="38">
        <v>43987.0</v>
      </c>
      <c r="K583" s="28">
        <v>48.0</v>
      </c>
      <c r="L583" s="175"/>
      <c r="M583" s="169" t="s">
        <v>603</v>
      </c>
      <c r="N583" s="80" t="b">
        <v>0</v>
      </c>
      <c r="O583" s="80"/>
      <c r="P583" s="80"/>
      <c r="Q583" s="80"/>
      <c r="R583" s="80"/>
      <c r="S583" s="80"/>
      <c r="T583" s="80"/>
      <c r="U583" s="80"/>
      <c r="V583" s="80"/>
      <c r="W583" s="202" t="s">
        <v>513</v>
      </c>
      <c r="X583" s="203"/>
      <c r="Y583" s="34"/>
      <c r="Z583" s="34"/>
    </row>
    <row r="584">
      <c r="E584" s="131" t="b">
        <v>0</v>
      </c>
      <c r="F584" s="131" t="b">
        <v>0</v>
      </c>
      <c r="G584" s="131" t="b">
        <v>1</v>
      </c>
      <c r="H584" s="131" t="b">
        <v>0</v>
      </c>
      <c r="I584" s="38">
        <v>43984.0</v>
      </c>
      <c r="J584" s="38">
        <v>43984.0</v>
      </c>
      <c r="K584" s="28">
        <v>24.0</v>
      </c>
      <c r="L584" s="175"/>
      <c r="M584" s="169" t="s">
        <v>603</v>
      </c>
      <c r="N584" s="80" t="b">
        <v>0</v>
      </c>
      <c r="O584" s="80"/>
      <c r="P584" s="80"/>
      <c r="Q584" s="80"/>
      <c r="R584" s="80"/>
      <c r="S584" s="80"/>
      <c r="T584" s="80"/>
      <c r="U584" s="80"/>
      <c r="V584" s="80"/>
      <c r="W584" s="202" t="s">
        <v>513</v>
      </c>
      <c r="X584" s="203"/>
      <c r="Y584" s="34"/>
      <c r="Z584" s="34"/>
    </row>
    <row r="585">
      <c r="E585" s="131" t="b">
        <v>0</v>
      </c>
      <c r="F585" s="131" t="b">
        <v>0</v>
      </c>
      <c r="G585" s="131" t="b">
        <v>1</v>
      </c>
      <c r="H585" s="131" t="b">
        <v>0</v>
      </c>
      <c r="I585" s="38">
        <v>43982.0</v>
      </c>
      <c r="J585" s="38">
        <v>43982.0</v>
      </c>
      <c r="K585" s="28">
        <v>24.0</v>
      </c>
      <c r="L585" s="175"/>
      <c r="M585" s="169" t="s">
        <v>603</v>
      </c>
      <c r="N585" s="80" t="b">
        <v>0</v>
      </c>
      <c r="O585" s="80"/>
      <c r="P585" s="80"/>
      <c r="Q585" s="80"/>
      <c r="R585" s="80"/>
      <c r="S585" s="80"/>
      <c r="T585" s="80"/>
      <c r="U585" s="80"/>
      <c r="V585" s="80"/>
      <c r="W585" s="202" t="s">
        <v>513</v>
      </c>
      <c r="X585" s="203"/>
      <c r="Y585" s="34"/>
      <c r="Z585" s="34"/>
    </row>
    <row r="586">
      <c r="E586" s="131" t="b">
        <v>0</v>
      </c>
      <c r="F586" s="131" t="b">
        <v>0</v>
      </c>
      <c r="G586" s="131" t="b">
        <v>1</v>
      </c>
      <c r="H586" s="131" t="b">
        <v>0</v>
      </c>
      <c r="I586" s="38">
        <v>43981.0</v>
      </c>
      <c r="J586" s="38">
        <v>43981.0</v>
      </c>
      <c r="K586" s="28">
        <v>24.0</v>
      </c>
      <c r="L586" s="175"/>
      <c r="M586" s="169" t="s">
        <v>603</v>
      </c>
      <c r="N586" s="80" t="b">
        <v>0</v>
      </c>
      <c r="O586" s="80"/>
      <c r="P586" s="80"/>
      <c r="Q586" s="80"/>
      <c r="R586" s="80"/>
      <c r="S586" s="80"/>
      <c r="T586" s="80"/>
      <c r="U586" s="80"/>
      <c r="V586" s="80"/>
      <c r="W586" s="202" t="s">
        <v>513</v>
      </c>
      <c r="X586" s="203"/>
      <c r="Y586" s="34"/>
      <c r="Z586" s="34"/>
    </row>
    <row r="587">
      <c r="E587" s="131" t="b">
        <v>0</v>
      </c>
      <c r="F587" s="131" t="b">
        <v>0</v>
      </c>
      <c r="G587" s="131" t="b">
        <v>1</v>
      </c>
      <c r="H587" s="131" t="b">
        <v>0</v>
      </c>
      <c r="I587" s="38">
        <v>43976.0</v>
      </c>
      <c r="J587" s="38">
        <v>43976.0</v>
      </c>
      <c r="K587" s="28">
        <v>24.0</v>
      </c>
      <c r="L587" s="175"/>
      <c r="M587" s="169" t="s">
        <v>603</v>
      </c>
      <c r="N587" s="80" t="b">
        <v>0</v>
      </c>
      <c r="O587" s="80"/>
      <c r="P587" s="80"/>
      <c r="Q587" s="80"/>
      <c r="R587" s="80"/>
      <c r="S587" s="80"/>
      <c r="T587" s="80"/>
      <c r="U587" s="80"/>
      <c r="V587" s="80"/>
      <c r="W587" s="202" t="s">
        <v>513</v>
      </c>
      <c r="X587" s="203"/>
      <c r="Y587" s="34"/>
      <c r="Z587" s="34"/>
    </row>
    <row r="588">
      <c r="E588" s="131" t="b">
        <v>0</v>
      </c>
      <c r="F588" s="131" t="b">
        <v>0</v>
      </c>
      <c r="G588" s="131" t="b">
        <v>1</v>
      </c>
      <c r="H588" s="131" t="b">
        <v>0</v>
      </c>
      <c r="I588" s="38">
        <v>43970.0</v>
      </c>
      <c r="J588" s="38">
        <v>43971.0</v>
      </c>
      <c r="K588" s="28">
        <v>24.0</v>
      </c>
      <c r="L588" s="175"/>
      <c r="M588" s="169" t="s">
        <v>603</v>
      </c>
      <c r="N588" s="80" t="b">
        <v>0</v>
      </c>
      <c r="O588" s="80"/>
      <c r="P588" s="80"/>
      <c r="Q588" s="80"/>
      <c r="R588" s="80"/>
      <c r="S588" s="80"/>
      <c r="T588" s="80"/>
      <c r="U588" s="80"/>
      <c r="V588" s="80"/>
      <c r="W588" s="202" t="s">
        <v>513</v>
      </c>
      <c r="X588" s="203"/>
      <c r="Y588" s="34"/>
      <c r="Z588" s="34"/>
    </row>
    <row r="589">
      <c r="E589" s="131" t="b">
        <v>0</v>
      </c>
      <c r="F589" s="131" t="b">
        <v>0</v>
      </c>
      <c r="G589" s="131" t="b">
        <v>1</v>
      </c>
      <c r="H589" s="131" t="b">
        <v>0</v>
      </c>
      <c r="I589" s="38">
        <v>43969.0</v>
      </c>
      <c r="J589" s="38">
        <v>43973.0</v>
      </c>
      <c r="K589" s="28">
        <v>96.0</v>
      </c>
      <c r="L589" s="175"/>
      <c r="M589" s="169" t="s">
        <v>603</v>
      </c>
      <c r="N589" s="80" t="b">
        <v>0</v>
      </c>
      <c r="O589" s="80"/>
      <c r="P589" s="80"/>
      <c r="Q589" s="80"/>
      <c r="R589" s="80"/>
      <c r="S589" s="80"/>
      <c r="T589" s="80"/>
      <c r="U589" s="80"/>
      <c r="V589" s="80"/>
      <c r="W589" s="202" t="s">
        <v>513</v>
      </c>
      <c r="X589" s="203"/>
      <c r="Y589" s="34"/>
      <c r="Z589" s="34"/>
    </row>
    <row r="590">
      <c r="E590" s="131" t="b">
        <v>0</v>
      </c>
      <c r="F590" s="131" t="b">
        <v>0</v>
      </c>
      <c r="G590" s="131" t="b">
        <v>1</v>
      </c>
      <c r="H590" s="131" t="b">
        <v>0</v>
      </c>
      <c r="I590" s="38">
        <v>43965.0</v>
      </c>
      <c r="J590" s="38">
        <v>43965.0</v>
      </c>
      <c r="K590" s="28">
        <v>24.0</v>
      </c>
      <c r="L590" s="175"/>
      <c r="M590" s="169" t="s">
        <v>603</v>
      </c>
      <c r="N590" s="80" t="b">
        <v>0</v>
      </c>
      <c r="O590" s="80"/>
      <c r="P590" s="80"/>
      <c r="Q590" s="80"/>
      <c r="R590" s="80"/>
      <c r="S590" s="80"/>
      <c r="T590" s="80"/>
      <c r="U590" s="80"/>
      <c r="V590" s="80"/>
      <c r="W590" s="202" t="s">
        <v>513</v>
      </c>
      <c r="X590" s="203"/>
      <c r="Y590" s="34"/>
      <c r="Z590" s="34"/>
    </row>
    <row r="591">
      <c r="E591" s="131" t="b">
        <v>1</v>
      </c>
      <c r="F591" s="131" t="b">
        <v>0</v>
      </c>
      <c r="G591" s="131" t="b">
        <v>0</v>
      </c>
      <c r="H591" s="131" t="b">
        <v>0</v>
      </c>
      <c r="I591" s="38">
        <v>43964.0</v>
      </c>
      <c r="J591" s="38">
        <v>43965.0</v>
      </c>
      <c r="K591" s="28">
        <v>24.0</v>
      </c>
      <c r="L591" s="175"/>
      <c r="M591" s="169" t="s">
        <v>603</v>
      </c>
      <c r="N591" s="80" t="b">
        <v>0</v>
      </c>
      <c r="O591" s="80"/>
      <c r="P591" s="80"/>
      <c r="Q591" s="80"/>
      <c r="R591" s="80"/>
      <c r="S591" s="80"/>
      <c r="T591" s="80"/>
      <c r="U591" s="80"/>
      <c r="V591" s="80"/>
      <c r="W591" s="202" t="s">
        <v>513</v>
      </c>
      <c r="X591" s="203"/>
      <c r="Y591" s="34"/>
      <c r="Z591" s="34"/>
    </row>
    <row r="592">
      <c r="E592" s="131" t="b">
        <v>0</v>
      </c>
      <c r="F592" s="131" t="b">
        <v>0</v>
      </c>
      <c r="G592" s="131" t="b">
        <v>1</v>
      </c>
      <c r="H592" s="131" t="b">
        <v>0</v>
      </c>
      <c r="I592" s="38">
        <v>43963.0</v>
      </c>
      <c r="J592" s="38">
        <v>43978.0</v>
      </c>
      <c r="K592" s="28">
        <v>360.0</v>
      </c>
      <c r="L592" s="175"/>
      <c r="M592" s="169" t="s">
        <v>603</v>
      </c>
      <c r="N592" s="80" t="b">
        <v>0</v>
      </c>
      <c r="O592" s="80"/>
      <c r="P592" s="80"/>
      <c r="Q592" s="80"/>
      <c r="R592" s="80"/>
      <c r="S592" s="80"/>
      <c r="T592" s="80"/>
      <c r="U592" s="80"/>
      <c r="V592" s="80"/>
      <c r="W592" s="202" t="s">
        <v>513</v>
      </c>
      <c r="X592" s="203"/>
      <c r="Y592" s="34"/>
      <c r="Z592" s="34"/>
    </row>
    <row r="593">
      <c r="E593" s="131" t="b">
        <v>0</v>
      </c>
      <c r="F593" s="131" t="b">
        <v>0</v>
      </c>
      <c r="G593" s="131" t="b">
        <v>1</v>
      </c>
      <c r="H593" s="131" t="b">
        <v>0</v>
      </c>
      <c r="I593" s="38">
        <v>43957.0</v>
      </c>
      <c r="J593" s="38">
        <v>43958.0</v>
      </c>
      <c r="K593" s="28">
        <v>24.0</v>
      </c>
      <c r="L593" s="175"/>
      <c r="M593" s="169" t="s">
        <v>603</v>
      </c>
      <c r="N593" s="80" t="b">
        <v>0</v>
      </c>
      <c r="O593" s="80"/>
      <c r="P593" s="80"/>
      <c r="Q593" s="80"/>
      <c r="R593" s="80"/>
      <c r="S593" s="80"/>
      <c r="T593" s="80"/>
      <c r="U593" s="80"/>
      <c r="V593" s="80"/>
      <c r="W593" s="202" t="s">
        <v>513</v>
      </c>
      <c r="X593" s="203"/>
      <c r="Y593" s="34"/>
      <c r="Z593" s="34"/>
    </row>
    <row r="594">
      <c r="E594" s="131" t="b">
        <v>0</v>
      </c>
      <c r="F594" s="131" t="b">
        <v>0</v>
      </c>
      <c r="G594" s="131" t="b">
        <v>1</v>
      </c>
      <c r="H594" s="131" t="b">
        <v>0</v>
      </c>
      <c r="I594" s="38">
        <v>43957.0</v>
      </c>
      <c r="J594" s="38">
        <v>43964.0</v>
      </c>
      <c r="K594" s="28">
        <v>168.0</v>
      </c>
      <c r="L594" s="175"/>
      <c r="M594" s="169" t="s">
        <v>603</v>
      </c>
      <c r="N594" s="80" t="b">
        <v>0</v>
      </c>
      <c r="O594" s="80"/>
      <c r="P594" s="80"/>
      <c r="Q594" s="80"/>
      <c r="R594" s="80"/>
      <c r="S594" s="80"/>
      <c r="T594" s="80"/>
      <c r="U594" s="80"/>
      <c r="V594" s="80"/>
      <c r="W594" s="202" t="s">
        <v>513</v>
      </c>
      <c r="X594" s="203"/>
      <c r="Y594" s="34"/>
      <c r="Z594" s="34"/>
    </row>
    <row r="595">
      <c r="E595" s="131" t="b">
        <v>0</v>
      </c>
      <c r="F595" s="131" t="b">
        <v>0</v>
      </c>
      <c r="G595" s="131" t="b">
        <v>1</v>
      </c>
      <c r="H595" s="131" t="b">
        <v>0</v>
      </c>
      <c r="I595" s="38">
        <v>43956.0</v>
      </c>
      <c r="J595" s="38">
        <v>43956.0</v>
      </c>
      <c r="K595" s="28">
        <v>24.0</v>
      </c>
      <c r="L595" s="175"/>
      <c r="M595" s="169" t="s">
        <v>603</v>
      </c>
      <c r="N595" s="80" t="b">
        <v>0</v>
      </c>
      <c r="O595" s="80"/>
      <c r="P595" s="80"/>
      <c r="Q595" s="80"/>
      <c r="R595" s="80"/>
      <c r="S595" s="80"/>
      <c r="T595" s="80"/>
      <c r="U595" s="80"/>
      <c r="V595" s="80"/>
      <c r="W595" s="202" t="s">
        <v>513</v>
      </c>
      <c r="X595" s="203"/>
      <c r="Y595" s="34"/>
      <c r="Z595" s="34"/>
    </row>
    <row r="596">
      <c r="E596" s="131" t="b">
        <v>0</v>
      </c>
      <c r="F596" s="131" t="b">
        <v>0</v>
      </c>
      <c r="G596" s="131" t="b">
        <v>1</v>
      </c>
      <c r="H596" s="131" t="b">
        <v>0</v>
      </c>
      <c r="I596" s="38">
        <v>43956.0</v>
      </c>
      <c r="J596" s="38">
        <v>43956.0</v>
      </c>
      <c r="K596" s="28">
        <v>24.0</v>
      </c>
      <c r="L596" s="175"/>
      <c r="M596" s="169" t="s">
        <v>603</v>
      </c>
      <c r="N596" s="80" t="b">
        <v>0</v>
      </c>
      <c r="O596" s="80"/>
      <c r="P596" s="80"/>
      <c r="Q596" s="80"/>
      <c r="R596" s="80"/>
      <c r="S596" s="80"/>
      <c r="T596" s="80"/>
      <c r="U596" s="80"/>
      <c r="V596" s="80"/>
      <c r="W596" s="202" t="s">
        <v>513</v>
      </c>
      <c r="X596" s="203"/>
      <c r="Y596" s="34"/>
      <c r="Z596" s="34"/>
    </row>
    <row r="597">
      <c r="E597" s="131" t="b">
        <v>0</v>
      </c>
      <c r="F597" s="131" t="b">
        <v>0</v>
      </c>
      <c r="G597" s="131" t="b">
        <v>1</v>
      </c>
      <c r="H597" s="131" t="b">
        <v>0</v>
      </c>
      <c r="I597" s="38">
        <v>43953.0</v>
      </c>
      <c r="J597" s="38">
        <v>43954.0</v>
      </c>
      <c r="K597" s="28">
        <v>24.0</v>
      </c>
      <c r="L597" s="175"/>
      <c r="M597" s="169" t="s">
        <v>603</v>
      </c>
      <c r="N597" s="80" t="b">
        <v>0</v>
      </c>
      <c r="O597" s="80"/>
      <c r="P597" s="80"/>
      <c r="Q597" s="80"/>
      <c r="R597" s="80"/>
      <c r="S597" s="80"/>
      <c r="T597" s="80"/>
      <c r="U597" s="80"/>
      <c r="V597" s="80"/>
      <c r="W597" s="202" t="s">
        <v>513</v>
      </c>
      <c r="X597" s="203"/>
      <c r="Y597" s="34"/>
      <c r="Z597" s="34"/>
    </row>
    <row r="598">
      <c r="E598" s="131" t="b">
        <v>0</v>
      </c>
      <c r="F598" s="131" t="b">
        <v>0</v>
      </c>
      <c r="G598" s="131" t="b">
        <v>1</v>
      </c>
      <c r="H598" s="131" t="b">
        <v>0</v>
      </c>
      <c r="I598" s="38">
        <v>43953.0</v>
      </c>
      <c r="J598" s="38">
        <v>43953.0</v>
      </c>
      <c r="K598" s="28">
        <v>24.0</v>
      </c>
      <c r="L598" s="175"/>
      <c r="M598" s="169" t="s">
        <v>603</v>
      </c>
      <c r="N598" s="80" t="b">
        <v>0</v>
      </c>
      <c r="O598" s="80"/>
      <c r="P598" s="80"/>
      <c r="Q598" s="80"/>
      <c r="R598" s="80"/>
      <c r="S598" s="80"/>
      <c r="T598" s="80"/>
      <c r="U598" s="80"/>
      <c r="V598" s="80"/>
      <c r="W598" s="202" t="s">
        <v>513</v>
      </c>
      <c r="X598" s="203"/>
      <c r="Y598" s="34"/>
      <c r="Z598" s="34"/>
    </row>
    <row r="599">
      <c r="E599" s="131" t="b">
        <v>0</v>
      </c>
      <c r="F599" s="131" t="b">
        <v>0</v>
      </c>
      <c r="G599" s="131" t="b">
        <v>1</v>
      </c>
      <c r="H599" s="131" t="b">
        <v>0</v>
      </c>
      <c r="I599" s="38">
        <v>43948.0</v>
      </c>
      <c r="J599" s="38">
        <v>43948.0</v>
      </c>
      <c r="K599" s="28">
        <v>24.0</v>
      </c>
      <c r="L599" s="175"/>
      <c r="M599" s="169" t="s">
        <v>603</v>
      </c>
      <c r="N599" s="80" t="b">
        <v>0</v>
      </c>
      <c r="O599" s="80"/>
      <c r="P599" s="80"/>
      <c r="Q599" s="80"/>
      <c r="R599" s="80"/>
      <c r="S599" s="80"/>
      <c r="T599" s="80"/>
      <c r="U599" s="80"/>
      <c r="V599" s="80"/>
      <c r="W599" s="202" t="s">
        <v>513</v>
      </c>
      <c r="X599" s="203"/>
      <c r="Y599" s="34"/>
      <c r="Z599" s="34"/>
    </row>
    <row r="600">
      <c r="E600" s="131" t="b">
        <v>0</v>
      </c>
      <c r="F600" s="131" t="b">
        <v>0</v>
      </c>
      <c r="G600" s="131" t="b">
        <v>1</v>
      </c>
      <c r="H600" s="131" t="b">
        <v>0</v>
      </c>
      <c r="I600" s="38">
        <v>43947.0</v>
      </c>
      <c r="J600" s="38">
        <v>43947.0</v>
      </c>
      <c r="K600" s="28">
        <v>24.0</v>
      </c>
      <c r="L600" s="175"/>
      <c r="M600" s="169" t="s">
        <v>603</v>
      </c>
      <c r="N600" s="80" t="b">
        <v>0</v>
      </c>
      <c r="O600" s="80"/>
      <c r="P600" s="80"/>
      <c r="Q600" s="80"/>
      <c r="R600" s="80"/>
      <c r="S600" s="80"/>
      <c r="T600" s="80"/>
      <c r="U600" s="80"/>
      <c r="V600" s="80"/>
      <c r="W600" s="202" t="s">
        <v>513</v>
      </c>
      <c r="X600" s="203"/>
      <c r="Y600" s="34"/>
      <c r="Z600" s="34"/>
    </row>
    <row r="601">
      <c r="E601" s="131" t="b">
        <v>0</v>
      </c>
      <c r="F601" s="131" t="b">
        <v>0</v>
      </c>
      <c r="G601" s="131" t="b">
        <v>1</v>
      </c>
      <c r="H601" s="131" t="b">
        <v>0</v>
      </c>
      <c r="I601" s="38">
        <v>43946.0</v>
      </c>
      <c r="J601" s="38">
        <v>43946.0</v>
      </c>
      <c r="K601" s="28">
        <v>24.0</v>
      </c>
      <c r="L601" s="175"/>
      <c r="M601" s="169" t="s">
        <v>603</v>
      </c>
      <c r="N601" s="80" t="b">
        <v>0</v>
      </c>
      <c r="O601" s="80"/>
      <c r="P601" s="80"/>
      <c r="Q601" s="80"/>
      <c r="R601" s="80"/>
      <c r="S601" s="80"/>
      <c r="T601" s="80"/>
      <c r="U601" s="80"/>
      <c r="V601" s="80"/>
      <c r="W601" s="202" t="s">
        <v>513</v>
      </c>
      <c r="X601" s="203"/>
      <c r="Y601" s="34"/>
      <c r="Z601" s="34"/>
    </row>
    <row r="602">
      <c r="E602" s="131" t="b">
        <v>0</v>
      </c>
      <c r="F602" s="131" t="b">
        <v>0</v>
      </c>
      <c r="G602" s="131" t="b">
        <v>1</v>
      </c>
      <c r="H602" s="131" t="b">
        <v>0</v>
      </c>
      <c r="I602" s="38">
        <v>43942.0</v>
      </c>
      <c r="J602" s="38">
        <v>43943.0</v>
      </c>
      <c r="K602" s="28">
        <v>24.0</v>
      </c>
      <c r="L602" s="175"/>
      <c r="M602" s="169" t="s">
        <v>603</v>
      </c>
      <c r="N602" s="80" t="b">
        <v>0</v>
      </c>
      <c r="O602" s="80"/>
      <c r="P602" s="80"/>
      <c r="Q602" s="80"/>
      <c r="R602" s="80"/>
      <c r="S602" s="80"/>
      <c r="T602" s="80"/>
      <c r="U602" s="80"/>
      <c r="V602" s="80"/>
      <c r="W602" s="202" t="s">
        <v>513</v>
      </c>
      <c r="X602" s="203"/>
      <c r="Y602" s="34"/>
      <c r="Z602" s="34"/>
    </row>
    <row r="603">
      <c r="E603" s="131" t="b">
        <v>0</v>
      </c>
      <c r="F603" s="131" t="b">
        <v>0</v>
      </c>
      <c r="G603" s="131" t="b">
        <v>1</v>
      </c>
      <c r="H603" s="131" t="b">
        <v>0</v>
      </c>
      <c r="I603" s="38">
        <v>43938.0</v>
      </c>
      <c r="J603" s="38">
        <v>43938.0</v>
      </c>
      <c r="K603" s="28">
        <v>24.0</v>
      </c>
      <c r="L603" s="175"/>
      <c r="M603" s="169" t="s">
        <v>603</v>
      </c>
      <c r="N603" s="80" t="b">
        <v>0</v>
      </c>
      <c r="O603" s="80"/>
      <c r="P603" s="80"/>
      <c r="Q603" s="80"/>
      <c r="R603" s="80"/>
      <c r="S603" s="80"/>
      <c r="T603" s="80"/>
      <c r="U603" s="80"/>
      <c r="V603" s="80"/>
      <c r="W603" s="202" t="s">
        <v>513</v>
      </c>
      <c r="X603" s="203"/>
      <c r="Y603" s="34"/>
      <c r="Z603" s="34"/>
    </row>
    <row r="604">
      <c r="E604" s="131" t="b">
        <v>0</v>
      </c>
      <c r="F604" s="131" t="b">
        <v>0</v>
      </c>
      <c r="G604" s="131" t="b">
        <v>1</v>
      </c>
      <c r="H604" s="131" t="b">
        <v>0</v>
      </c>
      <c r="I604" s="38">
        <v>43932.0</v>
      </c>
      <c r="J604" s="38">
        <v>43932.0</v>
      </c>
      <c r="K604" s="28">
        <v>24.0</v>
      </c>
      <c r="L604" s="175"/>
      <c r="M604" s="169" t="s">
        <v>603</v>
      </c>
      <c r="N604" s="80" t="b">
        <v>0</v>
      </c>
      <c r="O604" s="80"/>
      <c r="P604" s="80"/>
      <c r="Q604" s="80"/>
      <c r="R604" s="80"/>
      <c r="S604" s="80"/>
      <c r="T604" s="80"/>
      <c r="U604" s="80"/>
      <c r="V604" s="80"/>
      <c r="W604" s="202" t="s">
        <v>513</v>
      </c>
      <c r="X604" s="203"/>
      <c r="Y604" s="34"/>
      <c r="Z604" s="34"/>
    </row>
    <row r="605">
      <c r="E605" s="131" t="b">
        <v>0</v>
      </c>
      <c r="F605" s="131" t="b">
        <v>0</v>
      </c>
      <c r="G605" s="131" t="b">
        <v>1</v>
      </c>
      <c r="H605" s="131" t="b">
        <v>0</v>
      </c>
      <c r="I605" s="38">
        <v>43931.0</v>
      </c>
      <c r="J605" s="38">
        <v>43931.0</v>
      </c>
      <c r="K605" s="28">
        <v>24.0</v>
      </c>
      <c r="L605" s="175"/>
      <c r="M605" s="169" t="s">
        <v>603</v>
      </c>
      <c r="N605" s="80" t="b">
        <v>0</v>
      </c>
      <c r="O605" s="80"/>
      <c r="P605" s="80"/>
      <c r="Q605" s="80"/>
      <c r="R605" s="80"/>
      <c r="S605" s="80"/>
      <c r="T605" s="80"/>
      <c r="U605" s="80"/>
      <c r="V605" s="80"/>
      <c r="W605" s="202" t="s">
        <v>513</v>
      </c>
      <c r="X605" s="203"/>
      <c r="Y605" s="34"/>
      <c r="Z605" s="34"/>
    </row>
    <row r="606">
      <c r="E606" s="131" t="b">
        <v>0</v>
      </c>
      <c r="F606" s="131" t="b">
        <v>0</v>
      </c>
      <c r="G606" s="131" t="b">
        <v>1</v>
      </c>
      <c r="H606" s="131" t="b">
        <v>0</v>
      </c>
      <c r="I606" s="38">
        <v>43928.0</v>
      </c>
      <c r="J606" s="38">
        <v>43929.0</v>
      </c>
      <c r="K606" s="28">
        <v>24.0</v>
      </c>
      <c r="L606" s="175"/>
      <c r="M606" s="169" t="s">
        <v>603</v>
      </c>
      <c r="N606" s="80" t="b">
        <v>0</v>
      </c>
      <c r="O606" s="80"/>
      <c r="P606" s="80"/>
      <c r="Q606" s="80"/>
      <c r="R606" s="80"/>
      <c r="S606" s="80"/>
      <c r="T606" s="80"/>
      <c r="U606" s="80"/>
      <c r="V606" s="80"/>
      <c r="W606" s="202" t="s">
        <v>513</v>
      </c>
      <c r="X606" s="203"/>
      <c r="Y606" s="34"/>
      <c r="Z606" s="34"/>
    </row>
    <row r="607">
      <c r="E607" s="131" t="b">
        <v>0</v>
      </c>
      <c r="F607" s="131" t="b">
        <v>0</v>
      </c>
      <c r="G607" s="131" t="b">
        <v>1</v>
      </c>
      <c r="H607" s="131" t="b">
        <v>0</v>
      </c>
      <c r="I607" s="38">
        <v>43925.0</v>
      </c>
      <c r="J607" s="38">
        <v>43926.0</v>
      </c>
      <c r="K607" s="28">
        <v>24.0</v>
      </c>
      <c r="L607" s="175"/>
      <c r="M607" s="169" t="s">
        <v>603</v>
      </c>
      <c r="N607" s="80" t="b">
        <v>0</v>
      </c>
      <c r="O607" s="80"/>
      <c r="P607" s="80"/>
      <c r="Q607" s="80"/>
      <c r="R607" s="80"/>
      <c r="S607" s="80"/>
      <c r="T607" s="80"/>
      <c r="U607" s="80"/>
      <c r="V607" s="80"/>
      <c r="W607" s="202" t="s">
        <v>513</v>
      </c>
      <c r="X607" s="203"/>
      <c r="Y607" s="34"/>
      <c r="Z607" s="34"/>
    </row>
    <row r="608">
      <c r="E608" s="131" t="b">
        <v>0</v>
      </c>
      <c r="F608" s="131" t="b">
        <v>0</v>
      </c>
      <c r="G608" s="131" t="b">
        <v>1</v>
      </c>
      <c r="H608" s="131" t="b">
        <v>0</v>
      </c>
      <c r="I608" s="38">
        <v>43905.0</v>
      </c>
      <c r="J608" s="38">
        <v>43905.0</v>
      </c>
      <c r="K608" s="28">
        <v>24.0</v>
      </c>
      <c r="L608" s="175"/>
      <c r="M608" s="169" t="s">
        <v>603</v>
      </c>
      <c r="N608" s="80" t="b">
        <v>0</v>
      </c>
      <c r="O608" s="80"/>
      <c r="P608" s="80"/>
      <c r="Q608" s="80"/>
      <c r="R608" s="80"/>
      <c r="S608" s="80"/>
      <c r="T608" s="80"/>
      <c r="U608" s="80"/>
      <c r="V608" s="80"/>
      <c r="W608" s="202" t="s">
        <v>513</v>
      </c>
      <c r="X608" s="203"/>
      <c r="Y608" s="34"/>
      <c r="Z608" s="34"/>
    </row>
    <row r="609">
      <c r="E609" s="131" t="b">
        <v>0</v>
      </c>
      <c r="F609" s="131" t="b">
        <v>0</v>
      </c>
      <c r="G609" s="131" t="b">
        <v>1</v>
      </c>
      <c r="H609" s="131" t="b">
        <v>0</v>
      </c>
      <c r="I609" s="38">
        <v>43899.0</v>
      </c>
      <c r="J609" s="38">
        <v>43899.0</v>
      </c>
      <c r="K609" s="28">
        <v>24.0</v>
      </c>
      <c r="L609" s="175"/>
      <c r="M609" s="169" t="s">
        <v>603</v>
      </c>
      <c r="N609" s="80" t="b">
        <v>0</v>
      </c>
      <c r="O609" s="80"/>
      <c r="P609" s="80"/>
      <c r="Q609" s="80"/>
      <c r="R609" s="80"/>
      <c r="S609" s="80"/>
      <c r="T609" s="80"/>
      <c r="U609" s="80"/>
      <c r="V609" s="80"/>
      <c r="W609" s="202" t="s">
        <v>513</v>
      </c>
      <c r="X609" s="203"/>
      <c r="Y609" s="34"/>
      <c r="Z609" s="34"/>
    </row>
    <row r="610">
      <c r="E610" s="131" t="b">
        <v>0</v>
      </c>
      <c r="F610" s="131" t="b">
        <v>0</v>
      </c>
      <c r="G610" s="131" t="b">
        <v>1</v>
      </c>
      <c r="H610" s="131" t="b">
        <v>0</v>
      </c>
      <c r="I610" s="38">
        <v>43883.0</v>
      </c>
      <c r="J610" s="38">
        <v>43883.0</v>
      </c>
      <c r="K610" s="28">
        <v>24.0</v>
      </c>
      <c r="L610" s="175"/>
      <c r="M610" s="169" t="s">
        <v>603</v>
      </c>
      <c r="N610" s="80" t="b">
        <v>0</v>
      </c>
      <c r="O610" s="80"/>
      <c r="P610" s="80"/>
      <c r="Q610" s="80"/>
      <c r="R610" s="80"/>
      <c r="S610" s="80"/>
      <c r="T610" s="80"/>
      <c r="U610" s="80"/>
      <c r="V610" s="80"/>
      <c r="W610" s="202" t="s">
        <v>513</v>
      </c>
      <c r="X610" s="203"/>
      <c r="Y610" s="34"/>
      <c r="Z610" s="34"/>
    </row>
    <row r="611">
      <c r="E611" s="131" t="b">
        <v>0</v>
      </c>
      <c r="F611" s="131" t="b">
        <v>0</v>
      </c>
      <c r="G611" s="131" t="b">
        <v>1</v>
      </c>
      <c r="H611" s="131" t="b">
        <v>0</v>
      </c>
      <c r="I611" s="38">
        <v>43880.0</v>
      </c>
      <c r="J611" s="38">
        <v>43880.0</v>
      </c>
      <c r="K611" s="28">
        <v>24.0</v>
      </c>
      <c r="L611" s="175"/>
      <c r="M611" s="169" t="s">
        <v>603</v>
      </c>
      <c r="N611" s="80" t="b">
        <v>0</v>
      </c>
      <c r="O611" s="80"/>
      <c r="P611" s="80"/>
      <c r="Q611" s="80"/>
      <c r="R611" s="80"/>
      <c r="S611" s="80"/>
      <c r="T611" s="80"/>
      <c r="U611" s="80"/>
      <c r="V611" s="80"/>
      <c r="W611" s="202" t="s">
        <v>513</v>
      </c>
      <c r="X611" s="203"/>
      <c r="Y611" s="34"/>
      <c r="Z611" s="34"/>
    </row>
    <row r="612">
      <c r="E612" s="131" t="b">
        <v>0</v>
      </c>
      <c r="F612" s="131" t="b">
        <v>0</v>
      </c>
      <c r="G612" s="131" t="b">
        <v>1</v>
      </c>
      <c r="H612" s="131" t="b">
        <v>0</v>
      </c>
      <c r="I612" s="38">
        <v>43840.0</v>
      </c>
      <c r="J612" s="38">
        <v>43841.0</v>
      </c>
      <c r="K612" s="28">
        <v>24.0</v>
      </c>
      <c r="L612" s="175"/>
      <c r="M612" s="169" t="s">
        <v>603</v>
      </c>
      <c r="N612" s="80" t="b">
        <v>0</v>
      </c>
      <c r="O612" s="80"/>
      <c r="P612" s="80"/>
      <c r="Q612" s="80"/>
      <c r="R612" s="80"/>
      <c r="S612" s="80"/>
      <c r="T612" s="80"/>
      <c r="U612" s="80"/>
      <c r="V612" s="80"/>
      <c r="W612" s="202" t="s">
        <v>513</v>
      </c>
      <c r="X612" s="203"/>
      <c r="Y612" s="34"/>
      <c r="Z612" s="34"/>
    </row>
    <row r="613">
      <c r="E613" s="131" t="b">
        <v>1</v>
      </c>
      <c r="F613" s="131" t="b">
        <v>0</v>
      </c>
      <c r="G613" s="131" t="b">
        <v>0</v>
      </c>
      <c r="H613" s="131" t="b">
        <v>0</v>
      </c>
      <c r="I613" s="38">
        <v>43685.0</v>
      </c>
      <c r="J613" s="38">
        <v>43686.0</v>
      </c>
      <c r="K613" s="28">
        <v>24.0</v>
      </c>
      <c r="L613" s="175"/>
      <c r="M613" s="169" t="s">
        <v>603</v>
      </c>
      <c r="N613" s="80" t="b">
        <v>0</v>
      </c>
      <c r="O613" s="80"/>
      <c r="P613" s="80"/>
      <c r="Q613" s="80"/>
      <c r="R613" s="80"/>
      <c r="S613" s="80"/>
      <c r="T613" s="80"/>
      <c r="U613" s="80"/>
      <c r="V613" s="80"/>
      <c r="W613" s="202" t="s">
        <v>513</v>
      </c>
      <c r="X613" s="203"/>
      <c r="Y613" s="34"/>
      <c r="Z613" s="34"/>
    </row>
    <row r="614">
      <c r="E614" s="131" t="b">
        <v>0</v>
      </c>
      <c r="F614" s="131" t="b">
        <v>0</v>
      </c>
      <c r="G614" s="131" t="b">
        <v>1</v>
      </c>
      <c r="H614" s="131" t="b">
        <v>0</v>
      </c>
      <c r="I614" s="38">
        <v>43682.0</v>
      </c>
      <c r="J614" s="38">
        <v>44232.0</v>
      </c>
      <c r="K614" s="28">
        <v>13200.0</v>
      </c>
      <c r="L614" s="175"/>
      <c r="M614" s="169" t="s">
        <v>603</v>
      </c>
      <c r="N614" s="80" t="b">
        <v>0</v>
      </c>
      <c r="O614" s="80"/>
      <c r="P614" s="80"/>
      <c r="Q614" s="80"/>
      <c r="R614" s="80"/>
      <c r="S614" s="80"/>
      <c r="T614" s="80"/>
      <c r="U614" s="80"/>
      <c r="V614" s="80"/>
      <c r="W614" s="202" t="s">
        <v>513</v>
      </c>
      <c r="X614" s="203"/>
      <c r="Y614" s="34"/>
      <c r="Z614" s="34"/>
    </row>
    <row r="615">
      <c r="E615" s="131" t="b">
        <v>0</v>
      </c>
      <c r="F615" s="131" t="b">
        <v>0</v>
      </c>
      <c r="G615" s="131" t="b">
        <v>1</v>
      </c>
      <c r="H615" s="131" t="b">
        <v>0</v>
      </c>
      <c r="I615" s="38">
        <v>43680.0</v>
      </c>
      <c r="J615" s="38">
        <v>43855.0</v>
      </c>
      <c r="K615" s="28">
        <v>4200.0</v>
      </c>
      <c r="L615" s="175"/>
      <c r="M615" s="169" t="s">
        <v>603</v>
      </c>
      <c r="N615" s="80" t="b">
        <v>0</v>
      </c>
      <c r="O615" s="80"/>
      <c r="P615" s="80"/>
      <c r="Q615" s="80"/>
      <c r="R615" s="80"/>
      <c r="S615" s="80"/>
      <c r="T615" s="80"/>
      <c r="U615" s="80"/>
      <c r="V615" s="80"/>
      <c r="W615" s="202" t="s">
        <v>513</v>
      </c>
      <c r="X615" s="203"/>
      <c r="Y615" s="34"/>
      <c r="Z615" s="34"/>
    </row>
    <row r="616">
      <c r="E616" s="131" t="b">
        <v>1</v>
      </c>
      <c r="F616" s="131" t="b">
        <v>0</v>
      </c>
      <c r="G616" s="131" t="b">
        <v>0</v>
      </c>
      <c r="H616" s="131" t="b">
        <v>0</v>
      </c>
      <c r="I616" s="38">
        <v>43679.0</v>
      </c>
      <c r="J616" s="38">
        <v>43680.0</v>
      </c>
      <c r="K616" s="28">
        <v>24.0</v>
      </c>
      <c r="L616" s="175"/>
      <c r="M616" s="169" t="s">
        <v>603</v>
      </c>
      <c r="N616" s="80" t="b">
        <v>0</v>
      </c>
      <c r="O616" s="80"/>
      <c r="P616" s="80"/>
      <c r="Q616" s="80"/>
      <c r="R616" s="80"/>
      <c r="S616" s="80"/>
      <c r="T616" s="80"/>
      <c r="U616" s="80"/>
      <c r="V616" s="80"/>
      <c r="W616" s="202" t="s">
        <v>513</v>
      </c>
      <c r="X616" s="203"/>
      <c r="Y616" s="34"/>
      <c r="Z616" s="34"/>
    </row>
    <row r="617">
      <c r="E617" s="131" t="b">
        <v>1</v>
      </c>
      <c r="F617" s="131" t="b">
        <v>0</v>
      </c>
      <c r="G617" s="131" t="b">
        <v>0</v>
      </c>
      <c r="H617" s="131" t="b">
        <v>0</v>
      </c>
      <c r="I617" s="38">
        <v>43676.0</v>
      </c>
      <c r="J617" s="38">
        <v>43677.0</v>
      </c>
      <c r="K617" s="28">
        <v>24.0</v>
      </c>
      <c r="L617" s="175"/>
      <c r="M617" s="169" t="s">
        <v>603</v>
      </c>
      <c r="N617" s="80" t="b">
        <v>0</v>
      </c>
      <c r="O617" s="80"/>
      <c r="P617" s="80"/>
      <c r="Q617" s="80"/>
      <c r="R617" s="80"/>
      <c r="S617" s="80"/>
      <c r="T617" s="80"/>
      <c r="U617" s="80"/>
      <c r="V617" s="80"/>
      <c r="W617" s="202" t="s">
        <v>513</v>
      </c>
      <c r="X617" s="203"/>
      <c r="Y617" s="34"/>
      <c r="Z617" s="34"/>
    </row>
    <row r="618">
      <c r="E618" s="131" t="b">
        <v>1</v>
      </c>
      <c r="F618" s="131" t="b">
        <v>0</v>
      </c>
      <c r="G618" s="131" t="b">
        <v>0</v>
      </c>
      <c r="H618" s="131" t="b">
        <v>0</v>
      </c>
      <c r="I618" s="38">
        <v>43601.0</v>
      </c>
      <c r="J618" s="38">
        <v>43609.0</v>
      </c>
      <c r="K618" s="28">
        <v>192.0</v>
      </c>
      <c r="L618" s="175"/>
      <c r="M618" s="169" t="s">
        <v>603</v>
      </c>
      <c r="N618" s="80" t="b">
        <v>0</v>
      </c>
      <c r="O618" s="80"/>
      <c r="P618" s="80"/>
      <c r="Q618" s="80"/>
      <c r="R618" s="80"/>
      <c r="S618" s="80"/>
      <c r="T618" s="80"/>
      <c r="U618" s="80"/>
      <c r="V618" s="80"/>
      <c r="W618" s="202" t="s">
        <v>513</v>
      </c>
      <c r="X618" s="203"/>
      <c r="Y618" s="34"/>
      <c r="Z618" s="34"/>
    </row>
    <row r="619">
      <c r="E619" s="131" t="b">
        <v>1</v>
      </c>
      <c r="F619" s="131" t="b">
        <v>0</v>
      </c>
      <c r="G619" s="131" t="b">
        <v>0</v>
      </c>
      <c r="H619" s="131" t="b">
        <v>0</v>
      </c>
      <c r="I619" s="38">
        <v>43597.0</v>
      </c>
      <c r="J619" s="38">
        <v>43598.0</v>
      </c>
      <c r="K619" s="28">
        <v>24.0</v>
      </c>
      <c r="L619" s="175"/>
      <c r="M619" s="169" t="s">
        <v>603</v>
      </c>
      <c r="N619" s="80" t="b">
        <v>0</v>
      </c>
      <c r="O619" s="80"/>
      <c r="P619" s="80"/>
      <c r="Q619" s="80"/>
      <c r="R619" s="80"/>
      <c r="S619" s="80"/>
      <c r="T619" s="80"/>
      <c r="U619" s="80"/>
      <c r="V619" s="80"/>
      <c r="W619" s="202" t="s">
        <v>513</v>
      </c>
      <c r="X619" s="203"/>
      <c r="Y619" s="34"/>
      <c r="Z619" s="34"/>
    </row>
    <row r="620">
      <c r="E620" s="131" t="b">
        <v>0</v>
      </c>
      <c r="F620" s="131" t="b">
        <v>1</v>
      </c>
      <c r="G620" s="131" t="b">
        <v>0</v>
      </c>
      <c r="H620" s="131" t="b">
        <v>0</v>
      </c>
      <c r="I620" s="38">
        <v>43584.0</v>
      </c>
      <c r="J620" s="38">
        <v>43585.0</v>
      </c>
      <c r="K620" s="28">
        <v>24.0</v>
      </c>
      <c r="L620" s="175"/>
      <c r="M620" s="169" t="s">
        <v>603</v>
      </c>
      <c r="N620" s="80" t="b">
        <v>0</v>
      </c>
      <c r="O620" s="80"/>
      <c r="P620" s="80"/>
      <c r="Q620" s="80"/>
      <c r="R620" s="80"/>
      <c r="S620" s="80"/>
      <c r="T620" s="80"/>
      <c r="U620" s="80"/>
      <c r="V620" s="80"/>
      <c r="W620" s="202" t="s">
        <v>513</v>
      </c>
      <c r="X620" s="203"/>
      <c r="Y620" s="34"/>
      <c r="Z620" s="34"/>
    </row>
    <row r="621">
      <c r="E621" s="131" t="b">
        <v>0</v>
      </c>
      <c r="F621" s="131" t="b">
        <v>1</v>
      </c>
      <c r="G621" s="131" t="b">
        <v>0</v>
      </c>
      <c r="H621" s="131" t="b">
        <v>0</v>
      </c>
      <c r="I621" s="38">
        <v>43573.0</v>
      </c>
      <c r="J621" s="38">
        <v>43574.0</v>
      </c>
      <c r="K621" s="28">
        <v>24.0</v>
      </c>
      <c r="L621" s="175"/>
      <c r="M621" s="169" t="s">
        <v>603</v>
      </c>
      <c r="N621" s="80" t="b">
        <v>0</v>
      </c>
      <c r="O621" s="80"/>
      <c r="P621" s="80"/>
      <c r="Q621" s="80"/>
      <c r="R621" s="80"/>
      <c r="S621" s="80"/>
      <c r="T621" s="80"/>
      <c r="U621" s="80"/>
      <c r="V621" s="80"/>
      <c r="W621" s="202" t="s">
        <v>513</v>
      </c>
      <c r="X621" s="203"/>
      <c r="Y621" s="34"/>
      <c r="Z621" s="34"/>
    </row>
    <row r="622">
      <c r="E622" s="131" t="b">
        <v>0</v>
      </c>
      <c r="F622" s="131" t="b">
        <v>1</v>
      </c>
      <c r="G622" s="131" t="b">
        <v>0</v>
      </c>
      <c r="H622" s="131" t="b">
        <v>0</v>
      </c>
      <c r="I622" s="38">
        <v>43566.0</v>
      </c>
      <c r="J622" s="38">
        <v>43567.0</v>
      </c>
      <c r="K622" s="28">
        <v>24.0</v>
      </c>
      <c r="L622" s="175"/>
      <c r="M622" s="169" t="s">
        <v>603</v>
      </c>
      <c r="N622" s="80" t="b">
        <v>0</v>
      </c>
      <c r="O622" s="80"/>
      <c r="P622" s="80"/>
      <c r="Q622" s="80"/>
      <c r="R622" s="80"/>
      <c r="S622" s="80"/>
      <c r="T622" s="80"/>
      <c r="U622" s="80"/>
      <c r="V622" s="80"/>
      <c r="W622" s="202" t="s">
        <v>513</v>
      </c>
      <c r="X622" s="203"/>
      <c r="Y622" s="34"/>
      <c r="Z622" s="34"/>
    </row>
    <row r="623">
      <c r="E623" s="131" t="b">
        <v>0</v>
      </c>
      <c r="F623" s="131" t="b">
        <v>0</v>
      </c>
      <c r="G623" s="131" t="b">
        <v>1</v>
      </c>
      <c r="H623" s="131" t="b">
        <v>0</v>
      </c>
      <c r="I623" s="38">
        <v>43560.0</v>
      </c>
      <c r="J623" s="38">
        <v>43561.0</v>
      </c>
      <c r="K623" s="28">
        <v>24.0</v>
      </c>
      <c r="L623" s="175"/>
      <c r="M623" s="169" t="s">
        <v>603</v>
      </c>
      <c r="N623" s="80" t="b">
        <v>0</v>
      </c>
      <c r="O623" s="80"/>
      <c r="P623" s="80"/>
      <c r="Q623" s="80"/>
      <c r="R623" s="80"/>
      <c r="S623" s="80"/>
      <c r="T623" s="80"/>
      <c r="U623" s="80"/>
      <c r="V623" s="80"/>
      <c r="W623" s="202" t="s">
        <v>513</v>
      </c>
      <c r="X623" s="203"/>
      <c r="Y623" s="34"/>
      <c r="Z623" s="34"/>
    </row>
    <row r="624">
      <c r="E624" s="131" t="b">
        <v>0</v>
      </c>
      <c r="F624" s="131" t="b">
        <v>0</v>
      </c>
      <c r="G624" s="131" t="b">
        <v>1</v>
      </c>
      <c r="H624" s="131" t="b">
        <v>0</v>
      </c>
      <c r="I624" s="38">
        <v>43525.0</v>
      </c>
      <c r="J624" s="38">
        <v>43526.0</v>
      </c>
      <c r="K624" s="28">
        <v>24.0</v>
      </c>
      <c r="L624" s="175"/>
      <c r="M624" s="169" t="s">
        <v>603</v>
      </c>
      <c r="N624" s="80" t="b">
        <v>0</v>
      </c>
      <c r="O624" s="80"/>
      <c r="P624" s="80"/>
      <c r="Q624" s="80"/>
      <c r="R624" s="80"/>
      <c r="S624" s="80"/>
      <c r="T624" s="80"/>
      <c r="U624" s="80"/>
      <c r="V624" s="80"/>
      <c r="W624" s="202" t="s">
        <v>513</v>
      </c>
      <c r="X624" s="203"/>
      <c r="Y624" s="34"/>
      <c r="Z624" s="34"/>
    </row>
    <row r="625">
      <c r="E625" s="131" t="b">
        <v>0</v>
      </c>
      <c r="F625" s="131" t="b">
        <v>0</v>
      </c>
      <c r="G625" s="131" t="b">
        <v>1</v>
      </c>
      <c r="H625" s="131" t="b">
        <v>0</v>
      </c>
      <c r="I625" s="38">
        <v>43499.0</v>
      </c>
      <c r="J625" s="38">
        <v>43500.0</v>
      </c>
      <c r="K625" s="28">
        <v>24.0</v>
      </c>
      <c r="L625" s="175"/>
      <c r="M625" s="169" t="s">
        <v>603</v>
      </c>
      <c r="N625" s="80" t="b">
        <v>0</v>
      </c>
      <c r="O625" s="80"/>
      <c r="P625" s="80"/>
      <c r="Q625" s="80"/>
      <c r="R625" s="80"/>
      <c r="S625" s="80"/>
      <c r="T625" s="80"/>
      <c r="U625" s="80"/>
      <c r="V625" s="80"/>
      <c r="W625" s="202" t="s">
        <v>513</v>
      </c>
      <c r="X625" s="203"/>
      <c r="Y625" s="34"/>
      <c r="Z625" s="34"/>
    </row>
    <row r="626">
      <c r="E626" s="131" t="b">
        <v>0</v>
      </c>
      <c r="F626" s="131" t="b">
        <v>0</v>
      </c>
      <c r="G626" s="131" t="b">
        <v>1</v>
      </c>
      <c r="H626" s="131" t="b">
        <v>0</v>
      </c>
      <c r="I626" s="38">
        <v>43463.0</v>
      </c>
      <c r="J626" s="38">
        <v>43464.0</v>
      </c>
      <c r="K626" s="28">
        <v>24.0</v>
      </c>
      <c r="L626" s="175"/>
      <c r="M626" s="169" t="s">
        <v>603</v>
      </c>
      <c r="N626" s="80" t="b">
        <v>0</v>
      </c>
      <c r="O626" s="80"/>
      <c r="P626" s="80"/>
      <c r="Q626" s="80"/>
      <c r="R626" s="80"/>
      <c r="S626" s="80"/>
      <c r="T626" s="80"/>
      <c r="U626" s="80"/>
      <c r="V626" s="80"/>
      <c r="W626" s="202" t="s">
        <v>513</v>
      </c>
      <c r="X626" s="203"/>
      <c r="Y626" s="34"/>
      <c r="Z626" s="34"/>
    </row>
    <row r="627">
      <c r="E627" s="131" t="b">
        <v>0</v>
      </c>
      <c r="F627" s="131" t="b">
        <v>0</v>
      </c>
      <c r="G627" s="131" t="b">
        <v>1</v>
      </c>
      <c r="H627" s="131" t="b">
        <v>0</v>
      </c>
      <c r="I627" s="38">
        <v>43460.0</v>
      </c>
      <c r="J627" s="38">
        <v>43461.0</v>
      </c>
      <c r="K627" s="28">
        <v>24.0</v>
      </c>
      <c r="L627" s="175"/>
      <c r="M627" s="169" t="s">
        <v>603</v>
      </c>
      <c r="N627" s="80" t="b">
        <v>0</v>
      </c>
      <c r="O627" s="80"/>
      <c r="P627" s="80"/>
      <c r="Q627" s="80"/>
      <c r="R627" s="80"/>
      <c r="S627" s="80"/>
      <c r="T627" s="80"/>
      <c r="U627" s="80"/>
      <c r="V627" s="80"/>
      <c r="W627" s="202" t="s">
        <v>513</v>
      </c>
      <c r="X627" s="203"/>
      <c r="Y627" s="34"/>
      <c r="Z627" s="34"/>
    </row>
    <row r="628">
      <c r="E628" s="131" t="b">
        <v>1</v>
      </c>
      <c r="F628" s="131" t="b">
        <v>0</v>
      </c>
      <c r="G628" s="131" t="b">
        <v>0</v>
      </c>
      <c r="H628" s="131" t="b">
        <v>0</v>
      </c>
      <c r="I628" s="38">
        <v>43449.0</v>
      </c>
      <c r="J628" s="38">
        <v>43458.0</v>
      </c>
      <c r="K628" s="28">
        <v>216.0</v>
      </c>
      <c r="L628" s="175"/>
      <c r="M628" s="169" t="s">
        <v>603</v>
      </c>
      <c r="N628" s="80" t="b">
        <v>0</v>
      </c>
      <c r="O628" s="80"/>
      <c r="P628" s="80"/>
      <c r="Q628" s="80"/>
      <c r="R628" s="80"/>
      <c r="S628" s="80"/>
      <c r="T628" s="80"/>
      <c r="U628" s="80"/>
      <c r="V628" s="80"/>
      <c r="W628" s="202" t="s">
        <v>513</v>
      </c>
      <c r="X628" s="203"/>
      <c r="Y628" s="34"/>
      <c r="Z628" s="34"/>
    </row>
    <row r="629">
      <c r="E629" s="131" t="b">
        <v>0</v>
      </c>
      <c r="F629" s="131" t="b">
        <v>0</v>
      </c>
      <c r="G629" s="131" t="b">
        <v>1</v>
      </c>
      <c r="H629" s="131" t="b">
        <v>0</v>
      </c>
      <c r="I629" s="38">
        <v>43447.0</v>
      </c>
      <c r="J629" s="38">
        <v>43448.0</v>
      </c>
      <c r="K629" s="28">
        <v>24.0</v>
      </c>
      <c r="L629" s="175"/>
      <c r="M629" s="169" t="s">
        <v>603</v>
      </c>
      <c r="N629" s="80" t="b">
        <v>0</v>
      </c>
      <c r="O629" s="80"/>
      <c r="P629" s="80"/>
      <c r="Q629" s="80"/>
      <c r="R629" s="80"/>
      <c r="S629" s="80"/>
      <c r="T629" s="80"/>
      <c r="U629" s="80"/>
      <c r="V629" s="80"/>
      <c r="W629" s="202" t="s">
        <v>513</v>
      </c>
      <c r="X629" s="203"/>
      <c r="Y629" s="34"/>
      <c r="Z629" s="34"/>
    </row>
    <row r="630">
      <c r="E630" s="131" t="b">
        <v>0</v>
      </c>
      <c r="F630" s="131" t="b">
        <v>0</v>
      </c>
      <c r="G630" s="131" t="b">
        <v>1</v>
      </c>
      <c r="H630" s="131" t="b">
        <v>0</v>
      </c>
      <c r="I630" s="38">
        <v>43442.0</v>
      </c>
      <c r="J630" s="38">
        <v>43443.0</v>
      </c>
      <c r="K630" s="28">
        <v>24.0</v>
      </c>
      <c r="L630" s="175"/>
      <c r="M630" s="169" t="s">
        <v>603</v>
      </c>
      <c r="N630" s="80" t="b">
        <v>0</v>
      </c>
      <c r="O630" s="80"/>
      <c r="P630" s="80"/>
      <c r="Q630" s="80"/>
      <c r="R630" s="80"/>
      <c r="S630" s="80"/>
      <c r="T630" s="80"/>
      <c r="U630" s="80"/>
      <c r="V630" s="80"/>
      <c r="W630" s="202" t="s">
        <v>513</v>
      </c>
      <c r="X630" s="203"/>
      <c r="Y630" s="34"/>
      <c r="Z630" s="34"/>
    </row>
    <row r="631">
      <c r="E631" s="131" t="b">
        <v>0</v>
      </c>
      <c r="F631" s="131" t="b">
        <v>0</v>
      </c>
      <c r="G631" s="131" t="b">
        <v>1</v>
      </c>
      <c r="H631" s="131" t="b">
        <v>0</v>
      </c>
      <c r="I631" s="38">
        <v>43437.0</v>
      </c>
      <c r="J631" s="38">
        <v>43438.0</v>
      </c>
      <c r="K631" s="28">
        <v>24.0</v>
      </c>
      <c r="L631" s="175"/>
      <c r="M631" s="169" t="s">
        <v>603</v>
      </c>
      <c r="N631" s="80" t="b">
        <v>0</v>
      </c>
      <c r="O631" s="80"/>
      <c r="P631" s="80"/>
      <c r="Q631" s="80"/>
      <c r="R631" s="80"/>
      <c r="S631" s="80"/>
      <c r="T631" s="80"/>
      <c r="U631" s="80"/>
      <c r="V631" s="80"/>
      <c r="W631" s="202" t="s">
        <v>513</v>
      </c>
      <c r="X631" s="203"/>
      <c r="Y631" s="34"/>
      <c r="Z631" s="34"/>
    </row>
    <row r="632">
      <c r="E632" s="131" t="b">
        <v>0</v>
      </c>
      <c r="F632" s="131" t="b">
        <v>0</v>
      </c>
      <c r="G632" s="131" t="b">
        <v>1</v>
      </c>
      <c r="H632" s="131" t="b">
        <v>0</v>
      </c>
      <c r="I632" s="38">
        <v>43432.0</v>
      </c>
      <c r="J632" s="38">
        <v>43433.0</v>
      </c>
      <c r="K632" s="28">
        <v>24.0</v>
      </c>
      <c r="L632" s="175"/>
      <c r="M632" s="169" t="s">
        <v>603</v>
      </c>
      <c r="N632" s="80" t="b">
        <v>0</v>
      </c>
      <c r="O632" s="80"/>
      <c r="P632" s="80"/>
      <c r="Q632" s="80"/>
      <c r="R632" s="80"/>
      <c r="S632" s="80"/>
      <c r="T632" s="80"/>
      <c r="U632" s="80"/>
      <c r="V632" s="80"/>
      <c r="W632" s="202" t="s">
        <v>513</v>
      </c>
      <c r="X632" s="203"/>
      <c r="Y632" s="34"/>
      <c r="Z632" s="34"/>
    </row>
    <row r="633">
      <c r="E633" s="131" t="b">
        <v>0</v>
      </c>
      <c r="F633" s="131" t="b">
        <v>0</v>
      </c>
      <c r="G633" s="131" t="b">
        <v>1</v>
      </c>
      <c r="H633" s="131" t="b">
        <v>0</v>
      </c>
      <c r="I633" s="38">
        <v>43431.0</v>
      </c>
      <c r="J633" s="38">
        <v>43432.0</v>
      </c>
      <c r="K633" s="28">
        <v>24.0</v>
      </c>
      <c r="L633" s="175"/>
      <c r="M633" s="169" t="s">
        <v>603</v>
      </c>
      <c r="N633" s="80" t="b">
        <v>0</v>
      </c>
      <c r="O633" s="80"/>
      <c r="P633" s="80"/>
      <c r="Q633" s="80"/>
      <c r="R633" s="80"/>
      <c r="S633" s="80"/>
      <c r="T633" s="80"/>
      <c r="U633" s="80"/>
      <c r="V633" s="80"/>
      <c r="W633" s="202" t="s">
        <v>513</v>
      </c>
      <c r="X633" s="203"/>
      <c r="Y633" s="34"/>
      <c r="Z633" s="34"/>
    </row>
    <row r="634">
      <c r="E634" s="131" t="b">
        <v>1</v>
      </c>
      <c r="F634" s="131" t="b">
        <v>0</v>
      </c>
      <c r="G634" s="131" t="b">
        <v>0</v>
      </c>
      <c r="H634" s="131" t="b">
        <v>0</v>
      </c>
      <c r="I634" s="38">
        <v>43429.0</v>
      </c>
      <c r="J634" s="38">
        <v>43430.0</v>
      </c>
      <c r="K634" s="28">
        <v>24.0</v>
      </c>
      <c r="L634" s="175"/>
      <c r="M634" s="169" t="s">
        <v>603</v>
      </c>
      <c r="N634" s="80" t="b">
        <v>0</v>
      </c>
      <c r="O634" s="80"/>
      <c r="P634" s="80"/>
      <c r="Q634" s="80"/>
      <c r="R634" s="80"/>
      <c r="S634" s="80"/>
      <c r="T634" s="80"/>
      <c r="U634" s="80"/>
      <c r="V634" s="80"/>
      <c r="W634" s="202" t="s">
        <v>513</v>
      </c>
      <c r="X634" s="203"/>
      <c r="Y634" s="34"/>
      <c r="Z634" s="34"/>
    </row>
    <row r="635">
      <c r="E635" s="131" t="b">
        <v>1</v>
      </c>
      <c r="F635" s="131" t="b">
        <v>0</v>
      </c>
      <c r="G635" s="131" t="b">
        <v>0</v>
      </c>
      <c r="H635" s="131" t="b">
        <v>0</v>
      </c>
      <c r="I635" s="38">
        <v>43427.0</v>
      </c>
      <c r="J635" s="38">
        <v>43428.0</v>
      </c>
      <c r="K635" s="28">
        <v>24.0</v>
      </c>
      <c r="L635" s="175"/>
      <c r="M635" s="169" t="s">
        <v>603</v>
      </c>
      <c r="N635" s="80" t="b">
        <v>0</v>
      </c>
      <c r="O635" s="80"/>
      <c r="P635" s="80"/>
      <c r="Q635" s="80"/>
      <c r="R635" s="80"/>
      <c r="S635" s="80"/>
      <c r="T635" s="80"/>
      <c r="U635" s="80"/>
      <c r="V635" s="80"/>
      <c r="W635" s="202" t="s">
        <v>513</v>
      </c>
      <c r="X635" s="203"/>
      <c r="Y635" s="34"/>
      <c r="Z635" s="34"/>
    </row>
    <row r="636">
      <c r="E636" s="131" t="b">
        <v>1</v>
      </c>
      <c r="F636" s="131" t="b">
        <v>0</v>
      </c>
      <c r="G636" s="131" t="b">
        <v>0</v>
      </c>
      <c r="H636" s="131" t="b">
        <v>0</v>
      </c>
      <c r="I636" s="38">
        <v>43424.0</v>
      </c>
      <c r="J636" s="38">
        <v>43425.0</v>
      </c>
      <c r="K636" s="28">
        <v>24.0</v>
      </c>
      <c r="L636" s="175"/>
      <c r="M636" s="169" t="s">
        <v>603</v>
      </c>
      <c r="N636" s="80" t="b">
        <v>0</v>
      </c>
      <c r="O636" s="80"/>
      <c r="P636" s="80"/>
      <c r="Q636" s="80"/>
      <c r="R636" s="80"/>
      <c r="S636" s="80"/>
      <c r="T636" s="80"/>
      <c r="U636" s="80"/>
      <c r="V636" s="80"/>
      <c r="W636" s="202" t="s">
        <v>513</v>
      </c>
      <c r="X636" s="203"/>
      <c r="Y636" s="34"/>
      <c r="Z636" s="34"/>
    </row>
    <row r="637">
      <c r="E637" s="131" t="b">
        <v>0</v>
      </c>
      <c r="F637" s="131" t="b">
        <v>0</v>
      </c>
      <c r="G637" s="131" t="b">
        <v>1</v>
      </c>
      <c r="H637" s="131" t="b">
        <v>0</v>
      </c>
      <c r="I637" s="38">
        <v>43422.0</v>
      </c>
      <c r="J637" s="38">
        <v>43423.0</v>
      </c>
      <c r="K637" s="28">
        <v>24.0</v>
      </c>
      <c r="L637" s="175"/>
      <c r="M637" s="169" t="s">
        <v>603</v>
      </c>
      <c r="N637" s="80" t="b">
        <v>0</v>
      </c>
      <c r="O637" s="80"/>
      <c r="P637" s="80"/>
      <c r="Q637" s="80"/>
      <c r="R637" s="80"/>
      <c r="S637" s="80"/>
      <c r="T637" s="80"/>
      <c r="U637" s="80"/>
      <c r="V637" s="80"/>
      <c r="W637" s="202" t="s">
        <v>513</v>
      </c>
      <c r="X637" s="203"/>
      <c r="Y637" s="34"/>
      <c r="Z637" s="34"/>
    </row>
    <row r="638">
      <c r="E638" s="131" t="b">
        <v>0</v>
      </c>
      <c r="F638" s="131" t="b">
        <v>0</v>
      </c>
      <c r="G638" s="131" t="b">
        <v>1</v>
      </c>
      <c r="H638" s="131" t="b">
        <v>0</v>
      </c>
      <c r="I638" s="38">
        <v>43414.0</v>
      </c>
      <c r="J638" s="38">
        <v>43415.0</v>
      </c>
      <c r="K638" s="28">
        <v>24.0</v>
      </c>
      <c r="L638" s="175"/>
      <c r="M638" s="169" t="s">
        <v>603</v>
      </c>
      <c r="N638" s="80" t="b">
        <v>0</v>
      </c>
      <c r="O638" s="80"/>
      <c r="P638" s="80"/>
      <c r="Q638" s="80"/>
      <c r="R638" s="80"/>
      <c r="S638" s="80"/>
      <c r="T638" s="80"/>
      <c r="U638" s="80"/>
      <c r="V638" s="80"/>
      <c r="W638" s="202" t="s">
        <v>513</v>
      </c>
      <c r="X638" s="203"/>
      <c r="Y638" s="34"/>
      <c r="Z638" s="34"/>
    </row>
    <row r="639">
      <c r="E639" s="131" t="b">
        <v>0</v>
      </c>
      <c r="F639" s="131" t="b">
        <v>0</v>
      </c>
      <c r="G639" s="131" t="b">
        <v>1</v>
      </c>
      <c r="H639" s="131" t="b">
        <v>0</v>
      </c>
      <c r="I639" s="38">
        <v>43413.0</v>
      </c>
      <c r="J639" s="38">
        <v>43414.0</v>
      </c>
      <c r="K639" s="28">
        <v>24.0</v>
      </c>
      <c r="L639" s="175"/>
      <c r="M639" s="169" t="s">
        <v>603</v>
      </c>
      <c r="N639" s="80" t="b">
        <v>0</v>
      </c>
      <c r="O639" s="80"/>
      <c r="P639" s="80"/>
      <c r="Q639" s="80"/>
      <c r="R639" s="80"/>
      <c r="S639" s="80"/>
      <c r="T639" s="80"/>
      <c r="U639" s="80"/>
      <c r="V639" s="80"/>
      <c r="W639" s="202" t="s">
        <v>513</v>
      </c>
      <c r="X639" s="203"/>
      <c r="Y639" s="34"/>
      <c r="Z639" s="34"/>
    </row>
    <row r="640">
      <c r="E640" s="131" t="b">
        <v>0</v>
      </c>
      <c r="F640" s="131" t="b">
        <v>0</v>
      </c>
      <c r="G640" s="131" t="b">
        <v>1</v>
      </c>
      <c r="H640" s="131" t="b">
        <v>0</v>
      </c>
      <c r="I640" s="38">
        <v>43405.0</v>
      </c>
      <c r="J640" s="38">
        <v>43406.0</v>
      </c>
      <c r="K640" s="28">
        <v>24.0</v>
      </c>
      <c r="L640" s="175"/>
      <c r="M640" s="169" t="s">
        <v>603</v>
      </c>
      <c r="N640" s="80" t="b">
        <v>0</v>
      </c>
      <c r="O640" s="80"/>
      <c r="P640" s="80"/>
      <c r="Q640" s="80"/>
      <c r="R640" s="80"/>
      <c r="S640" s="80"/>
      <c r="T640" s="80"/>
      <c r="U640" s="80"/>
      <c r="V640" s="80"/>
      <c r="W640" s="202" t="s">
        <v>513</v>
      </c>
      <c r="X640" s="203"/>
      <c r="Y640" s="34"/>
      <c r="Z640" s="34"/>
    </row>
    <row r="641">
      <c r="E641" s="131" t="b">
        <v>0</v>
      </c>
      <c r="F641" s="131" t="b">
        <v>0</v>
      </c>
      <c r="G641" s="131" t="b">
        <v>1</v>
      </c>
      <c r="H641" s="131" t="b">
        <v>0</v>
      </c>
      <c r="I641" s="38">
        <v>43405.0</v>
      </c>
      <c r="J641" s="38">
        <v>43406.0</v>
      </c>
      <c r="K641" s="28">
        <v>24.0</v>
      </c>
      <c r="L641" s="175"/>
      <c r="M641" s="169" t="s">
        <v>603</v>
      </c>
      <c r="N641" s="80" t="b">
        <v>0</v>
      </c>
      <c r="O641" s="80"/>
      <c r="P641" s="80"/>
      <c r="Q641" s="80"/>
      <c r="R641" s="80"/>
      <c r="S641" s="80"/>
      <c r="T641" s="80"/>
      <c r="U641" s="80"/>
      <c r="V641" s="80"/>
      <c r="W641" s="202" t="s">
        <v>513</v>
      </c>
      <c r="X641" s="203"/>
      <c r="Y641" s="34"/>
      <c r="Z641" s="34"/>
    </row>
    <row r="642">
      <c r="E642" s="131" t="b">
        <v>0</v>
      </c>
      <c r="F642" s="131" t="b">
        <v>0</v>
      </c>
      <c r="G642" s="131" t="b">
        <v>1</v>
      </c>
      <c r="H642" s="131" t="b">
        <v>0</v>
      </c>
      <c r="I642" s="38">
        <v>43399.0</v>
      </c>
      <c r="J642" s="38">
        <v>43400.0</v>
      </c>
      <c r="K642" s="28">
        <v>24.0</v>
      </c>
      <c r="L642" s="175"/>
      <c r="M642" s="169" t="s">
        <v>603</v>
      </c>
      <c r="N642" s="80" t="b">
        <v>0</v>
      </c>
      <c r="O642" s="80"/>
      <c r="P642" s="80"/>
      <c r="Q642" s="80"/>
      <c r="R642" s="80"/>
      <c r="S642" s="80"/>
      <c r="T642" s="80"/>
      <c r="U642" s="80"/>
      <c r="V642" s="80"/>
      <c r="W642" s="202" t="s">
        <v>513</v>
      </c>
      <c r="X642" s="203"/>
      <c r="Y642" s="34"/>
      <c r="Z642" s="34"/>
    </row>
    <row r="643">
      <c r="E643" s="131" t="b">
        <v>0</v>
      </c>
      <c r="F643" s="131" t="b">
        <v>0</v>
      </c>
      <c r="G643" s="131" t="b">
        <v>1</v>
      </c>
      <c r="H643" s="131" t="b">
        <v>0</v>
      </c>
      <c r="I643" s="38">
        <v>43397.0</v>
      </c>
      <c r="J643" s="38">
        <v>43398.0</v>
      </c>
      <c r="K643" s="28">
        <v>24.0</v>
      </c>
      <c r="L643" s="175"/>
      <c r="M643" s="169" t="s">
        <v>603</v>
      </c>
      <c r="N643" s="80" t="b">
        <v>0</v>
      </c>
      <c r="O643" s="80"/>
      <c r="P643" s="80"/>
      <c r="Q643" s="80"/>
      <c r="R643" s="80"/>
      <c r="S643" s="80"/>
      <c r="T643" s="80"/>
      <c r="U643" s="80"/>
      <c r="V643" s="80"/>
      <c r="W643" s="202" t="s">
        <v>513</v>
      </c>
      <c r="X643" s="203"/>
      <c r="Y643" s="34"/>
      <c r="Z643" s="34"/>
    </row>
    <row r="644">
      <c r="E644" s="131" t="b">
        <v>1</v>
      </c>
      <c r="F644" s="131" t="b">
        <v>0</v>
      </c>
      <c r="G644" s="131" t="b">
        <v>0</v>
      </c>
      <c r="H644" s="131" t="b">
        <v>0</v>
      </c>
      <c r="I644" s="38">
        <v>43394.0</v>
      </c>
      <c r="J644" s="38">
        <v>43395.0</v>
      </c>
      <c r="K644" s="28">
        <v>24.0</v>
      </c>
      <c r="L644" s="175"/>
      <c r="M644" s="169" t="s">
        <v>603</v>
      </c>
      <c r="N644" s="80" t="b">
        <v>0</v>
      </c>
      <c r="O644" s="80"/>
      <c r="P644" s="80"/>
      <c r="Q644" s="80"/>
      <c r="R644" s="80"/>
      <c r="S644" s="80"/>
      <c r="T644" s="80"/>
      <c r="U644" s="80"/>
      <c r="V644" s="80"/>
      <c r="W644" s="202" t="s">
        <v>513</v>
      </c>
      <c r="X644" s="203"/>
      <c r="Y644" s="34"/>
      <c r="Z644" s="34"/>
    </row>
    <row r="645">
      <c r="E645" s="131" t="b">
        <v>0</v>
      </c>
      <c r="F645" s="131" t="b">
        <v>0</v>
      </c>
      <c r="G645" s="131" t="b">
        <v>1</v>
      </c>
      <c r="H645" s="131" t="b">
        <v>0</v>
      </c>
      <c r="I645" s="38">
        <v>43390.0</v>
      </c>
      <c r="J645" s="38">
        <v>43391.0</v>
      </c>
      <c r="K645" s="28">
        <v>24.0</v>
      </c>
      <c r="L645" s="175"/>
      <c r="M645" s="169" t="s">
        <v>603</v>
      </c>
      <c r="N645" s="80" t="b">
        <v>0</v>
      </c>
      <c r="O645" s="80"/>
      <c r="P645" s="80"/>
      <c r="Q645" s="80"/>
      <c r="R645" s="80"/>
      <c r="S645" s="80"/>
      <c r="T645" s="80"/>
      <c r="U645" s="80"/>
      <c r="V645" s="80"/>
      <c r="W645" s="202" t="s">
        <v>513</v>
      </c>
      <c r="X645" s="203"/>
      <c r="Y645" s="34"/>
      <c r="Z645" s="34"/>
    </row>
    <row r="646">
      <c r="E646" s="131" t="b">
        <v>0</v>
      </c>
      <c r="F646" s="131" t="b">
        <v>1</v>
      </c>
      <c r="G646" s="131" t="b">
        <v>0</v>
      </c>
      <c r="H646" s="131" t="b">
        <v>0</v>
      </c>
      <c r="I646" s="38">
        <v>43389.0</v>
      </c>
      <c r="J646" s="38">
        <v>43390.0</v>
      </c>
      <c r="K646" s="28">
        <v>24.0</v>
      </c>
      <c r="L646" s="175"/>
      <c r="M646" s="169" t="s">
        <v>603</v>
      </c>
      <c r="N646" s="80" t="b">
        <v>0</v>
      </c>
      <c r="O646" s="80"/>
      <c r="P646" s="80"/>
      <c r="Q646" s="80"/>
      <c r="R646" s="80"/>
      <c r="S646" s="80"/>
      <c r="T646" s="80"/>
      <c r="U646" s="80"/>
      <c r="V646" s="80"/>
      <c r="W646" s="202" t="s">
        <v>513</v>
      </c>
      <c r="X646" s="203"/>
      <c r="Y646" s="34"/>
      <c r="Z646" s="34"/>
    </row>
    <row r="647">
      <c r="E647" s="131" t="b">
        <v>0</v>
      </c>
      <c r="F647" s="131" t="b">
        <v>0</v>
      </c>
      <c r="G647" s="131" t="b">
        <v>1</v>
      </c>
      <c r="H647" s="131" t="b">
        <v>0</v>
      </c>
      <c r="I647" s="38">
        <v>43384.0</v>
      </c>
      <c r="J647" s="38">
        <v>43385.0</v>
      </c>
      <c r="K647" s="28">
        <v>24.0</v>
      </c>
      <c r="L647" s="175"/>
      <c r="M647" s="169" t="s">
        <v>603</v>
      </c>
      <c r="N647" s="80" t="b">
        <v>0</v>
      </c>
      <c r="O647" s="80"/>
      <c r="P647" s="80"/>
      <c r="Q647" s="80"/>
      <c r="R647" s="80"/>
      <c r="S647" s="80"/>
      <c r="T647" s="80"/>
      <c r="U647" s="80"/>
      <c r="V647" s="80"/>
      <c r="W647" s="202" t="s">
        <v>513</v>
      </c>
      <c r="X647" s="203"/>
      <c r="Y647" s="34"/>
      <c r="Z647" s="34"/>
    </row>
    <row r="648">
      <c r="E648" s="131" t="b">
        <v>0</v>
      </c>
      <c r="F648" s="131" t="b">
        <v>1</v>
      </c>
      <c r="G648" s="131" t="b">
        <v>0</v>
      </c>
      <c r="H648" s="131" t="b">
        <v>0</v>
      </c>
      <c r="I648" s="38">
        <v>43383.0</v>
      </c>
      <c r="J648" s="38">
        <v>43384.0</v>
      </c>
      <c r="K648" s="28">
        <v>24.0</v>
      </c>
      <c r="L648" s="175"/>
      <c r="M648" s="169" t="s">
        <v>603</v>
      </c>
      <c r="N648" s="80" t="b">
        <v>0</v>
      </c>
      <c r="O648" s="80"/>
      <c r="P648" s="80"/>
      <c r="Q648" s="80"/>
      <c r="R648" s="80"/>
      <c r="S648" s="80"/>
      <c r="T648" s="80"/>
      <c r="U648" s="80"/>
      <c r="V648" s="80"/>
      <c r="W648" s="202" t="s">
        <v>513</v>
      </c>
      <c r="X648" s="203"/>
      <c r="Y648" s="34"/>
      <c r="Z648" s="34"/>
    </row>
    <row r="649">
      <c r="E649" s="131" t="b">
        <v>0</v>
      </c>
      <c r="F649" s="131" t="b">
        <v>1</v>
      </c>
      <c r="G649" s="131" t="b">
        <v>0</v>
      </c>
      <c r="H649" s="131" t="b">
        <v>0</v>
      </c>
      <c r="I649" s="38">
        <v>43381.0</v>
      </c>
      <c r="J649" s="38">
        <v>43382.0</v>
      </c>
      <c r="K649" s="28">
        <v>24.0</v>
      </c>
      <c r="L649" s="175"/>
      <c r="M649" s="169" t="s">
        <v>603</v>
      </c>
      <c r="N649" s="80" t="b">
        <v>0</v>
      </c>
      <c r="O649" s="80"/>
      <c r="P649" s="80"/>
      <c r="Q649" s="80"/>
      <c r="R649" s="80"/>
      <c r="S649" s="80"/>
      <c r="T649" s="80"/>
      <c r="U649" s="80"/>
      <c r="V649" s="80"/>
      <c r="W649" s="202" t="s">
        <v>513</v>
      </c>
      <c r="X649" s="203"/>
      <c r="Y649" s="34"/>
      <c r="Z649" s="34"/>
    </row>
    <row r="650">
      <c r="E650" s="131" t="b">
        <v>0</v>
      </c>
      <c r="F650" s="131" t="b">
        <v>1</v>
      </c>
      <c r="G650" s="131" t="b">
        <v>0</v>
      </c>
      <c r="H650" s="131" t="b">
        <v>0</v>
      </c>
      <c r="I650" s="38">
        <v>43379.0</v>
      </c>
      <c r="J650" s="38">
        <v>43380.0</v>
      </c>
      <c r="K650" s="28">
        <v>24.0</v>
      </c>
      <c r="L650" s="175"/>
      <c r="M650" s="169" t="s">
        <v>603</v>
      </c>
      <c r="N650" s="80" t="b">
        <v>0</v>
      </c>
      <c r="O650" s="80"/>
      <c r="P650" s="80"/>
      <c r="Q650" s="80"/>
      <c r="R650" s="80"/>
      <c r="S650" s="80"/>
      <c r="T650" s="80"/>
      <c r="U650" s="80"/>
      <c r="V650" s="80"/>
      <c r="W650" s="202" t="s">
        <v>513</v>
      </c>
      <c r="X650" s="203"/>
      <c r="Y650" s="34"/>
      <c r="Z650" s="34"/>
    </row>
    <row r="651">
      <c r="E651" s="131" t="b">
        <v>1</v>
      </c>
      <c r="F651" s="131" t="b">
        <v>0</v>
      </c>
      <c r="G651" s="131" t="b">
        <v>0</v>
      </c>
      <c r="H651" s="131" t="b">
        <v>0</v>
      </c>
      <c r="I651" s="38">
        <v>43370.0</v>
      </c>
      <c r="J651" s="38">
        <v>43370.0</v>
      </c>
      <c r="K651" s="28">
        <v>24.0</v>
      </c>
      <c r="L651" s="175"/>
      <c r="M651" s="169" t="s">
        <v>603</v>
      </c>
      <c r="N651" s="80" t="b">
        <v>0</v>
      </c>
      <c r="O651" s="80"/>
      <c r="P651" s="80"/>
      <c r="Q651" s="80"/>
      <c r="R651" s="80"/>
      <c r="S651" s="80"/>
      <c r="T651" s="80"/>
      <c r="U651" s="80"/>
      <c r="V651" s="80"/>
      <c r="W651" s="202" t="s">
        <v>513</v>
      </c>
      <c r="X651" s="203"/>
      <c r="Y651" s="34"/>
      <c r="Z651" s="34"/>
    </row>
    <row r="652">
      <c r="E652" s="131" t="b">
        <v>0</v>
      </c>
      <c r="F652" s="131" t="b">
        <v>0</v>
      </c>
      <c r="G652" s="131" t="b">
        <v>1</v>
      </c>
      <c r="H652" s="131" t="b">
        <v>0</v>
      </c>
      <c r="I652" s="38">
        <v>43365.0</v>
      </c>
      <c r="J652" s="38">
        <v>43380.0</v>
      </c>
      <c r="K652" s="28">
        <v>360.0</v>
      </c>
      <c r="L652" s="175"/>
      <c r="M652" s="169" t="s">
        <v>603</v>
      </c>
      <c r="N652" s="80" t="b">
        <v>0</v>
      </c>
      <c r="O652" s="80"/>
      <c r="P652" s="80"/>
      <c r="Q652" s="80"/>
      <c r="R652" s="80"/>
      <c r="S652" s="80"/>
      <c r="T652" s="80"/>
      <c r="U652" s="80"/>
      <c r="V652" s="80"/>
      <c r="W652" s="202" t="s">
        <v>513</v>
      </c>
      <c r="X652" s="203"/>
      <c r="Y652" s="34"/>
      <c r="Z652" s="34"/>
    </row>
    <row r="653">
      <c r="E653" s="131" t="b">
        <v>0</v>
      </c>
      <c r="F653" s="131" t="b">
        <v>0</v>
      </c>
      <c r="G653" s="131" t="b">
        <v>1</v>
      </c>
      <c r="H653" s="131" t="b">
        <v>0</v>
      </c>
      <c r="I653" s="38">
        <v>43358.0</v>
      </c>
      <c r="J653" s="38">
        <v>43359.0</v>
      </c>
      <c r="K653" s="28">
        <v>24.0</v>
      </c>
      <c r="L653" s="175"/>
      <c r="M653" s="169" t="s">
        <v>603</v>
      </c>
      <c r="N653" s="80" t="b">
        <v>0</v>
      </c>
      <c r="O653" s="80"/>
      <c r="P653" s="80"/>
      <c r="Q653" s="80"/>
      <c r="R653" s="80"/>
      <c r="S653" s="80"/>
      <c r="T653" s="80"/>
      <c r="U653" s="80"/>
      <c r="V653" s="80"/>
      <c r="W653" s="202" t="s">
        <v>513</v>
      </c>
      <c r="X653" s="203"/>
      <c r="Y653" s="34"/>
      <c r="Z653" s="34"/>
    </row>
    <row r="654">
      <c r="E654" s="131" t="b">
        <v>0</v>
      </c>
      <c r="F654" s="131" t="b">
        <v>0</v>
      </c>
      <c r="G654" s="131" t="b">
        <v>1</v>
      </c>
      <c r="H654" s="131" t="b">
        <v>0</v>
      </c>
      <c r="I654" s="38">
        <v>43355.0</v>
      </c>
      <c r="J654" s="38">
        <v>43356.0</v>
      </c>
      <c r="K654" s="28">
        <v>24.0</v>
      </c>
      <c r="L654" s="175"/>
      <c r="M654" s="169" t="s">
        <v>603</v>
      </c>
      <c r="N654" s="80" t="b">
        <v>0</v>
      </c>
      <c r="O654" s="80"/>
      <c r="P654" s="80"/>
      <c r="Q654" s="80"/>
      <c r="R654" s="80"/>
      <c r="S654" s="80"/>
      <c r="T654" s="80"/>
      <c r="U654" s="80"/>
      <c r="V654" s="80"/>
      <c r="W654" s="202" t="s">
        <v>513</v>
      </c>
      <c r="X654" s="203"/>
      <c r="Y654" s="34"/>
      <c r="Z654" s="34"/>
    </row>
    <row r="655">
      <c r="E655" s="131" t="b">
        <v>0</v>
      </c>
      <c r="F655" s="131" t="b">
        <v>0</v>
      </c>
      <c r="G655" s="131" t="b">
        <v>1</v>
      </c>
      <c r="H655" s="131" t="b">
        <v>0</v>
      </c>
      <c r="I655" s="38">
        <v>43341.0</v>
      </c>
      <c r="J655" s="38">
        <v>43342.0</v>
      </c>
      <c r="K655" s="28">
        <v>24.0</v>
      </c>
      <c r="L655" s="175"/>
      <c r="M655" s="169" t="s">
        <v>603</v>
      </c>
      <c r="N655" s="80" t="b">
        <v>0</v>
      </c>
      <c r="O655" s="80"/>
      <c r="P655" s="80"/>
      <c r="Q655" s="80"/>
      <c r="R655" s="80"/>
      <c r="S655" s="80"/>
      <c r="T655" s="80"/>
      <c r="U655" s="80"/>
      <c r="V655" s="80"/>
      <c r="W655" s="202" t="s">
        <v>513</v>
      </c>
      <c r="X655" s="203"/>
      <c r="Y655" s="34"/>
      <c r="Z655" s="34"/>
    </row>
    <row r="656">
      <c r="E656" s="131" t="b">
        <v>0</v>
      </c>
      <c r="F656" s="131" t="b">
        <v>0</v>
      </c>
      <c r="G656" s="131" t="b">
        <v>1</v>
      </c>
      <c r="H656" s="131" t="b">
        <v>0</v>
      </c>
      <c r="I656" s="38">
        <v>43336.0</v>
      </c>
      <c r="J656" s="38">
        <v>43337.0</v>
      </c>
      <c r="K656" s="28">
        <v>24.0</v>
      </c>
      <c r="L656" s="175"/>
      <c r="M656" s="169" t="s">
        <v>603</v>
      </c>
      <c r="N656" s="80" t="b">
        <v>0</v>
      </c>
      <c r="O656" s="80"/>
      <c r="P656" s="80"/>
      <c r="Q656" s="80"/>
      <c r="R656" s="80"/>
      <c r="S656" s="80"/>
      <c r="T656" s="80"/>
      <c r="U656" s="80"/>
      <c r="V656" s="80"/>
      <c r="W656" s="202" t="s">
        <v>513</v>
      </c>
      <c r="X656" s="203"/>
      <c r="Y656" s="34"/>
      <c r="Z656" s="34"/>
    </row>
    <row r="657">
      <c r="E657" s="131" t="b">
        <v>0</v>
      </c>
      <c r="F657" s="131" t="b">
        <v>0</v>
      </c>
      <c r="G657" s="131" t="b">
        <v>1</v>
      </c>
      <c r="H657" s="131" t="b">
        <v>0</v>
      </c>
      <c r="I657" s="38">
        <v>43329.0</v>
      </c>
      <c r="J657" s="38">
        <v>43330.0</v>
      </c>
      <c r="K657" s="28">
        <v>24.0</v>
      </c>
      <c r="L657" s="175"/>
      <c r="M657" s="169" t="s">
        <v>603</v>
      </c>
      <c r="N657" s="80" t="b">
        <v>0</v>
      </c>
      <c r="O657" s="80"/>
      <c r="P657" s="80"/>
      <c r="Q657" s="80"/>
      <c r="R657" s="80"/>
      <c r="S657" s="80"/>
      <c r="T657" s="80"/>
      <c r="U657" s="80"/>
      <c r="V657" s="80"/>
      <c r="W657" s="202" t="s">
        <v>513</v>
      </c>
      <c r="X657" s="203"/>
      <c r="Y657" s="34"/>
      <c r="Z657" s="34"/>
    </row>
    <row r="658">
      <c r="E658" s="131" t="b">
        <v>0</v>
      </c>
      <c r="F658" s="131" t="b">
        <v>0</v>
      </c>
      <c r="G658" s="131" t="b">
        <v>1</v>
      </c>
      <c r="H658" s="131" t="b">
        <v>0</v>
      </c>
      <c r="I658" s="38">
        <v>43324.0</v>
      </c>
      <c r="J658" s="38">
        <v>43325.0</v>
      </c>
      <c r="K658" s="28">
        <v>24.0</v>
      </c>
      <c r="L658" s="175"/>
      <c r="M658" s="169" t="s">
        <v>603</v>
      </c>
      <c r="N658" s="80" t="b">
        <v>0</v>
      </c>
      <c r="O658" s="80"/>
      <c r="P658" s="80"/>
      <c r="Q658" s="80"/>
      <c r="R658" s="80"/>
      <c r="S658" s="80"/>
      <c r="T658" s="80"/>
      <c r="U658" s="80"/>
      <c r="V658" s="80"/>
      <c r="W658" s="202" t="s">
        <v>513</v>
      </c>
      <c r="X658" s="203"/>
      <c r="Y658" s="34"/>
      <c r="Z658" s="34"/>
    </row>
    <row r="659">
      <c r="E659" s="131" t="b">
        <v>0</v>
      </c>
      <c r="F659" s="131" t="b">
        <v>0</v>
      </c>
      <c r="G659" s="131" t="b">
        <v>1</v>
      </c>
      <c r="H659" s="131" t="b">
        <v>0</v>
      </c>
      <c r="I659" s="38">
        <v>43314.0</v>
      </c>
      <c r="J659" s="38">
        <v>43315.0</v>
      </c>
      <c r="K659" s="28">
        <v>24.0</v>
      </c>
      <c r="L659" s="175"/>
      <c r="M659" s="169" t="s">
        <v>603</v>
      </c>
      <c r="N659" s="80" t="b">
        <v>0</v>
      </c>
      <c r="O659" s="80"/>
      <c r="P659" s="80"/>
      <c r="Q659" s="80"/>
      <c r="R659" s="80"/>
      <c r="S659" s="80"/>
      <c r="T659" s="80"/>
      <c r="U659" s="80"/>
      <c r="V659" s="80"/>
      <c r="W659" s="202" t="s">
        <v>513</v>
      </c>
      <c r="X659" s="203"/>
      <c r="Y659" s="34"/>
      <c r="Z659" s="34"/>
    </row>
    <row r="660">
      <c r="E660" s="131" t="b">
        <v>0</v>
      </c>
      <c r="F660" s="131" t="b">
        <v>0</v>
      </c>
      <c r="G660" s="131" t="b">
        <v>1</v>
      </c>
      <c r="H660" s="131" t="b">
        <v>0</v>
      </c>
      <c r="I660" s="38">
        <v>43306.0</v>
      </c>
      <c r="J660" s="38">
        <v>43307.0</v>
      </c>
      <c r="K660" s="28">
        <v>24.0</v>
      </c>
      <c r="L660" s="175"/>
      <c r="M660" s="169" t="s">
        <v>603</v>
      </c>
      <c r="N660" s="80" t="b">
        <v>0</v>
      </c>
      <c r="O660" s="80"/>
      <c r="P660" s="80"/>
      <c r="Q660" s="80"/>
      <c r="R660" s="80"/>
      <c r="S660" s="80"/>
      <c r="T660" s="80"/>
      <c r="U660" s="80"/>
      <c r="V660" s="80"/>
      <c r="W660" s="202" t="s">
        <v>513</v>
      </c>
      <c r="X660" s="203"/>
      <c r="Y660" s="34"/>
      <c r="Z660" s="34"/>
    </row>
    <row r="661">
      <c r="E661" s="131" t="b">
        <v>0</v>
      </c>
      <c r="F661" s="131" t="b">
        <v>0</v>
      </c>
      <c r="G661" s="131" t="b">
        <v>1</v>
      </c>
      <c r="H661" s="131" t="b">
        <v>0</v>
      </c>
      <c r="I661" s="38">
        <v>43303.0</v>
      </c>
      <c r="J661" s="38">
        <v>43304.0</v>
      </c>
      <c r="K661" s="28">
        <v>24.0</v>
      </c>
      <c r="L661" s="175"/>
      <c r="M661" s="169" t="s">
        <v>603</v>
      </c>
      <c r="N661" s="80" t="b">
        <v>0</v>
      </c>
      <c r="O661" s="80"/>
      <c r="P661" s="80"/>
      <c r="Q661" s="80"/>
      <c r="R661" s="80"/>
      <c r="S661" s="80"/>
      <c r="T661" s="80"/>
      <c r="U661" s="80"/>
      <c r="V661" s="80"/>
      <c r="W661" s="202" t="s">
        <v>513</v>
      </c>
      <c r="X661" s="203"/>
      <c r="Y661" s="34"/>
      <c r="Z661" s="34"/>
    </row>
    <row r="662">
      <c r="E662" s="131" t="b">
        <v>0</v>
      </c>
      <c r="F662" s="131" t="b">
        <v>0</v>
      </c>
      <c r="G662" s="131" t="b">
        <v>1</v>
      </c>
      <c r="H662" s="131" t="b">
        <v>0</v>
      </c>
      <c r="I662" s="38">
        <v>43293.0</v>
      </c>
      <c r="J662" s="38">
        <v>43294.0</v>
      </c>
      <c r="K662" s="28">
        <v>24.0</v>
      </c>
      <c r="L662" s="175"/>
      <c r="M662" s="169" t="s">
        <v>603</v>
      </c>
      <c r="N662" s="80" t="b">
        <v>0</v>
      </c>
      <c r="O662" s="80"/>
      <c r="P662" s="80"/>
      <c r="Q662" s="80"/>
      <c r="R662" s="80"/>
      <c r="S662" s="80"/>
      <c r="T662" s="80"/>
      <c r="U662" s="80"/>
      <c r="V662" s="80"/>
      <c r="W662" s="202" t="s">
        <v>513</v>
      </c>
      <c r="X662" s="203"/>
      <c r="Y662" s="34"/>
      <c r="Z662" s="34"/>
    </row>
    <row r="663">
      <c r="E663" s="131" t="b">
        <v>0</v>
      </c>
      <c r="F663" s="131" t="b">
        <v>0</v>
      </c>
      <c r="G663" s="131" t="b">
        <v>1</v>
      </c>
      <c r="H663" s="131" t="b">
        <v>0</v>
      </c>
      <c r="I663" s="38">
        <v>43291.0</v>
      </c>
      <c r="J663" s="38">
        <v>43292.0</v>
      </c>
      <c r="K663" s="28">
        <v>24.0</v>
      </c>
      <c r="L663" s="175"/>
      <c r="M663" s="169" t="s">
        <v>603</v>
      </c>
      <c r="N663" s="80" t="b">
        <v>0</v>
      </c>
      <c r="O663" s="80"/>
      <c r="P663" s="80"/>
      <c r="Q663" s="80"/>
      <c r="R663" s="80"/>
      <c r="S663" s="80"/>
      <c r="T663" s="80"/>
      <c r="U663" s="80"/>
      <c r="V663" s="80"/>
      <c r="W663" s="202" t="s">
        <v>513</v>
      </c>
      <c r="X663" s="203"/>
      <c r="Y663" s="34"/>
      <c r="Z663" s="34"/>
    </row>
    <row r="664">
      <c r="E664" s="131" t="b">
        <v>1</v>
      </c>
      <c r="F664" s="131" t="b">
        <v>0</v>
      </c>
      <c r="G664" s="131" t="b">
        <v>0</v>
      </c>
      <c r="H664" s="131" t="b">
        <v>0</v>
      </c>
      <c r="I664" s="38">
        <v>43288.0</v>
      </c>
      <c r="J664" s="38">
        <v>43289.0</v>
      </c>
      <c r="K664" s="28">
        <v>24.0</v>
      </c>
      <c r="L664" s="175"/>
      <c r="M664" s="169" t="s">
        <v>603</v>
      </c>
      <c r="N664" s="80" t="b">
        <v>0</v>
      </c>
      <c r="O664" s="80"/>
      <c r="P664" s="80"/>
      <c r="Q664" s="80"/>
      <c r="R664" s="80"/>
      <c r="S664" s="80"/>
      <c r="T664" s="80"/>
      <c r="U664" s="80"/>
      <c r="V664" s="80"/>
      <c r="W664" s="202" t="s">
        <v>513</v>
      </c>
      <c r="X664" s="203"/>
      <c r="Y664" s="34"/>
      <c r="Z664" s="34"/>
    </row>
    <row r="665">
      <c r="E665" s="131" t="b">
        <v>0</v>
      </c>
      <c r="F665" s="131" t="b">
        <v>0</v>
      </c>
      <c r="G665" s="131" t="b">
        <v>1</v>
      </c>
      <c r="H665" s="131" t="b">
        <v>0</v>
      </c>
      <c r="I665" s="38">
        <v>43287.0</v>
      </c>
      <c r="J665" s="38">
        <v>43290.0</v>
      </c>
      <c r="K665" s="28">
        <v>72.0</v>
      </c>
      <c r="L665" s="175"/>
      <c r="M665" s="169" t="s">
        <v>603</v>
      </c>
      <c r="N665" s="80" t="b">
        <v>0</v>
      </c>
      <c r="O665" s="80"/>
      <c r="P665" s="80"/>
      <c r="Q665" s="80"/>
      <c r="R665" s="80"/>
      <c r="S665" s="80"/>
      <c r="T665" s="80"/>
      <c r="U665" s="80"/>
      <c r="V665" s="80"/>
      <c r="W665" s="202" t="s">
        <v>513</v>
      </c>
      <c r="X665" s="203"/>
      <c r="Y665" s="34"/>
      <c r="Z665" s="34"/>
    </row>
    <row r="666">
      <c r="E666" s="131" t="b">
        <v>0</v>
      </c>
      <c r="F666" s="131" t="b">
        <v>0</v>
      </c>
      <c r="G666" s="131" t="b">
        <v>1</v>
      </c>
      <c r="H666" s="131" t="b">
        <v>0</v>
      </c>
      <c r="I666" s="38">
        <v>43276.0</v>
      </c>
      <c r="J666" s="38">
        <v>43277.0</v>
      </c>
      <c r="K666" s="28">
        <v>24.0</v>
      </c>
      <c r="L666" s="175"/>
      <c r="M666" s="169" t="s">
        <v>603</v>
      </c>
      <c r="N666" s="80" t="b">
        <v>0</v>
      </c>
      <c r="O666" s="80"/>
      <c r="P666" s="80"/>
      <c r="Q666" s="80"/>
      <c r="R666" s="80"/>
      <c r="S666" s="80"/>
      <c r="T666" s="80"/>
      <c r="U666" s="80"/>
      <c r="V666" s="80"/>
      <c r="W666" s="202" t="s">
        <v>513</v>
      </c>
      <c r="X666" s="203"/>
      <c r="Y666" s="34"/>
      <c r="Z666" s="34"/>
    </row>
    <row r="667">
      <c r="E667" s="131" t="b">
        <v>0</v>
      </c>
      <c r="F667" s="131" t="b">
        <v>0</v>
      </c>
      <c r="G667" s="131" t="b">
        <v>1</v>
      </c>
      <c r="H667" s="131" t="b">
        <v>0</v>
      </c>
      <c r="I667" s="38">
        <v>43276.0</v>
      </c>
      <c r="J667" s="38">
        <v>43277.0</v>
      </c>
      <c r="K667" s="28">
        <v>24.0</v>
      </c>
      <c r="L667" s="175"/>
      <c r="M667" s="169" t="s">
        <v>603</v>
      </c>
      <c r="N667" s="80" t="b">
        <v>0</v>
      </c>
      <c r="O667" s="80"/>
      <c r="P667" s="80"/>
      <c r="Q667" s="80"/>
      <c r="R667" s="80"/>
      <c r="S667" s="80"/>
      <c r="T667" s="80"/>
      <c r="U667" s="80"/>
      <c r="V667" s="80"/>
      <c r="W667" s="202" t="s">
        <v>513</v>
      </c>
      <c r="X667" s="203"/>
      <c r="Y667" s="34"/>
      <c r="Z667" s="34"/>
    </row>
    <row r="668">
      <c r="E668" s="131" t="b">
        <v>0</v>
      </c>
      <c r="F668" s="131" t="b">
        <v>0</v>
      </c>
      <c r="G668" s="131" t="b">
        <v>1</v>
      </c>
      <c r="H668" s="131" t="b">
        <v>0</v>
      </c>
      <c r="I668" s="38">
        <v>43273.0</v>
      </c>
      <c r="J668" s="38">
        <v>43274.0</v>
      </c>
      <c r="K668" s="28">
        <v>24.0</v>
      </c>
      <c r="L668" s="175"/>
      <c r="M668" s="169" t="s">
        <v>603</v>
      </c>
      <c r="N668" s="80" t="b">
        <v>0</v>
      </c>
      <c r="O668" s="80"/>
      <c r="P668" s="80"/>
      <c r="Q668" s="80"/>
      <c r="R668" s="80"/>
      <c r="S668" s="80"/>
      <c r="T668" s="80"/>
      <c r="U668" s="80"/>
      <c r="V668" s="80"/>
      <c r="W668" s="202" t="s">
        <v>513</v>
      </c>
      <c r="X668" s="203"/>
      <c r="Y668" s="34"/>
      <c r="Z668" s="34"/>
    </row>
    <row r="669">
      <c r="E669" s="131" t="b">
        <v>1</v>
      </c>
      <c r="F669" s="131" t="b">
        <v>0</v>
      </c>
      <c r="G669" s="131" t="b">
        <v>0</v>
      </c>
      <c r="H669" s="131" t="b">
        <v>0</v>
      </c>
      <c r="I669" s="38">
        <v>43253.0</v>
      </c>
      <c r="J669" s="38">
        <v>43254.0</v>
      </c>
      <c r="K669" s="28">
        <v>24.0</v>
      </c>
      <c r="L669" s="175"/>
      <c r="M669" s="169" t="s">
        <v>603</v>
      </c>
      <c r="N669" s="80" t="b">
        <v>0</v>
      </c>
      <c r="O669" s="80"/>
      <c r="P669" s="80"/>
      <c r="Q669" s="80"/>
      <c r="R669" s="80"/>
      <c r="S669" s="80"/>
      <c r="T669" s="80"/>
      <c r="U669" s="80"/>
      <c r="V669" s="80"/>
      <c r="W669" s="202" t="s">
        <v>513</v>
      </c>
      <c r="X669" s="203"/>
      <c r="Y669" s="34"/>
      <c r="Z669" s="34"/>
    </row>
    <row r="670">
      <c r="E670" s="131" t="b">
        <v>0</v>
      </c>
      <c r="F670" s="131" t="b">
        <v>0</v>
      </c>
      <c r="G670" s="131" t="b">
        <v>1</v>
      </c>
      <c r="H670" s="131" t="b">
        <v>0</v>
      </c>
      <c r="I670" s="38">
        <v>43232.0</v>
      </c>
      <c r="J670" s="38">
        <v>43233.0</v>
      </c>
      <c r="K670" s="28">
        <v>24.0</v>
      </c>
      <c r="L670" s="175"/>
      <c r="M670" s="169" t="s">
        <v>603</v>
      </c>
      <c r="N670" s="80" t="b">
        <v>0</v>
      </c>
      <c r="O670" s="80"/>
      <c r="P670" s="80"/>
      <c r="Q670" s="80"/>
      <c r="R670" s="80"/>
      <c r="S670" s="80"/>
      <c r="T670" s="80"/>
      <c r="U670" s="80"/>
      <c r="V670" s="80"/>
      <c r="W670" s="202" t="s">
        <v>513</v>
      </c>
      <c r="X670" s="203"/>
      <c r="Y670" s="34"/>
      <c r="Z670" s="34"/>
    </row>
    <row r="671">
      <c r="E671" s="131" t="b">
        <v>0</v>
      </c>
      <c r="F671" s="131" t="b">
        <v>0</v>
      </c>
      <c r="G671" s="131" t="b">
        <v>1</v>
      </c>
      <c r="H671" s="131" t="b">
        <v>0</v>
      </c>
      <c r="I671" s="38">
        <v>43231.0</v>
      </c>
      <c r="J671" s="38">
        <v>43232.0</v>
      </c>
      <c r="K671" s="28">
        <v>24.0</v>
      </c>
      <c r="L671" s="175"/>
      <c r="M671" s="169" t="s">
        <v>603</v>
      </c>
      <c r="N671" s="80" t="b">
        <v>0</v>
      </c>
      <c r="O671" s="80"/>
      <c r="P671" s="80"/>
      <c r="Q671" s="80"/>
      <c r="R671" s="80"/>
      <c r="S671" s="80"/>
      <c r="T671" s="80"/>
      <c r="U671" s="80"/>
      <c r="V671" s="80"/>
      <c r="W671" s="202" t="s">
        <v>513</v>
      </c>
      <c r="X671" s="203"/>
      <c r="Y671" s="34"/>
      <c r="Z671" s="34"/>
    </row>
    <row r="672">
      <c r="E672" s="131" t="b">
        <v>1</v>
      </c>
      <c r="F672" s="131" t="b">
        <v>0</v>
      </c>
      <c r="G672" s="131" t="b">
        <v>0</v>
      </c>
      <c r="H672" s="131" t="b">
        <v>0</v>
      </c>
      <c r="I672" s="38">
        <v>43225.0</v>
      </c>
      <c r="J672" s="38">
        <v>43226.0</v>
      </c>
      <c r="K672" s="28">
        <v>24.0</v>
      </c>
      <c r="L672" s="175"/>
      <c r="M672" s="169" t="s">
        <v>603</v>
      </c>
      <c r="N672" s="80" t="b">
        <v>0</v>
      </c>
      <c r="O672" s="80"/>
      <c r="P672" s="80"/>
      <c r="Q672" s="80"/>
      <c r="R672" s="80"/>
      <c r="S672" s="80"/>
      <c r="T672" s="80"/>
      <c r="U672" s="80"/>
      <c r="V672" s="80"/>
      <c r="W672" s="202" t="s">
        <v>513</v>
      </c>
      <c r="X672" s="203"/>
      <c r="Y672" s="34"/>
      <c r="Z672" s="34"/>
    </row>
    <row r="673">
      <c r="E673" s="131" t="b">
        <v>1</v>
      </c>
      <c r="F673" s="131" t="b">
        <v>0</v>
      </c>
      <c r="G673" s="131" t="b">
        <v>0</v>
      </c>
      <c r="H673" s="131" t="b">
        <v>0</v>
      </c>
      <c r="I673" s="38">
        <v>43220.0</v>
      </c>
      <c r="J673" s="38">
        <v>43221.0</v>
      </c>
      <c r="K673" s="28">
        <v>24.0</v>
      </c>
      <c r="L673" s="175"/>
      <c r="M673" s="169" t="s">
        <v>603</v>
      </c>
      <c r="N673" s="80" t="b">
        <v>0</v>
      </c>
      <c r="O673" s="80"/>
      <c r="P673" s="80"/>
      <c r="Q673" s="80"/>
      <c r="R673" s="80"/>
      <c r="S673" s="80"/>
      <c r="T673" s="80"/>
      <c r="U673" s="80"/>
      <c r="V673" s="80"/>
      <c r="W673" s="202" t="s">
        <v>513</v>
      </c>
      <c r="X673" s="203"/>
      <c r="Y673" s="34"/>
      <c r="Z673" s="34"/>
    </row>
    <row r="674">
      <c r="E674" s="131" t="b">
        <v>0</v>
      </c>
      <c r="F674" s="131" t="b">
        <v>0</v>
      </c>
      <c r="G674" s="131" t="b">
        <v>1</v>
      </c>
      <c r="H674" s="131" t="b">
        <v>0</v>
      </c>
      <c r="I674" s="38">
        <v>43214.0</v>
      </c>
      <c r="J674" s="38">
        <v>43215.0</v>
      </c>
      <c r="K674" s="28">
        <v>24.0</v>
      </c>
      <c r="L674" s="175"/>
      <c r="M674" s="169" t="s">
        <v>603</v>
      </c>
      <c r="N674" s="80" t="b">
        <v>0</v>
      </c>
      <c r="O674" s="80"/>
      <c r="P674" s="80"/>
      <c r="Q674" s="80"/>
      <c r="R674" s="80"/>
      <c r="S674" s="80"/>
      <c r="T674" s="80"/>
      <c r="U674" s="80"/>
      <c r="V674" s="80"/>
      <c r="W674" s="202" t="s">
        <v>513</v>
      </c>
      <c r="X674" s="203"/>
      <c r="Y674" s="34"/>
      <c r="Z674" s="34"/>
    </row>
    <row r="675">
      <c r="E675" s="131" t="b">
        <v>0</v>
      </c>
      <c r="F675" s="131" t="b">
        <v>0</v>
      </c>
      <c r="G675" s="131" t="b">
        <v>1</v>
      </c>
      <c r="H675" s="131" t="b">
        <v>0</v>
      </c>
      <c r="I675" s="38">
        <v>43201.0</v>
      </c>
      <c r="J675" s="38">
        <v>43202.0</v>
      </c>
      <c r="K675" s="28">
        <v>24.0</v>
      </c>
      <c r="L675" s="175"/>
      <c r="M675" s="169" t="s">
        <v>603</v>
      </c>
      <c r="N675" s="80" t="b">
        <v>0</v>
      </c>
      <c r="O675" s="80"/>
      <c r="P675" s="80"/>
      <c r="Q675" s="80"/>
      <c r="R675" s="80"/>
      <c r="S675" s="80"/>
      <c r="T675" s="80"/>
      <c r="U675" s="80"/>
      <c r="V675" s="80"/>
      <c r="W675" s="202" t="s">
        <v>513</v>
      </c>
      <c r="X675" s="203"/>
      <c r="Y675" s="34"/>
      <c r="Z675" s="34"/>
    </row>
    <row r="676">
      <c r="E676" s="131" t="b">
        <v>0</v>
      </c>
      <c r="F676" s="131" t="b">
        <v>0</v>
      </c>
      <c r="G676" s="131" t="b">
        <v>1</v>
      </c>
      <c r="H676" s="131" t="b">
        <v>0</v>
      </c>
      <c r="I676" s="38">
        <v>43193.0</v>
      </c>
      <c r="J676" s="38">
        <v>43194.0</v>
      </c>
      <c r="K676" s="28">
        <v>24.0</v>
      </c>
      <c r="L676" s="175"/>
      <c r="M676" s="169" t="s">
        <v>603</v>
      </c>
      <c r="N676" s="80" t="b">
        <v>0</v>
      </c>
      <c r="O676" s="80"/>
      <c r="P676" s="80"/>
      <c r="Q676" s="80"/>
      <c r="R676" s="80"/>
      <c r="S676" s="80"/>
      <c r="T676" s="80"/>
      <c r="U676" s="80"/>
      <c r="V676" s="80"/>
      <c r="W676" s="202" t="s">
        <v>513</v>
      </c>
      <c r="X676" s="203"/>
      <c r="Y676" s="34"/>
      <c r="Z676" s="34"/>
    </row>
    <row r="677">
      <c r="E677" s="131" t="b">
        <v>1</v>
      </c>
      <c r="F677" s="131" t="b">
        <v>0</v>
      </c>
      <c r="G677" s="131" t="b">
        <v>0</v>
      </c>
      <c r="H677" s="131" t="b">
        <v>0</v>
      </c>
      <c r="I677" s="38">
        <v>43192.0</v>
      </c>
      <c r="J677" s="38">
        <v>43204.0</v>
      </c>
      <c r="K677" s="28">
        <v>288.0</v>
      </c>
      <c r="L677" s="175"/>
      <c r="M677" s="169" t="s">
        <v>603</v>
      </c>
      <c r="N677" s="80" t="b">
        <v>0</v>
      </c>
      <c r="O677" s="80"/>
      <c r="P677" s="80"/>
      <c r="Q677" s="80"/>
      <c r="R677" s="80"/>
      <c r="S677" s="80"/>
      <c r="T677" s="80"/>
      <c r="U677" s="80"/>
      <c r="V677" s="80"/>
      <c r="W677" s="202" t="s">
        <v>513</v>
      </c>
      <c r="X677" s="203"/>
      <c r="Y677" s="34"/>
      <c r="Z677" s="34"/>
    </row>
    <row r="678">
      <c r="E678" s="131" t="b">
        <v>0</v>
      </c>
      <c r="F678" s="131" t="b">
        <v>0</v>
      </c>
      <c r="G678" s="131" t="b">
        <v>1</v>
      </c>
      <c r="H678" s="131" t="b">
        <v>0</v>
      </c>
      <c r="I678" s="38">
        <v>43191.0</v>
      </c>
      <c r="J678" s="38">
        <v>43191.0</v>
      </c>
      <c r="K678" s="28">
        <v>24.0</v>
      </c>
      <c r="L678" s="175"/>
      <c r="M678" s="169" t="s">
        <v>603</v>
      </c>
      <c r="N678" s="80" t="b">
        <v>0</v>
      </c>
      <c r="O678" s="80"/>
      <c r="P678" s="80"/>
      <c r="Q678" s="80"/>
      <c r="R678" s="80"/>
      <c r="S678" s="80"/>
      <c r="T678" s="80"/>
      <c r="U678" s="80"/>
      <c r="V678" s="80"/>
      <c r="W678" s="202" t="s">
        <v>513</v>
      </c>
      <c r="X678" s="203"/>
      <c r="Y678" s="34"/>
      <c r="Z678" s="34"/>
    </row>
    <row r="679">
      <c r="E679" s="131" t="b">
        <v>0</v>
      </c>
      <c r="F679" s="131" t="b">
        <v>0</v>
      </c>
      <c r="G679" s="131" t="b">
        <v>1</v>
      </c>
      <c r="H679" s="131" t="b">
        <v>0</v>
      </c>
      <c r="I679" s="38">
        <v>43183.0</v>
      </c>
      <c r="J679" s="38">
        <v>43184.0</v>
      </c>
      <c r="K679" s="28">
        <v>24.0</v>
      </c>
      <c r="L679" s="175"/>
      <c r="M679" s="169" t="s">
        <v>603</v>
      </c>
      <c r="N679" s="80" t="b">
        <v>0</v>
      </c>
      <c r="O679" s="80"/>
      <c r="P679" s="80"/>
      <c r="Q679" s="80"/>
      <c r="R679" s="80"/>
      <c r="S679" s="80"/>
      <c r="T679" s="80"/>
      <c r="U679" s="80"/>
      <c r="V679" s="80"/>
      <c r="W679" s="202" t="s">
        <v>513</v>
      </c>
      <c r="X679" s="203"/>
      <c r="Y679" s="34"/>
      <c r="Z679" s="34"/>
    </row>
    <row r="680">
      <c r="E680" s="131" t="b">
        <v>0</v>
      </c>
      <c r="F680" s="131" t="b">
        <v>0</v>
      </c>
      <c r="G680" s="131" t="b">
        <v>1</v>
      </c>
      <c r="H680" s="131" t="b">
        <v>0</v>
      </c>
      <c r="I680" s="38">
        <v>43171.0</v>
      </c>
      <c r="J680" s="38">
        <v>43172.0</v>
      </c>
      <c r="K680" s="28">
        <v>24.0</v>
      </c>
      <c r="L680" s="175"/>
      <c r="M680" s="169" t="s">
        <v>603</v>
      </c>
      <c r="N680" s="80" t="b">
        <v>0</v>
      </c>
      <c r="O680" s="80"/>
      <c r="P680" s="80"/>
      <c r="Q680" s="80"/>
      <c r="R680" s="80"/>
      <c r="S680" s="80"/>
      <c r="T680" s="80"/>
      <c r="U680" s="80"/>
      <c r="V680" s="80"/>
      <c r="W680" s="202" t="s">
        <v>513</v>
      </c>
      <c r="X680" s="203"/>
      <c r="Y680" s="34"/>
      <c r="Z680" s="34"/>
    </row>
    <row r="681">
      <c r="E681" s="131" t="b">
        <v>0</v>
      </c>
      <c r="F681" s="131" t="b">
        <v>0</v>
      </c>
      <c r="G681" s="131" t="b">
        <v>1</v>
      </c>
      <c r="H681" s="131" t="b">
        <v>0</v>
      </c>
      <c r="I681" s="38">
        <v>43167.0</v>
      </c>
      <c r="J681" s="38">
        <v>43168.0</v>
      </c>
      <c r="K681" s="28">
        <v>24.0</v>
      </c>
      <c r="L681" s="175"/>
      <c r="M681" s="169" t="s">
        <v>603</v>
      </c>
      <c r="N681" s="80" t="b">
        <v>0</v>
      </c>
      <c r="O681" s="80"/>
      <c r="P681" s="80"/>
      <c r="Q681" s="80"/>
      <c r="R681" s="80"/>
      <c r="S681" s="80"/>
      <c r="T681" s="80"/>
      <c r="U681" s="80"/>
      <c r="V681" s="80"/>
      <c r="W681" s="202" t="s">
        <v>513</v>
      </c>
      <c r="X681" s="203"/>
      <c r="Y681" s="34"/>
      <c r="Z681" s="34"/>
    </row>
    <row r="682">
      <c r="E682" s="131" t="b">
        <v>0</v>
      </c>
      <c r="F682" s="131" t="b">
        <v>0</v>
      </c>
      <c r="G682" s="131" t="b">
        <v>1</v>
      </c>
      <c r="H682" s="131" t="b">
        <v>0</v>
      </c>
      <c r="I682" s="38">
        <v>43163.0</v>
      </c>
      <c r="J682" s="38">
        <v>43165.0</v>
      </c>
      <c r="K682" s="28">
        <v>48.0</v>
      </c>
      <c r="L682" s="175"/>
      <c r="M682" s="169" t="s">
        <v>603</v>
      </c>
      <c r="N682" s="80" t="b">
        <v>0</v>
      </c>
      <c r="O682" s="80"/>
      <c r="P682" s="80"/>
      <c r="Q682" s="80"/>
      <c r="R682" s="80"/>
      <c r="S682" s="80"/>
      <c r="T682" s="80"/>
      <c r="U682" s="80"/>
      <c r="V682" s="80"/>
      <c r="W682" s="202" t="s">
        <v>513</v>
      </c>
      <c r="X682" s="203"/>
      <c r="Y682" s="34"/>
      <c r="Z682" s="34"/>
    </row>
    <row r="683">
      <c r="E683" s="131" t="b">
        <v>0</v>
      </c>
      <c r="F683" s="131" t="b">
        <v>0</v>
      </c>
      <c r="G683" s="131" t="b">
        <v>1</v>
      </c>
      <c r="H683" s="131" t="b">
        <v>0</v>
      </c>
      <c r="I683" s="38">
        <v>43160.0</v>
      </c>
      <c r="J683" s="38">
        <v>43161.0</v>
      </c>
      <c r="K683" s="28">
        <v>24.0</v>
      </c>
      <c r="L683" s="175"/>
      <c r="M683" s="169" t="s">
        <v>603</v>
      </c>
      <c r="N683" s="80" t="b">
        <v>0</v>
      </c>
      <c r="O683" s="80"/>
      <c r="P683" s="80"/>
      <c r="Q683" s="80"/>
      <c r="R683" s="80"/>
      <c r="S683" s="80"/>
      <c r="T683" s="80"/>
      <c r="U683" s="80"/>
      <c r="V683" s="80"/>
      <c r="W683" s="202" t="s">
        <v>513</v>
      </c>
      <c r="X683" s="203"/>
      <c r="Y683" s="34"/>
      <c r="Z683" s="34"/>
    </row>
    <row r="684">
      <c r="E684" s="131" t="b">
        <v>0</v>
      </c>
      <c r="F684" s="131" t="b">
        <v>0</v>
      </c>
      <c r="G684" s="131" t="b">
        <v>1</v>
      </c>
      <c r="H684" s="131" t="b">
        <v>0</v>
      </c>
      <c r="I684" s="38">
        <v>43143.0</v>
      </c>
      <c r="J684" s="38">
        <v>43144.0</v>
      </c>
      <c r="K684" s="28">
        <v>24.0</v>
      </c>
      <c r="L684" s="175"/>
      <c r="M684" s="169" t="s">
        <v>603</v>
      </c>
      <c r="N684" s="80" t="b">
        <v>0</v>
      </c>
      <c r="O684" s="80"/>
      <c r="P684" s="80"/>
      <c r="Q684" s="80"/>
      <c r="R684" s="80"/>
      <c r="S684" s="80"/>
      <c r="T684" s="80"/>
      <c r="U684" s="80"/>
      <c r="V684" s="80"/>
      <c r="W684" s="202" t="s">
        <v>513</v>
      </c>
      <c r="X684" s="203"/>
      <c r="Y684" s="34"/>
      <c r="Z684" s="34"/>
    </row>
    <row r="685">
      <c r="E685" s="131" t="b">
        <v>0</v>
      </c>
      <c r="F685" s="131" t="b">
        <v>0</v>
      </c>
      <c r="G685" s="131" t="b">
        <v>1</v>
      </c>
      <c r="H685" s="131" t="b">
        <v>0</v>
      </c>
      <c r="I685" s="38">
        <v>43134.0</v>
      </c>
      <c r="J685" s="38">
        <v>43135.0</v>
      </c>
      <c r="K685" s="28">
        <v>24.0</v>
      </c>
      <c r="L685" s="175"/>
      <c r="M685" s="169" t="s">
        <v>603</v>
      </c>
      <c r="N685" s="80" t="b">
        <v>0</v>
      </c>
      <c r="O685" s="80"/>
      <c r="P685" s="80"/>
      <c r="Q685" s="80"/>
      <c r="R685" s="80"/>
      <c r="S685" s="80"/>
      <c r="T685" s="80"/>
      <c r="U685" s="80"/>
      <c r="V685" s="80"/>
      <c r="W685" s="202" t="s">
        <v>513</v>
      </c>
      <c r="X685" s="203"/>
      <c r="Y685" s="34"/>
      <c r="Z685" s="34"/>
    </row>
    <row r="686">
      <c r="E686" s="131" t="b">
        <v>1</v>
      </c>
      <c r="F686" s="131" t="b">
        <v>0</v>
      </c>
      <c r="G686" s="131" t="b">
        <v>0</v>
      </c>
      <c r="H686" s="131" t="b">
        <v>0</v>
      </c>
      <c r="I686" s="38">
        <v>43128.0</v>
      </c>
      <c r="J686" s="38">
        <v>43129.0</v>
      </c>
      <c r="K686" s="28">
        <v>24.0</v>
      </c>
      <c r="L686" s="175"/>
      <c r="M686" s="169" t="s">
        <v>603</v>
      </c>
      <c r="N686" s="80" t="b">
        <v>0</v>
      </c>
      <c r="O686" s="80"/>
      <c r="P686" s="80"/>
      <c r="Q686" s="80"/>
      <c r="R686" s="80"/>
      <c r="S686" s="80"/>
      <c r="T686" s="80"/>
      <c r="U686" s="80"/>
      <c r="V686" s="80"/>
      <c r="W686" s="202" t="s">
        <v>513</v>
      </c>
      <c r="X686" s="203"/>
      <c r="Y686" s="34"/>
      <c r="Z686" s="34"/>
    </row>
    <row r="687">
      <c r="E687" s="131" t="b">
        <v>1</v>
      </c>
      <c r="F687" s="131" t="b">
        <v>0</v>
      </c>
      <c r="G687" s="131" t="b">
        <v>0</v>
      </c>
      <c r="H687" s="131" t="b">
        <v>0</v>
      </c>
      <c r="I687" s="38">
        <v>43128.0</v>
      </c>
      <c r="J687" s="38">
        <v>43129.0</v>
      </c>
      <c r="K687" s="28">
        <v>24.0</v>
      </c>
      <c r="L687" s="175"/>
      <c r="M687" s="169" t="s">
        <v>603</v>
      </c>
      <c r="N687" s="80" t="b">
        <v>0</v>
      </c>
      <c r="O687" s="80"/>
      <c r="P687" s="80"/>
      <c r="Q687" s="80"/>
      <c r="R687" s="80"/>
      <c r="S687" s="80"/>
      <c r="T687" s="80"/>
      <c r="U687" s="80"/>
      <c r="V687" s="80"/>
      <c r="W687" s="202" t="s">
        <v>513</v>
      </c>
      <c r="X687" s="203"/>
      <c r="Y687" s="34"/>
      <c r="Z687" s="34"/>
    </row>
    <row r="688">
      <c r="E688" s="131" t="b">
        <v>1</v>
      </c>
      <c r="F688" s="131" t="b">
        <v>0</v>
      </c>
      <c r="G688" s="131" t="b">
        <v>0</v>
      </c>
      <c r="H688" s="131" t="b">
        <v>0</v>
      </c>
      <c r="I688" s="38">
        <v>43125.0</v>
      </c>
      <c r="J688" s="38">
        <v>43126.0</v>
      </c>
      <c r="K688" s="28">
        <v>24.0</v>
      </c>
      <c r="L688" s="175"/>
      <c r="M688" s="169" t="s">
        <v>603</v>
      </c>
      <c r="N688" s="80" t="b">
        <v>0</v>
      </c>
      <c r="O688" s="80"/>
      <c r="P688" s="80"/>
      <c r="Q688" s="80"/>
      <c r="R688" s="80"/>
      <c r="S688" s="80"/>
      <c r="T688" s="80"/>
      <c r="U688" s="80"/>
      <c r="V688" s="80"/>
      <c r="W688" s="202" t="s">
        <v>513</v>
      </c>
      <c r="X688" s="203"/>
      <c r="Y688" s="34"/>
      <c r="Z688" s="34"/>
    </row>
    <row r="689">
      <c r="E689" s="131" t="b">
        <v>1</v>
      </c>
      <c r="F689" s="131" t="b">
        <v>0</v>
      </c>
      <c r="G689" s="131" t="b">
        <v>0</v>
      </c>
      <c r="H689" s="131" t="b">
        <v>0</v>
      </c>
      <c r="I689" s="38">
        <v>43124.0</v>
      </c>
      <c r="J689" s="38">
        <v>43125.0</v>
      </c>
      <c r="K689" s="28">
        <v>24.0</v>
      </c>
      <c r="L689" s="175"/>
      <c r="M689" s="169" t="s">
        <v>603</v>
      </c>
      <c r="N689" s="80" t="b">
        <v>0</v>
      </c>
      <c r="O689" s="80"/>
      <c r="P689" s="80"/>
      <c r="Q689" s="80"/>
      <c r="R689" s="80"/>
      <c r="S689" s="80"/>
      <c r="T689" s="80"/>
      <c r="U689" s="80"/>
      <c r="V689" s="80"/>
      <c r="W689" s="202" t="s">
        <v>513</v>
      </c>
      <c r="X689" s="203"/>
      <c r="Y689" s="34"/>
      <c r="Z689" s="34"/>
    </row>
    <row r="690">
      <c r="E690" s="131" t="b">
        <v>1</v>
      </c>
      <c r="F690" s="131" t="b">
        <v>0</v>
      </c>
      <c r="G690" s="131" t="b">
        <v>0</v>
      </c>
      <c r="H690" s="131" t="b">
        <v>0</v>
      </c>
      <c r="I690" s="38">
        <v>43110.0</v>
      </c>
      <c r="J690" s="38">
        <v>43111.0</v>
      </c>
      <c r="K690" s="28">
        <v>24.0</v>
      </c>
      <c r="L690" s="175"/>
      <c r="M690" s="169" t="s">
        <v>603</v>
      </c>
      <c r="N690" s="80" t="b">
        <v>0</v>
      </c>
      <c r="O690" s="80"/>
      <c r="P690" s="80"/>
      <c r="Q690" s="80"/>
      <c r="R690" s="80"/>
      <c r="S690" s="80"/>
      <c r="T690" s="80"/>
      <c r="U690" s="80"/>
      <c r="V690" s="80"/>
      <c r="W690" s="202" t="s">
        <v>513</v>
      </c>
      <c r="X690" s="203"/>
      <c r="Y690" s="34"/>
      <c r="Z690" s="34"/>
    </row>
    <row r="691">
      <c r="E691" s="131" t="b">
        <v>0</v>
      </c>
      <c r="F691" s="131" t="b">
        <v>0</v>
      </c>
      <c r="G691" s="131" t="b">
        <v>1</v>
      </c>
      <c r="H691" s="131" t="b">
        <v>0</v>
      </c>
      <c r="I691" s="38">
        <v>43108.0</v>
      </c>
      <c r="J691" s="38">
        <v>43109.0</v>
      </c>
      <c r="K691" s="28">
        <v>24.0</v>
      </c>
      <c r="L691" s="175"/>
      <c r="M691" s="169" t="s">
        <v>603</v>
      </c>
      <c r="N691" s="80" t="b">
        <v>0</v>
      </c>
      <c r="O691" s="80"/>
      <c r="P691" s="80"/>
      <c r="Q691" s="80"/>
      <c r="R691" s="80"/>
      <c r="S691" s="80"/>
      <c r="T691" s="80"/>
      <c r="U691" s="80"/>
      <c r="V691" s="80"/>
      <c r="W691" s="202" t="s">
        <v>513</v>
      </c>
      <c r="X691" s="203"/>
      <c r="Y691" s="34"/>
      <c r="Z691" s="34"/>
    </row>
    <row r="692">
      <c r="E692" s="131" t="b">
        <v>0</v>
      </c>
      <c r="F692" s="131" t="b">
        <v>0</v>
      </c>
      <c r="G692" s="131" t="b">
        <v>1</v>
      </c>
      <c r="H692" s="131" t="b">
        <v>0</v>
      </c>
      <c r="I692" s="38">
        <v>43095.0</v>
      </c>
      <c r="J692" s="38">
        <v>43096.0</v>
      </c>
      <c r="K692" s="28">
        <v>24.0</v>
      </c>
      <c r="L692" s="175"/>
      <c r="M692" s="169" t="s">
        <v>603</v>
      </c>
      <c r="N692" s="80" t="b">
        <v>0</v>
      </c>
      <c r="O692" s="80"/>
      <c r="P692" s="80"/>
      <c r="Q692" s="80"/>
      <c r="R692" s="80"/>
      <c r="S692" s="80"/>
      <c r="T692" s="80"/>
      <c r="U692" s="80"/>
      <c r="V692" s="80"/>
      <c r="W692" s="202" t="s">
        <v>513</v>
      </c>
      <c r="X692" s="203"/>
      <c r="Y692" s="34"/>
      <c r="Z692" s="34"/>
    </row>
    <row r="693">
      <c r="E693" s="131" t="b">
        <v>0</v>
      </c>
      <c r="F693" s="131" t="b">
        <v>0</v>
      </c>
      <c r="G693" s="131" t="b">
        <v>1</v>
      </c>
      <c r="H693" s="131" t="b">
        <v>0</v>
      </c>
      <c r="I693" s="38">
        <v>43087.0</v>
      </c>
      <c r="J693" s="38">
        <v>43090.0</v>
      </c>
      <c r="K693" s="28">
        <v>72.0</v>
      </c>
      <c r="L693" s="175"/>
      <c r="M693" s="169" t="s">
        <v>603</v>
      </c>
      <c r="N693" s="80" t="b">
        <v>0</v>
      </c>
      <c r="O693" s="80"/>
      <c r="P693" s="80"/>
      <c r="Q693" s="80"/>
      <c r="R693" s="80"/>
      <c r="S693" s="80"/>
      <c r="T693" s="80"/>
      <c r="U693" s="80"/>
      <c r="V693" s="80"/>
      <c r="W693" s="202" t="s">
        <v>513</v>
      </c>
      <c r="X693" s="203"/>
      <c r="Y693" s="34"/>
      <c r="Z693" s="34"/>
    </row>
    <row r="694">
      <c r="E694" s="131" t="b">
        <v>1</v>
      </c>
      <c r="F694" s="131" t="b">
        <v>0</v>
      </c>
      <c r="G694" s="131" t="b">
        <v>0</v>
      </c>
      <c r="H694" s="131" t="b">
        <v>0</v>
      </c>
      <c r="I694" s="38">
        <v>43086.0</v>
      </c>
      <c r="J694" s="38">
        <v>43087.0</v>
      </c>
      <c r="K694" s="28">
        <v>24.0</v>
      </c>
      <c r="L694" s="175"/>
      <c r="M694" s="169" t="s">
        <v>603</v>
      </c>
      <c r="N694" s="80" t="b">
        <v>0</v>
      </c>
      <c r="O694" s="80"/>
      <c r="P694" s="80"/>
      <c r="Q694" s="80"/>
      <c r="R694" s="80"/>
      <c r="S694" s="80"/>
      <c r="T694" s="80"/>
      <c r="U694" s="80"/>
      <c r="V694" s="80"/>
      <c r="W694" s="202" t="s">
        <v>513</v>
      </c>
      <c r="X694" s="203"/>
      <c r="Y694" s="34"/>
      <c r="Z694" s="34"/>
    </row>
    <row r="695">
      <c r="E695" s="131" t="b">
        <v>0</v>
      </c>
      <c r="F695" s="131" t="b">
        <v>0</v>
      </c>
      <c r="G695" s="131" t="b">
        <v>1</v>
      </c>
      <c r="H695" s="131" t="b">
        <v>0</v>
      </c>
      <c r="I695" s="38">
        <v>43080.0</v>
      </c>
      <c r="J695" s="38">
        <v>43081.0</v>
      </c>
      <c r="K695" s="28">
        <v>24.0</v>
      </c>
      <c r="L695" s="175"/>
      <c r="M695" s="169" t="s">
        <v>603</v>
      </c>
      <c r="N695" s="80" t="b">
        <v>0</v>
      </c>
      <c r="O695" s="80"/>
      <c r="P695" s="80"/>
      <c r="Q695" s="80"/>
      <c r="R695" s="80"/>
      <c r="S695" s="80"/>
      <c r="T695" s="80"/>
      <c r="U695" s="80"/>
      <c r="V695" s="80"/>
      <c r="W695" s="202" t="s">
        <v>513</v>
      </c>
      <c r="X695" s="203"/>
      <c r="Y695" s="34"/>
      <c r="Z695" s="34"/>
    </row>
    <row r="696">
      <c r="E696" s="131" t="b">
        <v>0</v>
      </c>
      <c r="F696" s="131" t="b">
        <v>0</v>
      </c>
      <c r="G696" s="131" t="b">
        <v>1</v>
      </c>
      <c r="H696" s="131" t="b">
        <v>0</v>
      </c>
      <c r="I696" s="38">
        <v>43041.0</v>
      </c>
      <c r="J696" s="38">
        <v>43042.0</v>
      </c>
      <c r="K696" s="28">
        <v>24.0</v>
      </c>
      <c r="L696" s="175"/>
      <c r="M696" s="169" t="s">
        <v>603</v>
      </c>
      <c r="N696" s="80" t="b">
        <v>0</v>
      </c>
      <c r="O696" s="80"/>
      <c r="P696" s="80"/>
      <c r="Q696" s="80"/>
      <c r="R696" s="80"/>
      <c r="S696" s="80"/>
      <c r="T696" s="80"/>
      <c r="U696" s="80"/>
      <c r="V696" s="80"/>
      <c r="W696" s="202" t="s">
        <v>513</v>
      </c>
      <c r="X696" s="203"/>
      <c r="Y696" s="34"/>
      <c r="Z696" s="34"/>
    </row>
    <row r="697">
      <c r="E697" s="131" t="b">
        <v>0</v>
      </c>
      <c r="F697" s="131" t="b">
        <v>0</v>
      </c>
      <c r="G697" s="131" t="b">
        <v>1</v>
      </c>
      <c r="H697" s="131" t="b">
        <v>0</v>
      </c>
      <c r="I697" s="38">
        <v>43004.0</v>
      </c>
      <c r="J697" s="38">
        <v>43005.0</v>
      </c>
      <c r="K697" s="28">
        <v>24.0</v>
      </c>
      <c r="L697" s="175"/>
      <c r="M697" s="169" t="s">
        <v>603</v>
      </c>
      <c r="N697" s="80" t="b">
        <v>0</v>
      </c>
      <c r="O697" s="80"/>
      <c r="P697" s="80"/>
      <c r="Q697" s="80"/>
      <c r="R697" s="80"/>
      <c r="S697" s="80"/>
      <c r="T697" s="80"/>
      <c r="U697" s="80"/>
      <c r="V697" s="80"/>
      <c r="W697" s="202" t="s">
        <v>513</v>
      </c>
      <c r="X697" s="203"/>
      <c r="Y697" s="34"/>
      <c r="Z697" s="34"/>
    </row>
    <row r="698">
      <c r="E698" s="131" t="b">
        <v>0</v>
      </c>
      <c r="F698" s="131" t="b">
        <v>0</v>
      </c>
      <c r="G698" s="131" t="b">
        <v>1</v>
      </c>
      <c r="H698" s="131" t="b">
        <v>0</v>
      </c>
      <c r="I698" s="38">
        <v>42989.0</v>
      </c>
      <c r="J698" s="38">
        <v>42990.0</v>
      </c>
      <c r="K698" s="28">
        <v>24.0</v>
      </c>
      <c r="L698" s="175"/>
      <c r="M698" s="169" t="s">
        <v>603</v>
      </c>
      <c r="N698" s="80" t="b">
        <v>0</v>
      </c>
      <c r="O698" s="80"/>
      <c r="P698" s="80"/>
      <c r="Q698" s="80"/>
      <c r="R698" s="80"/>
      <c r="S698" s="80"/>
      <c r="T698" s="80"/>
      <c r="U698" s="80"/>
      <c r="V698" s="80"/>
      <c r="W698" s="202" t="s">
        <v>513</v>
      </c>
      <c r="X698" s="203"/>
      <c r="Y698" s="34"/>
      <c r="Z698" s="34"/>
    </row>
    <row r="699">
      <c r="E699" s="131" t="b">
        <v>0</v>
      </c>
      <c r="F699" s="131" t="b">
        <v>0</v>
      </c>
      <c r="G699" s="131" t="b">
        <v>1</v>
      </c>
      <c r="H699" s="131" t="b">
        <v>0</v>
      </c>
      <c r="I699" s="38">
        <v>42987.0</v>
      </c>
      <c r="J699" s="38">
        <v>42988.0</v>
      </c>
      <c r="K699" s="28">
        <v>24.0</v>
      </c>
      <c r="L699" s="175"/>
      <c r="M699" s="169" t="s">
        <v>603</v>
      </c>
      <c r="N699" s="80" t="b">
        <v>0</v>
      </c>
      <c r="O699" s="80"/>
      <c r="P699" s="80"/>
      <c r="Q699" s="80"/>
      <c r="R699" s="80"/>
      <c r="S699" s="80"/>
      <c r="T699" s="80"/>
      <c r="U699" s="80"/>
      <c r="V699" s="80"/>
      <c r="W699" s="202" t="s">
        <v>513</v>
      </c>
      <c r="X699" s="203"/>
      <c r="Y699" s="34"/>
      <c r="Z699" s="34"/>
    </row>
    <row r="700">
      <c r="E700" s="131" t="b">
        <v>0</v>
      </c>
      <c r="F700" s="131" t="b">
        <v>0</v>
      </c>
      <c r="G700" s="131" t="b">
        <v>1</v>
      </c>
      <c r="H700" s="131" t="b">
        <v>0</v>
      </c>
      <c r="I700" s="38">
        <v>42982.0</v>
      </c>
      <c r="J700" s="38">
        <v>42983.0</v>
      </c>
      <c r="K700" s="28">
        <v>24.0</v>
      </c>
      <c r="L700" s="175"/>
      <c r="M700" s="169" t="s">
        <v>603</v>
      </c>
      <c r="N700" s="80" t="b">
        <v>0</v>
      </c>
      <c r="O700" s="80"/>
      <c r="P700" s="80"/>
      <c r="Q700" s="80"/>
      <c r="R700" s="80"/>
      <c r="S700" s="80"/>
      <c r="T700" s="80"/>
      <c r="U700" s="80"/>
      <c r="V700" s="80"/>
      <c r="W700" s="202" t="s">
        <v>513</v>
      </c>
      <c r="X700" s="203"/>
      <c r="Y700" s="34"/>
      <c r="Z700" s="34"/>
    </row>
    <row r="701">
      <c r="E701" s="131" t="b">
        <v>0</v>
      </c>
      <c r="F701" s="131" t="b">
        <v>0</v>
      </c>
      <c r="G701" s="131" t="b">
        <v>1</v>
      </c>
      <c r="H701" s="131" t="b">
        <v>0</v>
      </c>
      <c r="I701" s="38">
        <v>42980.0</v>
      </c>
      <c r="J701" s="38">
        <v>42981.0</v>
      </c>
      <c r="K701" s="28">
        <v>24.0</v>
      </c>
      <c r="L701" s="175"/>
      <c r="M701" s="169" t="s">
        <v>603</v>
      </c>
      <c r="N701" s="80" t="b">
        <v>0</v>
      </c>
      <c r="O701" s="80"/>
      <c r="P701" s="80"/>
      <c r="Q701" s="80"/>
      <c r="R701" s="80"/>
      <c r="S701" s="80"/>
      <c r="T701" s="80"/>
      <c r="U701" s="80"/>
      <c r="V701" s="80"/>
      <c r="W701" s="202" t="s">
        <v>513</v>
      </c>
      <c r="X701" s="203"/>
      <c r="Y701" s="34"/>
      <c r="Z701" s="34"/>
    </row>
    <row r="702">
      <c r="E702" s="131" t="b">
        <v>1</v>
      </c>
      <c r="F702" s="131" t="b">
        <v>0</v>
      </c>
      <c r="G702" s="131" t="b">
        <v>0</v>
      </c>
      <c r="H702" s="131" t="b">
        <v>0</v>
      </c>
      <c r="I702" s="38">
        <v>42973.0</v>
      </c>
      <c r="J702" s="38">
        <v>42974.0</v>
      </c>
      <c r="K702" s="28">
        <v>24.0</v>
      </c>
      <c r="L702" s="175"/>
      <c r="M702" s="169" t="s">
        <v>603</v>
      </c>
      <c r="N702" s="80" t="b">
        <v>0</v>
      </c>
      <c r="O702" s="80"/>
      <c r="P702" s="80"/>
      <c r="Q702" s="80"/>
      <c r="R702" s="80"/>
      <c r="S702" s="80"/>
      <c r="T702" s="80"/>
      <c r="U702" s="80"/>
      <c r="V702" s="80"/>
      <c r="W702" s="202" t="s">
        <v>513</v>
      </c>
      <c r="X702" s="203"/>
      <c r="Y702" s="34"/>
      <c r="Z702" s="34"/>
    </row>
    <row r="703">
      <c r="E703" s="131" t="b">
        <v>1</v>
      </c>
      <c r="F703" s="131" t="b">
        <v>0</v>
      </c>
      <c r="G703" s="131" t="b">
        <v>0</v>
      </c>
      <c r="H703" s="131" t="b">
        <v>0</v>
      </c>
      <c r="I703" s="38">
        <v>42962.0</v>
      </c>
      <c r="J703" s="38">
        <v>42962.0</v>
      </c>
      <c r="K703" s="28">
        <v>24.0</v>
      </c>
      <c r="L703" s="175"/>
      <c r="M703" s="169" t="s">
        <v>603</v>
      </c>
      <c r="N703" s="80" t="b">
        <v>0</v>
      </c>
      <c r="O703" s="80"/>
      <c r="P703" s="80"/>
      <c r="Q703" s="80"/>
      <c r="R703" s="80"/>
      <c r="S703" s="80"/>
      <c r="T703" s="80"/>
      <c r="U703" s="80"/>
      <c r="V703" s="80"/>
      <c r="W703" s="202" t="s">
        <v>513</v>
      </c>
      <c r="X703" s="203"/>
      <c r="Y703" s="34"/>
      <c r="Z703" s="34"/>
    </row>
    <row r="704">
      <c r="E704" s="131" t="b">
        <v>1</v>
      </c>
      <c r="F704" s="131" t="b">
        <v>0</v>
      </c>
      <c r="G704" s="131" t="b">
        <v>0</v>
      </c>
      <c r="H704" s="131" t="b">
        <v>0</v>
      </c>
      <c r="I704" s="38">
        <v>42960.0</v>
      </c>
      <c r="J704" s="38">
        <v>42961.0</v>
      </c>
      <c r="K704" s="28">
        <v>24.0</v>
      </c>
      <c r="L704" s="175"/>
      <c r="M704" s="169" t="s">
        <v>603</v>
      </c>
      <c r="N704" s="80" t="b">
        <v>0</v>
      </c>
      <c r="O704" s="80"/>
      <c r="P704" s="80"/>
      <c r="Q704" s="80"/>
      <c r="R704" s="80"/>
      <c r="S704" s="80"/>
      <c r="T704" s="80"/>
      <c r="U704" s="80"/>
      <c r="V704" s="80"/>
      <c r="W704" s="202" t="s">
        <v>513</v>
      </c>
      <c r="X704" s="203"/>
      <c r="Y704" s="34"/>
      <c r="Z704" s="34"/>
    </row>
    <row r="705">
      <c r="E705" s="131" t="b">
        <v>1</v>
      </c>
      <c r="F705" s="131" t="b">
        <v>0</v>
      </c>
      <c r="G705" s="131" t="b">
        <v>0</v>
      </c>
      <c r="H705" s="131" t="b">
        <v>0</v>
      </c>
      <c r="I705" s="38">
        <v>42956.0</v>
      </c>
      <c r="J705" s="38">
        <v>42963.0</v>
      </c>
      <c r="K705" s="28">
        <v>168.0</v>
      </c>
      <c r="L705" s="175"/>
      <c r="M705" s="169" t="s">
        <v>603</v>
      </c>
      <c r="N705" s="80" t="b">
        <v>0</v>
      </c>
      <c r="O705" s="80"/>
      <c r="P705" s="80"/>
      <c r="Q705" s="80"/>
      <c r="R705" s="80"/>
      <c r="S705" s="80"/>
      <c r="T705" s="80"/>
      <c r="U705" s="80"/>
      <c r="V705" s="80"/>
      <c r="W705" s="202" t="s">
        <v>513</v>
      </c>
      <c r="X705" s="203"/>
      <c r="Y705" s="34"/>
      <c r="Z705" s="34"/>
    </row>
    <row r="706">
      <c r="E706" s="131" t="b">
        <v>0</v>
      </c>
      <c r="F706" s="131" t="b">
        <v>0</v>
      </c>
      <c r="G706" s="131" t="b">
        <v>1</v>
      </c>
      <c r="H706" s="131" t="b">
        <v>0</v>
      </c>
      <c r="I706" s="38">
        <v>42952.0</v>
      </c>
      <c r="J706" s="38">
        <v>42953.0</v>
      </c>
      <c r="K706" s="28">
        <v>24.0</v>
      </c>
      <c r="L706" s="175"/>
      <c r="M706" s="169" t="s">
        <v>603</v>
      </c>
      <c r="N706" s="80" t="b">
        <v>0</v>
      </c>
      <c r="O706" s="80"/>
      <c r="P706" s="80"/>
      <c r="Q706" s="80"/>
      <c r="R706" s="80"/>
      <c r="S706" s="80"/>
      <c r="T706" s="80"/>
      <c r="U706" s="80"/>
      <c r="V706" s="80"/>
      <c r="W706" s="202" t="s">
        <v>513</v>
      </c>
      <c r="X706" s="203"/>
      <c r="Y706" s="34"/>
      <c r="Z706" s="34"/>
    </row>
    <row r="707">
      <c r="E707" s="131" t="b">
        <v>0</v>
      </c>
      <c r="F707" s="131" t="b">
        <v>0</v>
      </c>
      <c r="G707" s="131" t="b">
        <v>1</v>
      </c>
      <c r="H707" s="131" t="b">
        <v>0</v>
      </c>
      <c r="I707" s="38">
        <v>42946.0</v>
      </c>
      <c r="J707" s="38">
        <v>42949.0</v>
      </c>
      <c r="K707" s="28">
        <v>72.0</v>
      </c>
      <c r="L707" s="175"/>
      <c r="M707" s="169" t="s">
        <v>603</v>
      </c>
      <c r="N707" s="80" t="b">
        <v>0</v>
      </c>
      <c r="O707" s="80"/>
      <c r="P707" s="80"/>
      <c r="Q707" s="80"/>
      <c r="R707" s="80"/>
      <c r="S707" s="80"/>
      <c r="T707" s="80"/>
      <c r="U707" s="80"/>
      <c r="V707" s="80"/>
      <c r="W707" s="202" t="s">
        <v>513</v>
      </c>
      <c r="X707" s="203"/>
      <c r="Y707" s="34"/>
      <c r="Z707" s="34"/>
    </row>
    <row r="708">
      <c r="E708" s="131" t="b">
        <v>1</v>
      </c>
      <c r="F708" s="131" t="b">
        <v>0</v>
      </c>
      <c r="G708" s="131" t="b">
        <v>0</v>
      </c>
      <c r="H708" s="131" t="b">
        <v>0</v>
      </c>
      <c r="I708" s="38">
        <v>42937.0</v>
      </c>
      <c r="J708" s="38">
        <v>42941.0</v>
      </c>
      <c r="K708" s="28">
        <v>96.0</v>
      </c>
      <c r="L708" s="175"/>
      <c r="M708" s="169" t="s">
        <v>603</v>
      </c>
      <c r="N708" s="80" t="b">
        <v>0</v>
      </c>
      <c r="O708" s="80"/>
      <c r="P708" s="80"/>
      <c r="Q708" s="80"/>
      <c r="R708" s="80"/>
      <c r="S708" s="80"/>
      <c r="T708" s="80"/>
      <c r="U708" s="80"/>
      <c r="V708" s="80"/>
      <c r="W708" s="202" t="s">
        <v>513</v>
      </c>
      <c r="X708" s="203"/>
      <c r="Y708" s="34"/>
      <c r="Z708" s="34"/>
    </row>
    <row r="709">
      <c r="E709" s="131" t="b">
        <v>1</v>
      </c>
      <c r="F709" s="131" t="b">
        <v>0</v>
      </c>
      <c r="G709" s="131" t="b">
        <v>0</v>
      </c>
      <c r="H709" s="131" t="b">
        <v>0</v>
      </c>
      <c r="I709" s="38">
        <v>42922.0</v>
      </c>
      <c r="J709" s="38">
        <v>42925.0</v>
      </c>
      <c r="K709" s="28">
        <v>72.0</v>
      </c>
      <c r="L709" s="175"/>
      <c r="M709" s="169" t="s">
        <v>603</v>
      </c>
      <c r="N709" s="80" t="b">
        <v>0</v>
      </c>
      <c r="O709" s="80"/>
      <c r="P709" s="80"/>
      <c r="Q709" s="80"/>
      <c r="R709" s="80"/>
      <c r="S709" s="80"/>
      <c r="T709" s="80"/>
      <c r="U709" s="80"/>
      <c r="V709" s="80"/>
      <c r="W709" s="202" t="s">
        <v>513</v>
      </c>
      <c r="X709" s="203"/>
      <c r="Y709" s="34"/>
      <c r="Z709" s="34"/>
    </row>
    <row r="710">
      <c r="E710" s="131" t="b">
        <v>0</v>
      </c>
      <c r="F710" s="131" t="b">
        <v>0</v>
      </c>
      <c r="G710" s="131" t="b">
        <v>1</v>
      </c>
      <c r="H710" s="131" t="b">
        <v>0</v>
      </c>
      <c r="I710" s="38">
        <v>42917.0</v>
      </c>
      <c r="J710" s="38">
        <v>42918.0</v>
      </c>
      <c r="K710" s="28">
        <v>24.0</v>
      </c>
      <c r="L710" s="175"/>
      <c r="M710" s="169" t="s">
        <v>603</v>
      </c>
      <c r="N710" s="80" t="b">
        <v>0</v>
      </c>
      <c r="O710" s="80"/>
      <c r="P710" s="80"/>
      <c r="Q710" s="80"/>
      <c r="R710" s="80"/>
      <c r="S710" s="80"/>
      <c r="T710" s="80"/>
      <c r="U710" s="80"/>
      <c r="V710" s="80"/>
      <c r="W710" s="202" t="s">
        <v>513</v>
      </c>
      <c r="X710" s="203"/>
      <c r="Y710" s="34"/>
      <c r="Z710" s="34"/>
    </row>
    <row r="711">
      <c r="E711" s="131" t="b">
        <v>1</v>
      </c>
      <c r="F711" s="131" t="b">
        <v>0</v>
      </c>
      <c r="G711" s="131" t="b">
        <v>0</v>
      </c>
      <c r="H711" s="131" t="b">
        <v>0</v>
      </c>
      <c r="I711" s="38">
        <v>42898.0</v>
      </c>
      <c r="J711" s="38">
        <v>42905.0</v>
      </c>
      <c r="K711" s="28">
        <v>168.0</v>
      </c>
      <c r="L711" s="175"/>
      <c r="M711" s="169" t="s">
        <v>603</v>
      </c>
      <c r="N711" s="80" t="b">
        <v>0</v>
      </c>
      <c r="O711" s="80"/>
      <c r="P711" s="80"/>
      <c r="Q711" s="80"/>
      <c r="R711" s="80"/>
      <c r="S711" s="80"/>
      <c r="T711" s="80"/>
      <c r="U711" s="80"/>
      <c r="V711" s="80"/>
      <c r="W711" s="202" t="s">
        <v>513</v>
      </c>
      <c r="X711" s="203"/>
      <c r="Y711" s="34"/>
      <c r="Z711" s="34"/>
    </row>
    <row r="712">
      <c r="E712" s="131" t="b">
        <v>1</v>
      </c>
      <c r="F712" s="131" t="b">
        <v>0</v>
      </c>
      <c r="G712" s="131" t="b">
        <v>0</v>
      </c>
      <c r="H712" s="131" t="b">
        <v>0</v>
      </c>
      <c r="I712" s="38">
        <v>42893.0</v>
      </c>
      <c r="J712" s="38">
        <v>42895.0</v>
      </c>
      <c r="K712" s="28">
        <v>48.0</v>
      </c>
      <c r="L712" s="175"/>
      <c r="M712" s="169" t="s">
        <v>603</v>
      </c>
      <c r="N712" s="80" t="b">
        <v>0</v>
      </c>
      <c r="O712" s="80"/>
      <c r="P712" s="80"/>
      <c r="Q712" s="80"/>
      <c r="R712" s="80"/>
      <c r="S712" s="80"/>
      <c r="T712" s="80"/>
      <c r="U712" s="80"/>
      <c r="V712" s="80"/>
      <c r="W712" s="202" t="s">
        <v>513</v>
      </c>
      <c r="X712" s="203"/>
      <c r="Y712" s="34"/>
      <c r="Z712" s="34"/>
    </row>
    <row r="713">
      <c r="E713" s="131" t="b">
        <v>1</v>
      </c>
      <c r="F713" s="131" t="b">
        <v>0</v>
      </c>
      <c r="G713" s="131" t="b">
        <v>0</v>
      </c>
      <c r="H713" s="131" t="b">
        <v>0</v>
      </c>
      <c r="I713" s="38">
        <v>42882.0</v>
      </c>
      <c r="J713" s="38">
        <v>42888.0</v>
      </c>
      <c r="K713" s="28">
        <v>144.0</v>
      </c>
      <c r="L713" s="175"/>
      <c r="M713" s="169" t="s">
        <v>603</v>
      </c>
      <c r="N713" s="80" t="b">
        <v>0</v>
      </c>
      <c r="O713" s="80"/>
      <c r="P713" s="80"/>
      <c r="Q713" s="80"/>
      <c r="R713" s="80"/>
      <c r="S713" s="80"/>
      <c r="T713" s="80"/>
      <c r="U713" s="80"/>
      <c r="V713" s="80"/>
      <c r="W713" s="202" t="s">
        <v>513</v>
      </c>
      <c r="X713" s="203"/>
      <c r="Y713" s="34"/>
      <c r="Z713" s="34"/>
    </row>
    <row r="714">
      <c r="E714" s="131" t="b">
        <v>1</v>
      </c>
      <c r="F714" s="131" t="b">
        <v>0</v>
      </c>
      <c r="G714" s="131" t="b">
        <v>0</v>
      </c>
      <c r="H714" s="131" t="b">
        <v>0</v>
      </c>
      <c r="I714" s="38">
        <v>42842.0</v>
      </c>
      <c r="J714" s="38">
        <v>42881.0</v>
      </c>
      <c r="K714" s="28">
        <v>936.0</v>
      </c>
      <c r="L714" s="175"/>
      <c r="M714" s="169" t="s">
        <v>603</v>
      </c>
      <c r="N714" s="80" t="b">
        <v>0</v>
      </c>
      <c r="O714" s="80"/>
      <c r="P714" s="80"/>
      <c r="Q714" s="80"/>
      <c r="R714" s="80"/>
      <c r="S714" s="80"/>
      <c r="T714" s="80"/>
      <c r="U714" s="80"/>
      <c r="V714" s="80"/>
      <c r="W714" s="202" t="s">
        <v>513</v>
      </c>
      <c r="X714" s="203"/>
      <c r="Y714" s="34"/>
      <c r="Z714" s="34"/>
    </row>
    <row r="715">
      <c r="E715" s="131" t="b">
        <v>0</v>
      </c>
      <c r="F715" s="131" t="b">
        <v>1</v>
      </c>
      <c r="G715" s="131" t="b">
        <v>0</v>
      </c>
      <c r="H715" s="131" t="b">
        <v>0</v>
      </c>
      <c r="I715" s="38">
        <v>42834.0</v>
      </c>
      <c r="J715" s="38">
        <v>42838.0</v>
      </c>
      <c r="K715" s="28">
        <v>96.0</v>
      </c>
      <c r="L715" s="175"/>
      <c r="M715" s="169" t="s">
        <v>603</v>
      </c>
      <c r="N715" s="80" t="b">
        <v>0</v>
      </c>
      <c r="O715" s="80"/>
      <c r="P715" s="80"/>
      <c r="Q715" s="80"/>
      <c r="R715" s="80"/>
      <c r="S715" s="80"/>
      <c r="T715" s="80"/>
      <c r="U715" s="80"/>
      <c r="V715" s="80"/>
      <c r="W715" s="202" t="s">
        <v>513</v>
      </c>
      <c r="X715" s="203"/>
      <c r="Y715" s="34"/>
      <c r="Z715" s="34"/>
    </row>
    <row r="716">
      <c r="E716" s="131" t="b">
        <v>1</v>
      </c>
      <c r="F716" s="131" t="b">
        <v>0</v>
      </c>
      <c r="G716" s="131" t="b">
        <v>0</v>
      </c>
      <c r="H716" s="131" t="b">
        <v>0</v>
      </c>
      <c r="I716" s="38">
        <v>42736.0</v>
      </c>
      <c r="J716" s="38">
        <v>42762.0</v>
      </c>
      <c r="K716" s="28">
        <v>624.0</v>
      </c>
      <c r="L716" s="175"/>
      <c r="M716" s="169" t="s">
        <v>603</v>
      </c>
      <c r="N716" s="80" t="b">
        <v>0</v>
      </c>
      <c r="O716" s="80"/>
      <c r="P716" s="80"/>
      <c r="Q716" s="80"/>
      <c r="R716" s="80"/>
      <c r="S716" s="80"/>
      <c r="T716" s="80"/>
      <c r="U716" s="80"/>
      <c r="V716" s="80"/>
      <c r="W716" s="202" t="s">
        <v>513</v>
      </c>
      <c r="X716" s="203"/>
      <c r="Y716" s="34"/>
      <c r="Z716" s="34"/>
    </row>
    <row r="717">
      <c r="E717" s="131" t="b">
        <v>1</v>
      </c>
      <c r="F717" s="131" t="b">
        <v>0</v>
      </c>
      <c r="G717" s="131" t="b">
        <v>0</v>
      </c>
      <c r="H717" s="131" t="b">
        <v>0</v>
      </c>
      <c r="I717" s="38">
        <v>42712.0</v>
      </c>
      <c r="J717" s="38">
        <v>42713.0</v>
      </c>
      <c r="K717" s="28">
        <v>24.0</v>
      </c>
      <c r="L717" s="175"/>
      <c r="M717" s="169" t="s">
        <v>603</v>
      </c>
      <c r="N717" s="80" t="b">
        <v>0</v>
      </c>
      <c r="O717" s="80"/>
      <c r="P717" s="80"/>
      <c r="Q717" s="80"/>
      <c r="R717" s="80"/>
      <c r="S717" s="80"/>
      <c r="T717" s="80"/>
      <c r="U717" s="80"/>
      <c r="V717" s="80"/>
      <c r="W717" s="202" t="s">
        <v>513</v>
      </c>
      <c r="X717" s="203"/>
      <c r="Y717" s="34"/>
      <c r="Z717" s="34"/>
    </row>
    <row r="718">
      <c r="E718" s="131" t="b">
        <v>0</v>
      </c>
      <c r="F718" s="131" t="b">
        <v>0</v>
      </c>
      <c r="G718" s="131" t="b">
        <v>1</v>
      </c>
      <c r="H718" s="131" t="b">
        <v>0</v>
      </c>
      <c r="I718" s="38">
        <v>42625.0</v>
      </c>
      <c r="J718" s="38">
        <v>42626.0</v>
      </c>
      <c r="K718" s="28">
        <v>24.0</v>
      </c>
      <c r="L718" s="175"/>
      <c r="M718" s="169" t="s">
        <v>603</v>
      </c>
      <c r="N718" s="80" t="b">
        <v>0</v>
      </c>
      <c r="O718" s="80"/>
      <c r="P718" s="80"/>
      <c r="Q718" s="80"/>
      <c r="R718" s="80"/>
      <c r="S718" s="80"/>
      <c r="T718" s="80"/>
      <c r="U718" s="80"/>
      <c r="V718" s="80"/>
      <c r="W718" s="202" t="s">
        <v>513</v>
      </c>
      <c r="X718" s="203"/>
      <c r="Y718" s="34"/>
      <c r="Z718" s="34"/>
    </row>
    <row r="719">
      <c r="E719" s="131" t="b">
        <v>1</v>
      </c>
      <c r="F719" s="131" t="b">
        <v>0</v>
      </c>
      <c r="G719" s="131" t="b">
        <v>0</v>
      </c>
      <c r="H719" s="131" t="b">
        <v>0</v>
      </c>
      <c r="I719" s="38">
        <v>42595.0</v>
      </c>
      <c r="J719" s="38">
        <v>42600.0</v>
      </c>
      <c r="K719" s="28">
        <v>120.0</v>
      </c>
      <c r="L719" s="175"/>
      <c r="M719" s="169" t="s">
        <v>603</v>
      </c>
      <c r="N719" s="80" t="b">
        <v>0</v>
      </c>
      <c r="O719" s="80"/>
      <c r="P719" s="80"/>
      <c r="Q719" s="80"/>
      <c r="R719" s="80"/>
      <c r="S719" s="80"/>
      <c r="T719" s="80"/>
      <c r="U719" s="80"/>
      <c r="V719" s="80"/>
      <c r="W719" s="202" t="s">
        <v>513</v>
      </c>
      <c r="X719" s="203"/>
      <c r="Y719" s="34"/>
      <c r="Z719" s="34"/>
    </row>
    <row r="720">
      <c r="E720" s="131" t="b">
        <v>1</v>
      </c>
      <c r="F720" s="131" t="b">
        <v>0</v>
      </c>
      <c r="G720" s="131" t="b">
        <v>0</v>
      </c>
      <c r="H720" s="131" t="b">
        <v>0</v>
      </c>
      <c r="I720" s="38">
        <v>42587.0</v>
      </c>
      <c r="J720" s="38">
        <v>42588.0</v>
      </c>
      <c r="K720" s="28">
        <v>24.0</v>
      </c>
      <c r="L720" s="175"/>
      <c r="M720" s="169" t="s">
        <v>603</v>
      </c>
      <c r="N720" s="80" t="b">
        <v>0</v>
      </c>
      <c r="O720" s="80"/>
      <c r="P720" s="80"/>
      <c r="Q720" s="80"/>
      <c r="R720" s="80"/>
      <c r="S720" s="80"/>
      <c r="T720" s="80"/>
      <c r="U720" s="80"/>
      <c r="V720" s="80"/>
      <c r="W720" s="202" t="s">
        <v>513</v>
      </c>
      <c r="X720" s="203"/>
      <c r="Y720" s="34"/>
      <c r="Z720" s="34"/>
    </row>
    <row r="721">
      <c r="E721" s="131" t="b">
        <v>1</v>
      </c>
      <c r="F721" s="131" t="b">
        <v>0</v>
      </c>
      <c r="G721" s="131" t="b">
        <v>0</v>
      </c>
      <c r="H721" s="131" t="b">
        <v>0</v>
      </c>
      <c r="I721" s="38">
        <v>42560.0</v>
      </c>
      <c r="J721" s="38">
        <v>42735.0</v>
      </c>
      <c r="K721" s="28">
        <v>4200.0</v>
      </c>
      <c r="L721" s="175"/>
      <c r="M721" s="169" t="s">
        <v>603</v>
      </c>
      <c r="N721" s="80" t="b">
        <v>0</v>
      </c>
      <c r="O721" s="80"/>
      <c r="P721" s="80"/>
      <c r="Q721" s="80"/>
      <c r="R721" s="80"/>
      <c r="S721" s="80"/>
      <c r="T721" s="80"/>
      <c r="U721" s="80"/>
      <c r="V721" s="80"/>
      <c r="W721" s="202" t="s">
        <v>513</v>
      </c>
      <c r="X721" s="203"/>
      <c r="Y721" s="34"/>
      <c r="Z721" s="34"/>
    </row>
    <row r="722">
      <c r="E722" s="131" t="b">
        <v>0</v>
      </c>
      <c r="F722" s="131" t="b">
        <v>0</v>
      </c>
      <c r="G722" s="131" t="b">
        <v>1</v>
      </c>
      <c r="H722" s="131" t="b">
        <v>0</v>
      </c>
      <c r="I722" s="38">
        <v>42558.0</v>
      </c>
      <c r="J722" s="38">
        <v>42559.0</v>
      </c>
      <c r="K722" s="28">
        <v>24.0</v>
      </c>
      <c r="L722" s="175"/>
      <c r="M722" s="169" t="s">
        <v>603</v>
      </c>
      <c r="N722" s="80" t="b">
        <v>0</v>
      </c>
      <c r="O722" s="80"/>
      <c r="P722" s="80"/>
      <c r="Q722" s="80"/>
      <c r="R722" s="80"/>
      <c r="S722" s="80"/>
      <c r="T722" s="80"/>
      <c r="U722" s="80"/>
      <c r="V722" s="80"/>
      <c r="W722" s="202" t="s">
        <v>513</v>
      </c>
      <c r="X722" s="203"/>
      <c r="Y722" s="34"/>
      <c r="Z722" s="34"/>
    </row>
    <row r="723">
      <c r="E723" s="131" t="b">
        <v>1</v>
      </c>
      <c r="F723" s="131" t="b">
        <v>0</v>
      </c>
      <c r="G723" s="131" t="b">
        <v>0</v>
      </c>
      <c r="H723" s="131" t="b">
        <v>0</v>
      </c>
      <c r="I723" s="38">
        <v>42536.0</v>
      </c>
      <c r="J723" s="38">
        <v>42539.0</v>
      </c>
      <c r="K723" s="28">
        <v>72.0</v>
      </c>
      <c r="L723" s="175"/>
      <c r="M723" s="169" t="s">
        <v>603</v>
      </c>
      <c r="N723" s="80" t="b">
        <v>0</v>
      </c>
      <c r="O723" s="80"/>
      <c r="P723" s="80"/>
      <c r="Q723" s="80"/>
      <c r="R723" s="80"/>
      <c r="S723" s="80"/>
      <c r="T723" s="80"/>
      <c r="U723" s="80"/>
      <c r="V723" s="80"/>
      <c r="W723" s="202" t="s">
        <v>513</v>
      </c>
      <c r="X723" s="203"/>
      <c r="Y723" s="34"/>
      <c r="Z723" s="34"/>
    </row>
    <row r="724">
      <c r="E724" s="131" t="b">
        <v>1</v>
      </c>
      <c r="F724" s="131" t="b">
        <v>0</v>
      </c>
      <c r="G724" s="131" t="b">
        <v>0</v>
      </c>
      <c r="H724" s="131" t="b">
        <v>0</v>
      </c>
      <c r="I724" s="38">
        <v>42474.0</v>
      </c>
      <c r="J724" s="38">
        <v>42478.0</v>
      </c>
      <c r="K724" s="28">
        <v>96.0</v>
      </c>
      <c r="L724" s="175"/>
      <c r="M724" s="169" t="s">
        <v>603</v>
      </c>
      <c r="N724" s="80" t="b">
        <v>0</v>
      </c>
      <c r="O724" s="80"/>
      <c r="P724" s="80"/>
      <c r="Q724" s="80"/>
      <c r="R724" s="80"/>
      <c r="S724" s="80"/>
      <c r="T724" s="80"/>
      <c r="U724" s="80"/>
      <c r="V724" s="80"/>
      <c r="W724" s="202" t="s">
        <v>513</v>
      </c>
      <c r="X724" s="203"/>
      <c r="Y724" s="34"/>
      <c r="Z724" s="34"/>
    </row>
    <row r="725">
      <c r="E725" s="131" t="b">
        <v>1</v>
      </c>
      <c r="F725" s="131" t="b">
        <v>0</v>
      </c>
      <c r="G725" s="131" t="b">
        <v>0</v>
      </c>
      <c r="H725" s="131" t="b">
        <v>0</v>
      </c>
      <c r="I725" s="38">
        <v>42395.0</v>
      </c>
      <c r="J725" s="38">
        <v>42395.0</v>
      </c>
      <c r="K725" s="28">
        <v>24.0</v>
      </c>
      <c r="L725" s="175"/>
      <c r="M725" s="169" t="s">
        <v>603</v>
      </c>
      <c r="N725" s="80" t="b">
        <v>0</v>
      </c>
      <c r="O725" s="80"/>
      <c r="P725" s="80"/>
      <c r="Q725" s="80"/>
      <c r="R725" s="80"/>
      <c r="S725" s="80"/>
      <c r="T725" s="80"/>
      <c r="U725" s="80"/>
      <c r="V725" s="80"/>
      <c r="W725" s="202" t="s">
        <v>513</v>
      </c>
      <c r="X725" s="203"/>
      <c r="Y725" s="34"/>
      <c r="Z725" s="34"/>
    </row>
    <row r="726">
      <c r="A726" s="41">
        <v>19.0</v>
      </c>
      <c r="B726" s="22" t="s">
        <v>639</v>
      </c>
      <c r="C726" s="23" t="s">
        <v>640</v>
      </c>
      <c r="D726" s="15" t="s">
        <v>29</v>
      </c>
      <c r="E726" s="80" t="b">
        <v>0</v>
      </c>
      <c r="F726" s="80" t="b">
        <v>0</v>
      </c>
      <c r="G726" s="80" t="b">
        <v>0</v>
      </c>
      <c r="H726" s="80" t="b">
        <v>0</v>
      </c>
      <c r="I726" s="38" t="s">
        <v>47</v>
      </c>
      <c r="J726" s="38" t="s">
        <v>47</v>
      </c>
      <c r="K726" s="28" t="s">
        <v>47</v>
      </c>
      <c r="L726" s="193" t="s">
        <v>47</v>
      </c>
      <c r="M726" s="38" t="s">
        <v>47</v>
      </c>
      <c r="N726" s="31" t="b">
        <v>0</v>
      </c>
      <c r="O726" s="31" t="b">
        <v>0</v>
      </c>
      <c r="P726" s="31" t="b">
        <v>0</v>
      </c>
      <c r="Q726" s="31" t="b">
        <v>0</v>
      </c>
      <c r="R726" s="31" t="b">
        <v>0</v>
      </c>
      <c r="S726" s="31" t="b">
        <v>0</v>
      </c>
      <c r="T726" s="31" t="b">
        <v>0</v>
      </c>
      <c r="U726" s="31" t="b">
        <v>0</v>
      </c>
      <c r="V726" s="32" t="b">
        <v>0</v>
      </c>
      <c r="W726" s="34"/>
      <c r="X726" s="34"/>
      <c r="Y726" s="34"/>
      <c r="Z726" s="34"/>
    </row>
    <row r="727">
      <c r="A727" s="41">
        <v>20.0</v>
      </c>
      <c r="B727" s="22" t="s">
        <v>641</v>
      </c>
      <c r="C727" s="23" t="s">
        <v>642</v>
      </c>
      <c r="D727" s="24" t="s">
        <v>36</v>
      </c>
      <c r="E727" s="80" t="b">
        <v>1</v>
      </c>
      <c r="F727" s="80" t="b">
        <v>0</v>
      </c>
      <c r="G727" s="80" t="b">
        <v>0</v>
      </c>
      <c r="H727" s="80" t="b">
        <v>0</v>
      </c>
      <c r="I727" s="38">
        <v>44911.0</v>
      </c>
      <c r="J727" s="38" t="s">
        <v>58</v>
      </c>
      <c r="K727" s="28">
        <f>(updateDate!B$1-date(year(I727),month(I727),day(I727)+1))*24</f>
        <v>17880</v>
      </c>
      <c r="L727" s="81" t="s">
        <v>643</v>
      </c>
      <c r="M727" s="40" t="s">
        <v>38</v>
      </c>
      <c r="N727" s="80" t="b">
        <v>1</v>
      </c>
      <c r="O727" s="80" t="b">
        <v>0</v>
      </c>
      <c r="P727" s="80" t="b">
        <v>0</v>
      </c>
      <c r="Q727" s="80" t="b">
        <v>0</v>
      </c>
      <c r="R727" s="80" t="b">
        <v>0</v>
      </c>
      <c r="S727" s="80" t="b">
        <v>0</v>
      </c>
      <c r="T727" s="80" t="b">
        <v>0</v>
      </c>
      <c r="U727" s="80" t="b">
        <v>1</v>
      </c>
      <c r="V727" s="25" t="b">
        <v>0</v>
      </c>
      <c r="W727" s="33" t="s">
        <v>39</v>
      </c>
      <c r="X727" s="61" t="s">
        <v>644</v>
      </c>
      <c r="Y727" s="33"/>
      <c r="Z727" s="33"/>
    </row>
    <row r="728">
      <c r="E728" s="80" t="b">
        <v>0</v>
      </c>
      <c r="F728" s="80" t="b">
        <v>0</v>
      </c>
      <c r="G728" s="80" t="b">
        <v>1</v>
      </c>
      <c r="H728" s="80" t="b">
        <v>0</v>
      </c>
      <c r="I728" s="38">
        <v>44700.0</v>
      </c>
      <c r="J728" s="38">
        <v>44700.0</v>
      </c>
      <c r="K728" s="28">
        <v>3.0</v>
      </c>
      <c r="L728" s="39" t="s">
        <v>645</v>
      </c>
      <c r="M728" s="40" t="s">
        <v>38</v>
      </c>
      <c r="N728" s="80" t="b">
        <v>1</v>
      </c>
      <c r="O728" s="80" t="b">
        <v>1</v>
      </c>
      <c r="P728" s="80" t="b">
        <v>0</v>
      </c>
      <c r="Q728" s="80" t="b">
        <v>0</v>
      </c>
      <c r="R728" s="80" t="b">
        <v>0</v>
      </c>
      <c r="S728" s="80" t="b">
        <v>0</v>
      </c>
      <c r="T728" s="80" t="b">
        <v>0</v>
      </c>
      <c r="U728" s="80" t="b">
        <v>0</v>
      </c>
      <c r="V728" s="25" t="b">
        <v>0</v>
      </c>
      <c r="W728" s="33" t="s">
        <v>39</v>
      </c>
      <c r="X728" s="33" t="s">
        <v>646</v>
      </c>
      <c r="Y728" s="33"/>
      <c r="Z728" s="33"/>
    </row>
    <row r="729">
      <c r="E729" s="80" t="b">
        <v>0</v>
      </c>
      <c r="F729" s="80" t="b">
        <v>0</v>
      </c>
      <c r="G729" s="80" t="b">
        <v>1</v>
      </c>
      <c r="H729" s="80" t="b">
        <v>0</v>
      </c>
      <c r="I729" s="38">
        <v>44289.0</v>
      </c>
      <c r="J729" s="38">
        <v>44291.0</v>
      </c>
      <c r="K729" s="28">
        <v>48.0</v>
      </c>
      <c r="L729" s="39" t="s">
        <v>647</v>
      </c>
      <c r="M729" s="40" t="s">
        <v>648</v>
      </c>
      <c r="N729" s="80" t="b">
        <v>0</v>
      </c>
      <c r="O729" s="80" t="b">
        <v>0</v>
      </c>
      <c r="P729" s="80" t="b">
        <v>0</v>
      </c>
      <c r="Q729" s="80" t="b">
        <v>0</v>
      </c>
      <c r="R729" s="80" t="b">
        <v>0</v>
      </c>
      <c r="S729" s="80" t="b">
        <v>0</v>
      </c>
      <c r="T729" s="80" t="b">
        <v>0</v>
      </c>
      <c r="U729" s="80" t="b">
        <v>0</v>
      </c>
      <c r="V729" s="25" t="b">
        <v>0</v>
      </c>
      <c r="W729" s="33" t="s">
        <v>93</v>
      </c>
      <c r="X729" s="33" t="s">
        <v>151</v>
      </c>
      <c r="Y729" s="33" t="s">
        <v>649</v>
      </c>
      <c r="Z729" s="33"/>
    </row>
    <row r="730">
      <c r="E730" s="80" t="b">
        <v>1</v>
      </c>
      <c r="F730" s="80" t="b">
        <v>0</v>
      </c>
      <c r="G730" s="80" t="b">
        <v>0</v>
      </c>
      <c r="H730" s="80" t="b">
        <v>0</v>
      </c>
      <c r="I730" s="38">
        <v>44041.0</v>
      </c>
      <c r="J730" s="38">
        <v>44048.0</v>
      </c>
      <c r="K730" s="28">
        <v>20.0</v>
      </c>
      <c r="L730" s="39" t="s">
        <v>650</v>
      </c>
      <c r="M730" s="40" t="s">
        <v>38</v>
      </c>
      <c r="N730" s="80" t="b">
        <v>1</v>
      </c>
      <c r="O730" s="80" t="b">
        <v>1</v>
      </c>
      <c r="P730" s="80" t="b">
        <v>0</v>
      </c>
      <c r="Q730" s="80" t="b">
        <v>0</v>
      </c>
      <c r="R730" s="80" t="b">
        <v>0</v>
      </c>
      <c r="S730" s="80" t="b">
        <v>0</v>
      </c>
      <c r="T730" s="80" t="b">
        <v>0</v>
      </c>
      <c r="U730" s="80" t="b">
        <v>0</v>
      </c>
      <c r="V730" s="25" t="b">
        <v>0</v>
      </c>
      <c r="W730" s="33" t="s">
        <v>39</v>
      </c>
      <c r="X730" s="34"/>
      <c r="Y730" s="34"/>
      <c r="Z730" s="34"/>
    </row>
    <row r="731">
      <c r="E731" s="80" t="b">
        <v>1</v>
      </c>
      <c r="F731" s="80" t="b">
        <v>0</v>
      </c>
      <c r="G731" s="80" t="b">
        <v>0</v>
      </c>
      <c r="H731" s="80" t="b">
        <v>0</v>
      </c>
      <c r="I731" s="38">
        <v>43454.0</v>
      </c>
      <c r="J731" s="38">
        <v>43475.0</v>
      </c>
      <c r="K731" s="28">
        <v>504.0</v>
      </c>
      <c r="L731" s="39" t="s">
        <v>651</v>
      </c>
      <c r="M731" s="40" t="s">
        <v>38</v>
      </c>
      <c r="N731" s="80" t="b">
        <v>1</v>
      </c>
      <c r="O731" s="80" t="b">
        <v>1</v>
      </c>
      <c r="P731" s="80" t="b">
        <v>0</v>
      </c>
      <c r="Q731" s="80" t="b">
        <v>0</v>
      </c>
      <c r="R731" s="80" t="b">
        <v>0</v>
      </c>
      <c r="S731" s="80" t="b">
        <v>0</v>
      </c>
      <c r="T731" s="80" t="b">
        <v>0</v>
      </c>
      <c r="U731" s="80" t="b">
        <v>0</v>
      </c>
      <c r="V731" s="25" t="b">
        <v>0</v>
      </c>
      <c r="W731" s="33" t="s">
        <v>151</v>
      </c>
      <c r="X731" s="33"/>
      <c r="Y731" s="34"/>
      <c r="Z731" s="34"/>
    </row>
    <row r="732">
      <c r="A732" s="139">
        <v>21.0</v>
      </c>
      <c r="B732" s="22" t="s">
        <v>652</v>
      </c>
      <c r="C732" s="23" t="s">
        <v>653</v>
      </c>
      <c r="D732" s="24" t="s">
        <v>36</v>
      </c>
      <c r="E732" s="80" t="b">
        <v>1</v>
      </c>
      <c r="F732" s="80" t="b">
        <v>0</v>
      </c>
      <c r="G732" s="80" t="b">
        <v>0</v>
      </c>
      <c r="H732" s="80" t="b">
        <v>0</v>
      </c>
      <c r="I732" s="38">
        <v>44891.0</v>
      </c>
      <c r="J732" s="38">
        <v>44891.0</v>
      </c>
      <c r="K732" s="28">
        <v>2.0</v>
      </c>
      <c r="L732" s="39" t="s">
        <v>654</v>
      </c>
      <c r="M732" s="40" t="s">
        <v>655</v>
      </c>
      <c r="N732" s="80" t="b">
        <v>0</v>
      </c>
      <c r="O732" s="80" t="b">
        <v>0</v>
      </c>
      <c r="P732" s="80" t="b">
        <v>0</v>
      </c>
      <c r="Q732" s="80" t="b">
        <v>0</v>
      </c>
      <c r="R732" s="80" t="b">
        <v>0</v>
      </c>
      <c r="S732" s="80" t="b">
        <v>0</v>
      </c>
      <c r="T732" s="80" t="b">
        <v>0</v>
      </c>
      <c r="U732" s="80" t="b">
        <v>0</v>
      </c>
      <c r="V732" s="25" t="b">
        <v>0</v>
      </c>
      <c r="W732" s="33" t="s">
        <v>125</v>
      </c>
      <c r="X732" s="34"/>
      <c r="Y732" s="34"/>
      <c r="Z732" s="34"/>
    </row>
    <row r="733">
      <c r="E733" s="80" t="b">
        <v>1</v>
      </c>
      <c r="F733" s="80" t="b">
        <v>0</v>
      </c>
      <c r="G733" s="80" t="b">
        <v>0</v>
      </c>
      <c r="H733" s="80" t="b">
        <v>0</v>
      </c>
      <c r="I733" s="38">
        <v>44566.0</v>
      </c>
      <c r="J733" s="38">
        <v>44572.0</v>
      </c>
      <c r="K733" s="28">
        <v>139.0</v>
      </c>
      <c r="L733" s="39" t="s">
        <v>656</v>
      </c>
      <c r="M733" s="40" t="s">
        <v>38</v>
      </c>
      <c r="N733" s="31" t="b">
        <v>0</v>
      </c>
      <c r="O733" s="31" t="b">
        <v>0</v>
      </c>
      <c r="P733" s="31" t="b">
        <v>0</v>
      </c>
      <c r="Q733" s="31" t="b">
        <v>0</v>
      </c>
      <c r="R733" s="31" t="b">
        <v>0</v>
      </c>
      <c r="S733" s="31" t="b">
        <v>0</v>
      </c>
      <c r="T733" s="31" t="b">
        <v>0</v>
      </c>
      <c r="U733" s="31" t="b">
        <v>0</v>
      </c>
      <c r="V733" s="32" t="b">
        <v>0</v>
      </c>
      <c r="W733" s="33" t="s">
        <v>39</v>
      </c>
      <c r="X733" s="33"/>
      <c r="Y733" s="33"/>
      <c r="Z733" s="33"/>
    </row>
    <row r="734">
      <c r="E734" s="80" t="b">
        <v>1</v>
      </c>
      <c r="F734" s="80" t="b">
        <v>0</v>
      </c>
      <c r="G734" s="80" t="b">
        <v>0</v>
      </c>
      <c r="H734" s="80" t="b">
        <v>0</v>
      </c>
      <c r="I734" s="38">
        <v>44283.0</v>
      </c>
      <c r="J734" s="38">
        <v>44283.0</v>
      </c>
      <c r="K734" s="28">
        <v>3.0</v>
      </c>
      <c r="L734" s="39" t="s">
        <v>657</v>
      </c>
      <c r="M734" s="150" t="s">
        <v>658</v>
      </c>
      <c r="N734" s="31" t="b">
        <v>0</v>
      </c>
      <c r="O734" s="31" t="b">
        <v>0</v>
      </c>
      <c r="P734" s="31" t="b">
        <v>0</v>
      </c>
      <c r="Q734" s="31" t="b">
        <v>0</v>
      </c>
      <c r="R734" s="31" t="b">
        <v>0</v>
      </c>
      <c r="S734" s="31" t="b">
        <v>0</v>
      </c>
      <c r="T734" s="31" t="b">
        <v>0</v>
      </c>
      <c r="U734" s="31" t="b">
        <v>0</v>
      </c>
      <c r="V734" s="32" t="b">
        <v>0</v>
      </c>
      <c r="W734" s="33" t="s">
        <v>93</v>
      </c>
      <c r="X734" s="33" t="s">
        <v>93</v>
      </c>
      <c r="Y734" s="33"/>
      <c r="Z734" s="33"/>
    </row>
    <row r="735">
      <c r="E735" s="80" t="b">
        <v>0</v>
      </c>
      <c r="F735" s="80" t="b">
        <v>1</v>
      </c>
      <c r="G735" s="80" t="b">
        <v>0</v>
      </c>
      <c r="H735" s="80" t="b">
        <v>0</v>
      </c>
      <c r="I735" s="38">
        <v>43627.0</v>
      </c>
      <c r="J735" s="38">
        <v>43628.0</v>
      </c>
      <c r="K735" s="28">
        <v>24.0</v>
      </c>
      <c r="L735" s="39" t="s">
        <v>659</v>
      </c>
      <c r="M735" s="40" t="s">
        <v>38</v>
      </c>
      <c r="N735" s="31" t="b">
        <v>1</v>
      </c>
      <c r="O735" s="31" t="b">
        <v>1</v>
      </c>
      <c r="P735" s="31" t="b">
        <v>0</v>
      </c>
      <c r="Q735" s="31" t="b">
        <v>0</v>
      </c>
      <c r="R735" s="31" t="b">
        <v>1</v>
      </c>
      <c r="S735" s="31" t="b">
        <v>0</v>
      </c>
      <c r="T735" s="31" t="b">
        <v>1</v>
      </c>
      <c r="U735" s="31" t="b">
        <v>0</v>
      </c>
      <c r="V735" s="32" t="b">
        <v>0</v>
      </c>
      <c r="W735" s="33" t="s">
        <v>41</v>
      </c>
      <c r="X735" s="33"/>
      <c r="Y735" s="33"/>
      <c r="Z735" s="33"/>
    </row>
    <row r="736">
      <c r="E736" s="80" t="b">
        <v>0</v>
      </c>
      <c r="F736" s="80" t="b">
        <v>1</v>
      </c>
      <c r="G736" s="80" t="b">
        <v>0</v>
      </c>
      <c r="H736" s="80" t="b">
        <v>0</v>
      </c>
      <c r="I736" s="38">
        <v>43625.0</v>
      </c>
      <c r="J736" s="38">
        <v>43625.0</v>
      </c>
      <c r="K736" s="28">
        <v>1.0</v>
      </c>
      <c r="L736" s="39" t="s">
        <v>659</v>
      </c>
      <c r="M736" s="40" t="s">
        <v>38</v>
      </c>
      <c r="N736" s="31" t="b">
        <v>0</v>
      </c>
      <c r="O736" s="31" t="b">
        <v>0</v>
      </c>
      <c r="P736" s="31" t="b">
        <v>0</v>
      </c>
      <c r="Q736" s="31" t="b">
        <v>0</v>
      </c>
      <c r="R736" s="31" t="b">
        <v>0</v>
      </c>
      <c r="S736" s="31" t="b">
        <v>0</v>
      </c>
      <c r="T736" s="31" t="b">
        <v>0</v>
      </c>
      <c r="U736" s="31" t="b">
        <v>0</v>
      </c>
      <c r="V736" s="32" t="b">
        <v>0</v>
      </c>
      <c r="W736" s="33" t="s">
        <v>41</v>
      </c>
      <c r="X736" s="33"/>
      <c r="Y736" s="33"/>
      <c r="Z736" s="33"/>
    </row>
    <row r="737">
      <c r="E737" s="80" t="b">
        <v>1</v>
      </c>
      <c r="F737" s="80" t="b">
        <v>0</v>
      </c>
      <c r="G737" s="80" t="b">
        <v>0</v>
      </c>
      <c r="H737" s="80" t="b">
        <v>0</v>
      </c>
      <c r="I737" s="38">
        <v>43594.0</v>
      </c>
      <c r="J737" s="38">
        <v>43604.0</v>
      </c>
      <c r="K737" s="28">
        <v>7.0</v>
      </c>
      <c r="L737" s="39" t="s">
        <v>660</v>
      </c>
      <c r="M737" s="40" t="s">
        <v>38</v>
      </c>
      <c r="N737" s="31" t="b">
        <v>1</v>
      </c>
      <c r="O737" s="31" t="b">
        <v>1</v>
      </c>
      <c r="P737" s="31" t="b">
        <v>0</v>
      </c>
      <c r="Q737" s="31" t="b">
        <v>1</v>
      </c>
      <c r="R737" s="31" t="b">
        <v>1</v>
      </c>
      <c r="S737" s="31" t="b">
        <v>1</v>
      </c>
      <c r="T737" s="31" t="b">
        <v>0</v>
      </c>
      <c r="U737" s="31" t="b">
        <v>0</v>
      </c>
      <c r="V737" s="32" t="b">
        <v>0</v>
      </c>
      <c r="W737" s="33" t="s">
        <v>41</v>
      </c>
      <c r="X737" s="33"/>
      <c r="Y737" s="33"/>
      <c r="Z737" s="33"/>
    </row>
    <row r="738">
      <c r="E738" s="80" t="b">
        <v>0</v>
      </c>
      <c r="F738" s="80" t="b">
        <v>0</v>
      </c>
      <c r="G738" s="80" t="b">
        <v>1</v>
      </c>
      <c r="H738" s="80" t="b">
        <v>0</v>
      </c>
      <c r="I738" s="38">
        <v>43177.0</v>
      </c>
      <c r="J738" s="38">
        <v>43343.0</v>
      </c>
      <c r="K738" s="28">
        <v>326.0</v>
      </c>
      <c r="L738" s="39" t="s">
        <v>661</v>
      </c>
      <c r="M738" s="40" t="s">
        <v>38</v>
      </c>
      <c r="N738" s="31" t="b">
        <v>0</v>
      </c>
      <c r="O738" s="31" t="b">
        <v>0</v>
      </c>
      <c r="P738" s="31" t="b">
        <v>0</v>
      </c>
      <c r="Q738" s="31" t="b">
        <v>0</v>
      </c>
      <c r="R738" s="31" t="b">
        <v>0</v>
      </c>
      <c r="S738" s="31" t="b">
        <v>0</v>
      </c>
      <c r="T738" s="31" t="b">
        <v>0</v>
      </c>
      <c r="U738" s="31" t="b">
        <v>0</v>
      </c>
      <c r="V738" s="32" t="b">
        <v>0</v>
      </c>
      <c r="W738" s="33" t="s">
        <v>52</v>
      </c>
      <c r="X738" s="33" t="s">
        <v>662</v>
      </c>
      <c r="Y738" s="33"/>
      <c r="Z738" s="33"/>
    </row>
    <row r="739">
      <c r="E739" s="80" t="b">
        <v>0</v>
      </c>
      <c r="F739" s="80" t="b">
        <v>0</v>
      </c>
      <c r="G739" s="80" t="b">
        <v>1</v>
      </c>
      <c r="H739" s="80" t="b">
        <v>0</v>
      </c>
      <c r="I739" s="38">
        <v>42719.0</v>
      </c>
      <c r="J739" s="38">
        <v>42719.0</v>
      </c>
      <c r="K739" s="28">
        <v>24.0</v>
      </c>
      <c r="L739" s="39" t="s">
        <v>663</v>
      </c>
      <c r="M739" s="40" t="s">
        <v>38</v>
      </c>
      <c r="N739" s="31" t="b">
        <v>1</v>
      </c>
      <c r="O739" s="31" t="b">
        <v>1</v>
      </c>
      <c r="P739" s="31" t="b">
        <v>0</v>
      </c>
      <c r="Q739" s="31" t="b">
        <v>1</v>
      </c>
      <c r="R739" s="31" t="b">
        <v>1</v>
      </c>
      <c r="S739" s="31" t="b">
        <v>0</v>
      </c>
      <c r="T739" s="31" t="b">
        <v>0</v>
      </c>
      <c r="U739" s="31" t="b">
        <v>0</v>
      </c>
      <c r="V739" s="32" t="b">
        <v>0</v>
      </c>
      <c r="W739" s="33" t="s">
        <v>664</v>
      </c>
      <c r="X739" s="33"/>
      <c r="Y739" s="33"/>
      <c r="Z739" s="33"/>
    </row>
    <row r="740">
      <c r="A740" s="41">
        <v>22.0</v>
      </c>
      <c r="B740" s="22" t="s">
        <v>665</v>
      </c>
      <c r="C740" s="23" t="s">
        <v>666</v>
      </c>
      <c r="D740" s="15" t="s">
        <v>29</v>
      </c>
      <c r="E740" s="80" t="b">
        <v>0</v>
      </c>
      <c r="F740" s="80" t="b">
        <v>0</v>
      </c>
      <c r="G740" s="80" t="b">
        <v>0</v>
      </c>
      <c r="H740" s="80" t="b">
        <v>0</v>
      </c>
      <c r="I740" s="38" t="s">
        <v>47</v>
      </c>
      <c r="J740" s="38" t="s">
        <v>47</v>
      </c>
      <c r="K740" s="28" t="s">
        <v>47</v>
      </c>
      <c r="L740" s="193" t="s">
        <v>47</v>
      </c>
      <c r="M740" s="38" t="s">
        <v>47</v>
      </c>
      <c r="N740" s="31" t="b">
        <v>0</v>
      </c>
      <c r="O740" s="31" t="b">
        <v>0</v>
      </c>
      <c r="P740" s="31" t="b">
        <v>0</v>
      </c>
      <c r="Q740" s="31" t="b">
        <v>0</v>
      </c>
      <c r="R740" s="31" t="b">
        <v>0</v>
      </c>
      <c r="S740" s="31" t="b">
        <v>0</v>
      </c>
      <c r="T740" s="31" t="b">
        <v>0</v>
      </c>
      <c r="U740" s="31" t="b">
        <v>0</v>
      </c>
      <c r="V740" s="32" t="b">
        <v>0</v>
      </c>
      <c r="W740" s="34"/>
      <c r="X740" s="34"/>
      <c r="Y740" s="34"/>
      <c r="Z740" s="34"/>
    </row>
    <row r="741">
      <c r="A741" s="41">
        <v>23.0</v>
      </c>
      <c r="B741" s="22" t="s">
        <v>667</v>
      </c>
      <c r="C741" s="23" t="s">
        <v>668</v>
      </c>
      <c r="D741" s="24" t="s">
        <v>36</v>
      </c>
      <c r="E741" s="80" t="b">
        <v>1</v>
      </c>
      <c r="F741" s="80" t="b">
        <v>0</v>
      </c>
      <c r="G741" s="80" t="b">
        <v>0</v>
      </c>
      <c r="H741" s="80" t="b">
        <v>0</v>
      </c>
      <c r="I741" s="38">
        <v>44109.0</v>
      </c>
      <c r="J741" s="38">
        <v>44109.0</v>
      </c>
      <c r="K741" s="28">
        <v>8.0</v>
      </c>
      <c r="L741" s="39" t="s">
        <v>669</v>
      </c>
      <c r="M741" s="40" t="s">
        <v>38</v>
      </c>
      <c r="N741" s="31" t="b">
        <v>0</v>
      </c>
      <c r="O741" s="31" t="b">
        <v>0</v>
      </c>
      <c r="P741" s="31" t="b">
        <v>0</v>
      </c>
      <c r="Q741" s="31" t="b">
        <v>0</v>
      </c>
      <c r="R741" s="31" t="b">
        <v>0</v>
      </c>
      <c r="S741" s="31" t="b">
        <v>0</v>
      </c>
      <c r="T741" s="31" t="b">
        <v>0</v>
      </c>
      <c r="U741" s="31" t="b">
        <v>0</v>
      </c>
      <c r="V741" s="32" t="b">
        <v>0</v>
      </c>
      <c r="W741" s="33" t="s">
        <v>39</v>
      </c>
      <c r="X741" s="34"/>
      <c r="Y741" s="34"/>
      <c r="Z741" s="34"/>
    </row>
    <row r="742">
      <c r="A742" s="41">
        <v>24.0</v>
      </c>
      <c r="B742" s="22" t="s">
        <v>670</v>
      </c>
      <c r="C742" s="23" t="s">
        <v>671</v>
      </c>
      <c r="D742" s="15" t="s">
        <v>29</v>
      </c>
      <c r="E742" s="80" t="b">
        <v>0</v>
      </c>
      <c r="F742" s="80" t="b">
        <v>0</v>
      </c>
      <c r="G742" s="80" t="b">
        <v>0</v>
      </c>
      <c r="H742" s="80" t="b">
        <v>0</v>
      </c>
      <c r="I742" s="38" t="s">
        <v>47</v>
      </c>
      <c r="J742" s="38" t="s">
        <v>47</v>
      </c>
      <c r="K742" s="28" t="s">
        <v>47</v>
      </c>
      <c r="L742" s="193" t="s">
        <v>47</v>
      </c>
      <c r="M742" s="38" t="s">
        <v>47</v>
      </c>
      <c r="N742" s="31" t="b">
        <v>0</v>
      </c>
      <c r="O742" s="31" t="b">
        <v>0</v>
      </c>
      <c r="P742" s="31" t="b">
        <v>0</v>
      </c>
      <c r="Q742" s="31" t="b">
        <v>0</v>
      </c>
      <c r="R742" s="31" t="b">
        <v>0</v>
      </c>
      <c r="S742" s="31" t="b">
        <v>0</v>
      </c>
      <c r="T742" s="31" t="b">
        <v>0</v>
      </c>
      <c r="U742" s="31" t="b">
        <v>0</v>
      </c>
      <c r="V742" s="32" t="b">
        <v>0</v>
      </c>
      <c r="W742" s="34"/>
      <c r="X742" s="34"/>
      <c r="Y742" s="34"/>
      <c r="Z742" s="34"/>
    </row>
    <row r="743">
      <c r="A743" s="41">
        <v>25.0</v>
      </c>
      <c r="B743" s="22" t="s">
        <v>672</v>
      </c>
      <c r="C743" s="23" t="s">
        <v>673</v>
      </c>
      <c r="D743" s="15" t="s">
        <v>29</v>
      </c>
      <c r="E743" s="80" t="b">
        <v>0</v>
      </c>
      <c r="F743" s="80" t="b">
        <v>0</v>
      </c>
      <c r="G743" s="80" t="b">
        <v>0</v>
      </c>
      <c r="H743" s="80" t="b">
        <v>0</v>
      </c>
      <c r="I743" s="38" t="s">
        <v>47</v>
      </c>
      <c r="J743" s="38" t="s">
        <v>47</v>
      </c>
      <c r="K743" s="28" t="s">
        <v>47</v>
      </c>
      <c r="L743" s="193" t="s">
        <v>47</v>
      </c>
      <c r="M743" s="38" t="s">
        <v>47</v>
      </c>
      <c r="N743" s="31" t="b">
        <v>0</v>
      </c>
      <c r="O743" s="31" t="b">
        <v>0</v>
      </c>
      <c r="P743" s="31" t="b">
        <v>0</v>
      </c>
      <c r="Q743" s="31" t="b">
        <v>0</v>
      </c>
      <c r="R743" s="31" t="b">
        <v>0</v>
      </c>
      <c r="S743" s="31" t="b">
        <v>0</v>
      </c>
      <c r="T743" s="31" t="b">
        <v>0</v>
      </c>
      <c r="U743" s="31" t="b">
        <v>0</v>
      </c>
      <c r="V743" s="32" t="b">
        <v>0</v>
      </c>
      <c r="W743" s="34"/>
      <c r="X743" s="34"/>
      <c r="Y743" s="34"/>
      <c r="Z743" s="34"/>
    </row>
    <row r="744">
      <c r="A744" s="41">
        <v>26.0</v>
      </c>
      <c r="B744" s="22" t="s">
        <v>674</v>
      </c>
      <c r="C744" s="23" t="s">
        <v>675</v>
      </c>
      <c r="D744" s="15" t="s">
        <v>29</v>
      </c>
      <c r="E744" s="80" t="b">
        <v>0</v>
      </c>
      <c r="F744" s="80" t="b">
        <v>0</v>
      </c>
      <c r="G744" s="80" t="b">
        <v>0</v>
      </c>
      <c r="H744" s="80" t="b">
        <v>0</v>
      </c>
      <c r="I744" s="38" t="s">
        <v>47</v>
      </c>
      <c r="J744" s="38" t="s">
        <v>47</v>
      </c>
      <c r="K744" s="28" t="s">
        <v>47</v>
      </c>
      <c r="L744" s="193" t="s">
        <v>47</v>
      </c>
      <c r="M744" s="38" t="s">
        <v>47</v>
      </c>
      <c r="N744" s="31" t="b">
        <v>0</v>
      </c>
      <c r="O744" s="31" t="b">
        <v>0</v>
      </c>
      <c r="P744" s="31" t="b">
        <v>0</v>
      </c>
      <c r="Q744" s="31" t="b">
        <v>0</v>
      </c>
      <c r="R744" s="31" t="b">
        <v>0</v>
      </c>
      <c r="S744" s="31" t="b">
        <v>0</v>
      </c>
      <c r="T744" s="31" t="b">
        <v>0</v>
      </c>
      <c r="U744" s="31" t="b">
        <v>0</v>
      </c>
      <c r="V744" s="32" t="b">
        <v>0</v>
      </c>
      <c r="W744" s="33"/>
      <c r="X744" s="33"/>
      <c r="Y744" s="34"/>
      <c r="Z744" s="34"/>
    </row>
    <row r="745">
      <c r="A745" s="41">
        <v>27.0</v>
      </c>
      <c r="B745" s="22" t="s">
        <v>676</v>
      </c>
      <c r="C745" s="23" t="s">
        <v>677</v>
      </c>
      <c r="D745" s="15" t="s">
        <v>29</v>
      </c>
      <c r="E745" s="80" t="b">
        <v>0</v>
      </c>
      <c r="F745" s="80" t="b">
        <v>0</v>
      </c>
      <c r="G745" s="80" t="b">
        <v>0</v>
      </c>
      <c r="H745" s="80" t="b">
        <v>0</v>
      </c>
      <c r="I745" s="38" t="s">
        <v>47</v>
      </c>
      <c r="J745" s="38" t="s">
        <v>47</v>
      </c>
      <c r="K745" s="28" t="s">
        <v>47</v>
      </c>
      <c r="L745" s="193" t="s">
        <v>47</v>
      </c>
      <c r="M745" s="38" t="s">
        <v>47</v>
      </c>
      <c r="N745" s="31" t="b">
        <v>0</v>
      </c>
      <c r="O745" s="31" t="b">
        <v>0</v>
      </c>
      <c r="P745" s="31" t="b">
        <v>0</v>
      </c>
      <c r="Q745" s="31" t="b">
        <v>0</v>
      </c>
      <c r="R745" s="31" t="b">
        <v>0</v>
      </c>
      <c r="S745" s="31" t="b">
        <v>0</v>
      </c>
      <c r="T745" s="31" t="b">
        <v>0</v>
      </c>
      <c r="U745" s="31" t="b">
        <v>0</v>
      </c>
      <c r="V745" s="32" t="b">
        <v>0</v>
      </c>
      <c r="W745" s="33"/>
      <c r="X745" s="33"/>
      <c r="Y745" s="34"/>
      <c r="Z745" s="34"/>
    </row>
    <row r="746">
      <c r="A746" s="41">
        <v>28.0</v>
      </c>
      <c r="B746" s="22" t="s">
        <v>678</v>
      </c>
      <c r="C746" s="23" t="s">
        <v>679</v>
      </c>
      <c r="D746" s="15" t="s">
        <v>29</v>
      </c>
      <c r="E746" s="80" t="b">
        <v>0</v>
      </c>
      <c r="F746" s="80" t="b">
        <v>0</v>
      </c>
      <c r="G746" s="80" t="b">
        <v>0</v>
      </c>
      <c r="H746" s="80" t="b">
        <v>0</v>
      </c>
      <c r="I746" s="38" t="s">
        <v>47</v>
      </c>
      <c r="J746" s="38" t="s">
        <v>47</v>
      </c>
      <c r="K746" s="28" t="s">
        <v>47</v>
      </c>
      <c r="L746" s="193" t="s">
        <v>47</v>
      </c>
      <c r="M746" s="38" t="s">
        <v>47</v>
      </c>
      <c r="N746" s="31" t="b">
        <v>0</v>
      </c>
      <c r="O746" s="31" t="b">
        <v>0</v>
      </c>
      <c r="P746" s="31" t="b">
        <v>0</v>
      </c>
      <c r="Q746" s="31" t="b">
        <v>0</v>
      </c>
      <c r="R746" s="31" t="b">
        <v>0</v>
      </c>
      <c r="S746" s="31" t="b">
        <v>0</v>
      </c>
      <c r="T746" s="31" t="b">
        <v>0</v>
      </c>
      <c r="U746" s="31" t="b">
        <v>0</v>
      </c>
      <c r="V746" s="32" t="b">
        <v>0</v>
      </c>
      <c r="W746" s="34"/>
      <c r="X746" s="34"/>
      <c r="Y746" s="34"/>
      <c r="Z746" s="34"/>
    </row>
    <row r="747">
      <c r="A747" s="41">
        <v>29.0</v>
      </c>
      <c r="B747" s="22" t="s">
        <v>680</v>
      </c>
      <c r="C747" s="23" t="s">
        <v>681</v>
      </c>
      <c r="D747" s="16" t="s">
        <v>30</v>
      </c>
      <c r="E747" s="80" t="b">
        <v>1</v>
      </c>
      <c r="F747" s="80" t="b">
        <v>0</v>
      </c>
      <c r="G747" s="80" t="b">
        <v>0</v>
      </c>
      <c r="H747" s="80" t="b">
        <v>0</v>
      </c>
      <c r="I747" s="38">
        <v>44453.0</v>
      </c>
      <c r="J747" s="83">
        <v>44467.0</v>
      </c>
      <c r="K747" s="28">
        <v>336.0</v>
      </c>
      <c r="L747" s="39" t="s">
        <v>682</v>
      </c>
      <c r="M747" s="40" t="s">
        <v>683</v>
      </c>
      <c r="N747" s="31" t="b">
        <v>0</v>
      </c>
      <c r="O747" s="31" t="b">
        <v>0</v>
      </c>
      <c r="P747" s="31" t="b">
        <v>0</v>
      </c>
      <c r="Q747" s="31" t="b">
        <v>0</v>
      </c>
      <c r="R747" s="31" t="b">
        <v>0</v>
      </c>
      <c r="S747" s="31" t="b">
        <v>0</v>
      </c>
      <c r="T747" s="31" t="b">
        <v>0</v>
      </c>
      <c r="U747" s="31" t="b">
        <v>0</v>
      </c>
      <c r="V747" s="32" t="b">
        <v>0</v>
      </c>
      <c r="W747" s="33" t="s">
        <v>93</v>
      </c>
      <c r="X747" s="61" t="s">
        <v>684</v>
      </c>
      <c r="Y747" s="33" t="s">
        <v>685</v>
      </c>
      <c r="Z747" s="33"/>
    </row>
    <row r="748">
      <c r="E748" s="80" t="b">
        <v>0</v>
      </c>
      <c r="F748" s="80" t="b">
        <v>0</v>
      </c>
      <c r="G748" s="80" t="b">
        <v>1</v>
      </c>
      <c r="H748" s="80" t="b">
        <v>0</v>
      </c>
      <c r="I748" s="38">
        <v>44351.0</v>
      </c>
      <c r="J748" s="38">
        <v>44351.0</v>
      </c>
      <c r="K748" s="28">
        <v>1.0</v>
      </c>
      <c r="L748" s="39" t="s">
        <v>686</v>
      </c>
      <c r="M748" s="40" t="s">
        <v>38</v>
      </c>
      <c r="N748" s="31" t="b">
        <v>0</v>
      </c>
      <c r="O748" s="31" t="b">
        <v>0</v>
      </c>
      <c r="P748" s="31" t="b">
        <v>0</v>
      </c>
      <c r="Q748" s="31" t="b">
        <v>0</v>
      </c>
      <c r="R748" s="31" t="b">
        <v>0</v>
      </c>
      <c r="S748" s="31" t="b">
        <v>0</v>
      </c>
      <c r="T748" s="31" t="b">
        <v>0</v>
      </c>
      <c r="U748" s="31" t="b">
        <v>0</v>
      </c>
      <c r="V748" s="32" t="b">
        <v>0</v>
      </c>
      <c r="W748" s="33" t="s">
        <v>93</v>
      </c>
      <c r="X748" s="33" t="s">
        <v>125</v>
      </c>
      <c r="Y748" s="34"/>
      <c r="Z748" s="34"/>
    </row>
    <row r="749">
      <c r="E749" s="80" t="b">
        <v>0</v>
      </c>
      <c r="F749" s="80" t="b">
        <v>0</v>
      </c>
      <c r="G749" s="80" t="b">
        <v>1</v>
      </c>
      <c r="H749" s="80" t="b">
        <v>0</v>
      </c>
      <c r="I749" s="38">
        <v>44232.0</v>
      </c>
      <c r="J749" s="38" t="s">
        <v>58</v>
      </c>
      <c r="K749" s="28">
        <f>(updateDate!B$1-date(year(I749),month(I749),day(I749)+1))*24</f>
        <v>34176</v>
      </c>
      <c r="L749" s="39" t="s">
        <v>687</v>
      </c>
      <c r="M749" s="40" t="s">
        <v>38</v>
      </c>
      <c r="N749" s="31" t="b">
        <v>1</v>
      </c>
      <c r="O749" s="31" t="b">
        <v>0</v>
      </c>
      <c r="P749" s="31" t="b">
        <v>1</v>
      </c>
      <c r="Q749" s="31" t="b">
        <v>0</v>
      </c>
      <c r="R749" s="31" t="b">
        <v>0</v>
      </c>
      <c r="S749" s="31" t="b">
        <v>0</v>
      </c>
      <c r="T749" s="31" t="b">
        <v>0</v>
      </c>
      <c r="U749" s="31" t="b">
        <v>0</v>
      </c>
      <c r="V749" s="32" t="b">
        <v>0</v>
      </c>
      <c r="W749" s="33" t="s">
        <v>39</v>
      </c>
      <c r="X749" s="34"/>
      <c r="Y749" s="34"/>
      <c r="Z749" s="34"/>
    </row>
    <row r="750">
      <c r="E750" s="80" t="b">
        <v>0</v>
      </c>
      <c r="F750" s="80" t="b">
        <v>0</v>
      </c>
      <c r="G750" s="80" t="b">
        <v>1</v>
      </c>
      <c r="H750" s="80" t="b">
        <v>0</v>
      </c>
      <c r="I750" s="38">
        <v>44230.0</v>
      </c>
      <c r="J750" s="38" t="s">
        <v>58</v>
      </c>
      <c r="K750" s="28">
        <f>(updateDate!B$1-date(year(I750),month(I750),day(I750)+1))*24</f>
        <v>34224</v>
      </c>
      <c r="L750" s="39" t="s">
        <v>688</v>
      </c>
      <c r="M750" s="40" t="s">
        <v>38</v>
      </c>
      <c r="N750" s="31" t="b">
        <v>1</v>
      </c>
      <c r="O750" s="31" t="b">
        <v>1</v>
      </c>
      <c r="P750" s="31" t="b">
        <v>0</v>
      </c>
      <c r="Q750" s="31" t="b">
        <v>0</v>
      </c>
      <c r="R750" s="31" t="b">
        <v>1</v>
      </c>
      <c r="S750" s="31" t="b">
        <v>0</v>
      </c>
      <c r="T750" s="31" t="b">
        <v>1</v>
      </c>
      <c r="U750" s="31" t="b">
        <v>0</v>
      </c>
      <c r="V750" s="32" t="b">
        <v>0</v>
      </c>
      <c r="W750" s="33" t="s">
        <v>93</v>
      </c>
      <c r="X750" s="33" t="s">
        <v>39</v>
      </c>
      <c r="Y750" s="34"/>
      <c r="Z750" s="34"/>
    </row>
    <row r="751">
      <c r="E751" s="80" t="b">
        <v>0</v>
      </c>
      <c r="F751" s="80" t="b">
        <v>0</v>
      </c>
      <c r="G751" s="80" t="b">
        <v>1</v>
      </c>
      <c r="H751" s="80" t="b">
        <v>0</v>
      </c>
      <c r="I751" s="38">
        <v>44228.0</v>
      </c>
      <c r="J751" s="38">
        <v>44313.0</v>
      </c>
      <c r="K751" s="28">
        <v>767.0</v>
      </c>
      <c r="L751" s="39" t="s">
        <v>689</v>
      </c>
      <c r="M751" s="40" t="s">
        <v>38</v>
      </c>
      <c r="N751" s="31" t="b">
        <v>0</v>
      </c>
      <c r="O751" s="31" t="b">
        <v>0</v>
      </c>
      <c r="P751" s="31" t="b">
        <v>0</v>
      </c>
      <c r="Q751" s="31" t="b">
        <v>0</v>
      </c>
      <c r="R751" s="31" t="b">
        <v>0</v>
      </c>
      <c r="S751" s="31" t="b">
        <v>0</v>
      </c>
      <c r="T751" s="31" t="b">
        <v>0</v>
      </c>
      <c r="U751" s="31" t="b">
        <v>0</v>
      </c>
      <c r="V751" s="32" t="b">
        <v>0</v>
      </c>
      <c r="W751" s="33" t="s">
        <v>125</v>
      </c>
      <c r="X751" s="33" t="s">
        <v>39</v>
      </c>
      <c r="Y751" s="34"/>
      <c r="Z751" s="34"/>
    </row>
    <row r="752">
      <c r="E752" s="80" t="b">
        <v>0</v>
      </c>
      <c r="F752" s="80" t="b">
        <v>0</v>
      </c>
      <c r="G752" s="80" t="b">
        <v>1</v>
      </c>
      <c r="H752" s="80" t="b">
        <v>0</v>
      </c>
      <c r="I752" s="38">
        <v>44003.0</v>
      </c>
      <c r="J752" s="38">
        <v>44228.0</v>
      </c>
      <c r="K752" s="28">
        <v>13920.0</v>
      </c>
      <c r="L752" s="39" t="s">
        <v>690</v>
      </c>
      <c r="M752" s="40" t="s">
        <v>691</v>
      </c>
      <c r="N752" s="31" t="b">
        <v>0</v>
      </c>
      <c r="O752" s="31" t="b">
        <v>0</v>
      </c>
      <c r="P752" s="31" t="b">
        <v>0</v>
      </c>
      <c r="Q752" s="31" t="b">
        <v>0</v>
      </c>
      <c r="R752" s="31" t="b">
        <v>0</v>
      </c>
      <c r="S752" s="31" t="b">
        <v>0</v>
      </c>
      <c r="T752" s="31" t="b">
        <v>0</v>
      </c>
      <c r="U752" s="31" t="b">
        <v>0</v>
      </c>
      <c r="V752" s="32" t="b">
        <v>0</v>
      </c>
      <c r="W752" s="33" t="s">
        <v>692</v>
      </c>
      <c r="X752" s="33" t="s">
        <v>72</v>
      </c>
      <c r="Y752" s="33" t="s">
        <v>693</v>
      </c>
      <c r="Z752" s="33"/>
    </row>
    <row r="753">
      <c r="A753" s="41">
        <v>30.0</v>
      </c>
      <c r="B753" s="22" t="s">
        <v>694</v>
      </c>
      <c r="C753" s="23" t="s">
        <v>695</v>
      </c>
      <c r="D753" s="15" t="s">
        <v>29</v>
      </c>
      <c r="E753" s="80" t="b">
        <v>0</v>
      </c>
      <c r="F753" s="80" t="b">
        <v>0</v>
      </c>
      <c r="G753" s="80" t="b">
        <v>0</v>
      </c>
      <c r="H753" s="80" t="b">
        <v>0</v>
      </c>
      <c r="I753" s="38" t="s">
        <v>47</v>
      </c>
      <c r="J753" s="38" t="s">
        <v>47</v>
      </c>
      <c r="K753" s="28" t="s">
        <v>47</v>
      </c>
      <c r="L753" s="193" t="s">
        <v>47</v>
      </c>
      <c r="M753" s="38" t="s">
        <v>47</v>
      </c>
      <c r="N753" s="31" t="b">
        <v>0</v>
      </c>
      <c r="O753" s="31" t="b">
        <v>0</v>
      </c>
      <c r="P753" s="31" t="b">
        <v>0</v>
      </c>
      <c r="Q753" s="31" t="b">
        <v>0</v>
      </c>
      <c r="R753" s="31" t="b">
        <v>0</v>
      </c>
      <c r="S753" s="31" t="b">
        <v>0</v>
      </c>
      <c r="T753" s="31" t="b">
        <v>0</v>
      </c>
      <c r="U753" s="31" t="b">
        <v>0</v>
      </c>
      <c r="V753" s="32" t="b">
        <v>0</v>
      </c>
      <c r="W753" s="34"/>
      <c r="X753" s="34"/>
      <c r="Y753" s="34"/>
      <c r="Z753" s="34"/>
    </row>
    <row r="754">
      <c r="A754" s="41">
        <v>31.0</v>
      </c>
      <c r="B754" s="22" t="s">
        <v>696</v>
      </c>
      <c r="C754" s="23" t="s">
        <v>697</v>
      </c>
      <c r="D754" s="17" t="s">
        <v>31</v>
      </c>
      <c r="E754" s="80" t="b">
        <v>0</v>
      </c>
      <c r="F754" s="80" t="b">
        <v>0</v>
      </c>
      <c r="G754" s="80" t="b">
        <v>0</v>
      </c>
      <c r="H754" s="80" t="b">
        <v>1</v>
      </c>
      <c r="I754" s="38">
        <v>44269.0</v>
      </c>
      <c r="J754" s="38" t="s">
        <v>58</v>
      </c>
      <c r="K754" s="28">
        <f>(updateDate!B$1-date(year(I754),month(I754),day(I754)+1))*24</f>
        <v>33288</v>
      </c>
      <c r="L754" s="204" t="s">
        <v>698</v>
      </c>
      <c r="M754" s="205" t="s">
        <v>38</v>
      </c>
      <c r="N754" s="31" t="b">
        <v>1</v>
      </c>
      <c r="O754" s="31" t="b">
        <v>0</v>
      </c>
      <c r="P754" s="31" t="b">
        <v>0</v>
      </c>
      <c r="Q754" s="31" t="b">
        <v>0</v>
      </c>
      <c r="R754" s="31" t="b">
        <v>0</v>
      </c>
      <c r="S754" s="31" t="b">
        <v>0</v>
      </c>
      <c r="T754" s="31" t="b">
        <v>0</v>
      </c>
      <c r="U754" s="31" t="b">
        <v>0</v>
      </c>
      <c r="V754" s="32" t="b">
        <v>1</v>
      </c>
      <c r="W754" s="33" t="s">
        <v>93</v>
      </c>
      <c r="X754" s="33" t="s">
        <v>98</v>
      </c>
      <c r="Y754" s="34"/>
      <c r="Z754" s="34"/>
    </row>
    <row r="755">
      <c r="E755" s="80" t="b">
        <v>0</v>
      </c>
      <c r="F755" s="80" t="b">
        <v>0</v>
      </c>
      <c r="G755" s="80" t="b">
        <v>0</v>
      </c>
      <c r="H755" s="80" t="b">
        <v>1</v>
      </c>
      <c r="I755" s="38">
        <v>41500.0</v>
      </c>
      <c r="J755" s="38" t="s">
        <v>58</v>
      </c>
      <c r="K755" s="28">
        <f>(updateDate!B$1-date(year(I755),month(I755),day(I755)+1))*24</f>
        <v>99744</v>
      </c>
      <c r="L755" s="204" t="s">
        <v>699</v>
      </c>
      <c r="M755" s="205" t="s">
        <v>38</v>
      </c>
      <c r="N755" s="31" t="b">
        <v>1</v>
      </c>
      <c r="O755" s="31" t="b">
        <v>0</v>
      </c>
      <c r="P755" s="31" t="b">
        <v>0</v>
      </c>
      <c r="Q755" s="31" t="b">
        <v>0</v>
      </c>
      <c r="R755" s="31" t="b">
        <v>0</v>
      </c>
      <c r="S755" s="31" t="b">
        <v>1</v>
      </c>
      <c r="T755" s="31" t="b">
        <v>0</v>
      </c>
      <c r="U755" s="31" t="b">
        <v>0</v>
      </c>
      <c r="V755" s="32" t="b">
        <v>0</v>
      </c>
      <c r="W755" s="33" t="s">
        <v>700</v>
      </c>
      <c r="X755" s="33" t="s">
        <v>23</v>
      </c>
      <c r="Y755" s="33" t="s">
        <v>93</v>
      </c>
      <c r="Z755" s="33"/>
    </row>
    <row r="756" ht="75.0" customHeight="1">
      <c r="E756" s="80" t="b">
        <v>0</v>
      </c>
      <c r="F756" s="80" t="b">
        <v>0</v>
      </c>
      <c r="G756" s="80" t="b">
        <v>0</v>
      </c>
      <c r="H756" s="80" t="b">
        <v>1</v>
      </c>
      <c r="I756" s="38">
        <v>39868.0</v>
      </c>
      <c r="J756" s="38" t="s">
        <v>58</v>
      </c>
      <c r="K756" s="28">
        <f>(updateDate!B$1-date(year(I756),month(I756),day(I756)+1))*24</f>
        <v>138912</v>
      </c>
      <c r="L756" s="204" t="s">
        <v>701</v>
      </c>
      <c r="M756" s="205" t="s">
        <v>38</v>
      </c>
      <c r="N756" s="31" t="b">
        <v>1</v>
      </c>
      <c r="O756" s="31" t="b">
        <v>0</v>
      </c>
      <c r="P756" s="31" t="b">
        <v>0</v>
      </c>
      <c r="Q756" s="31" t="b">
        <v>0</v>
      </c>
      <c r="R756" s="31" t="b">
        <v>0</v>
      </c>
      <c r="S756" s="31" t="b">
        <v>0</v>
      </c>
      <c r="T756" s="31" t="b">
        <v>1</v>
      </c>
      <c r="U756" s="31" t="b">
        <v>0</v>
      </c>
      <c r="V756" s="32" t="b">
        <v>0</v>
      </c>
      <c r="W756" s="33" t="s">
        <v>700</v>
      </c>
      <c r="X756" s="33" t="s">
        <v>702</v>
      </c>
      <c r="Y756" s="33" t="s">
        <v>93</v>
      </c>
      <c r="Z756" s="33"/>
    </row>
    <row r="757">
      <c r="A757" s="41">
        <v>32.0</v>
      </c>
      <c r="B757" s="22" t="s">
        <v>703</v>
      </c>
      <c r="C757" s="23" t="s">
        <v>704</v>
      </c>
      <c r="D757" s="16" t="s">
        <v>30</v>
      </c>
      <c r="E757" s="102" t="b">
        <v>0</v>
      </c>
      <c r="F757" s="102" t="b">
        <v>0</v>
      </c>
      <c r="G757" s="102" t="b">
        <v>0</v>
      </c>
      <c r="H757" s="42" t="b">
        <v>1</v>
      </c>
      <c r="I757" s="140">
        <v>45616.0</v>
      </c>
      <c r="J757" s="206" t="s">
        <v>58</v>
      </c>
      <c r="K757" s="28">
        <f>(updateDate!B$1-date(year(I757),month(I757),day(I757)+1))*24</f>
        <v>960</v>
      </c>
      <c r="L757" s="207" t="s">
        <v>705</v>
      </c>
      <c r="M757" s="208" t="s">
        <v>38</v>
      </c>
      <c r="N757" s="137" t="b">
        <v>1</v>
      </c>
      <c r="O757" s="102" t="b">
        <v>0</v>
      </c>
      <c r="P757" s="102" t="b">
        <v>0</v>
      </c>
      <c r="Q757" s="42" t="b">
        <v>0</v>
      </c>
      <c r="R757" s="42" t="b">
        <v>0</v>
      </c>
      <c r="S757" s="42" t="b">
        <v>0</v>
      </c>
      <c r="T757" s="42" t="b">
        <v>0</v>
      </c>
      <c r="U757" s="42" t="b">
        <v>1</v>
      </c>
      <c r="V757" s="42" t="b">
        <v>0</v>
      </c>
      <c r="W757" s="177" t="s">
        <v>41</v>
      </c>
      <c r="X757" s="51"/>
      <c r="Y757" s="51"/>
      <c r="Z757" s="51"/>
    </row>
    <row r="758">
      <c r="E758" s="102" t="b">
        <v>1</v>
      </c>
      <c r="F758" s="102" t="b">
        <v>0</v>
      </c>
      <c r="G758" s="102" t="b">
        <v>0</v>
      </c>
      <c r="H758" s="42" t="b">
        <v>0</v>
      </c>
      <c r="I758" s="93">
        <v>45571.0</v>
      </c>
      <c r="J758" s="93">
        <v>45571.0</v>
      </c>
      <c r="K758" s="94">
        <v>24.0</v>
      </c>
      <c r="L758" s="207" t="s">
        <v>706</v>
      </c>
      <c r="M758" s="208" t="s">
        <v>707</v>
      </c>
      <c r="N758" s="137" t="b">
        <v>0</v>
      </c>
      <c r="O758" s="102" t="b">
        <v>0</v>
      </c>
      <c r="P758" s="102" t="b">
        <v>0</v>
      </c>
      <c r="Q758" s="42" t="b">
        <v>0</v>
      </c>
      <c r="R758" s="42" t="b">
        <v>0</v>
      </c>
      <c r="S758" s="42" t="b">
        <v>0</v>
      </c>
      <c r="T758" s="42" t="b">
        <v>0</v>
      </c>
      <c r="U758" s="42" t="b">
        <v>0</v>
      </c>
      <c r="V758" s="42" t="b">
        <v>0</v>
      </c>
      <c r="W758" s="104" t="s">
        <v>39</v>
      </c>
      <c r="X758" s="51"/>
      <c r="Y758" s="51"/>
      <c r="Z758" s="51"/>
    </row>
    <row r="759">
      <c r="E759" s="102" t="b">
        <v>0</v>
      </c>
      <c r="F759" s="102" t="b">
        <v>0</v>
      </c>
      <c r="G759" s="43" t="b">
        <v>1</v>
      </c>
      <c r="H759" s="42" t="b">
        <v>0</v>
      </c>
      <c r="I759" s="44">
        <v>45490.0</v>
      </c>
      <c r="J759" s="38" t="s">
        <v>58</v>
      </c>
      <c r="K759" s="28">
        <f>(updateDate!B$1-date(year(I759),month(I759),day(I759)+1))*24</f>
        <v>3984</v>
      </c>
      <c r="L759" s="209" t="s">
        <v>708</v>
      </c>
      <c r="M759" s="210" t="s">
        <v>38</v>
      </c>
      <c r="N759" s="43" t="b">
        <v>1</v>
      </c>
      <c r="O759" s="43" t="b">
        <v>1</v>
      </c>
      <c r="P759" s="102" t="b">
        <v>0</v>
      </c>
      <c r="Q759" s="42" t="b">
        <v>0</v>
      </c>
      <c r="R759" s="42" t="b">
        <v>0</v>
      </c>
      <c r="S759" s="42" t="b">
        <v>0</v>
      </c>
      <c r="T759" s="42" t="b">
        <v>0</v>
      </c>
      <c r="U759" s="42" t="b">
        <v>0</v>
      </c>
      <c r="V759" s="42" t="b">
        <v>0</v>
      </c>
      <c r="W759" s="211" t="s">
        <v>39</v>
      </c>
      <c r="X759" s="197"/>
      <c r="Y759" s="51"/>
      <c r="Z759" s="51"/>
    </row>
    <row r="760">
      <c r="E760" s="102" t="b">
        <v>0</v>
      </c>
      <c r="F760" s="102" t="b">
        <v>1</v>
      </c>
      <c r="G760" s="102" t="b">
        <v>0</v>
      </c>
      <c r="H760" s="42" t="b">
        <v>0</v>
      </c>
      <c r="I760" s="44">
        <v>45339.0</v>
      </c>
      <c r="J760" s="38" t="s">
        <v>58</v>
      </c>
      <c r="K760" s="28">
        <f>(updateDate!B$1-date(year(I760),month(I760),day(I760)+1))*24</f>
        <v>7608</v>
      </c>
      <c r="L760" s="212" t="s">
        <v>709</v>
      </c>
      <c r="M760" s="210" t="s">
        <v>38</v>
      </c>
      <c r="N760" s="102" t="b">
        <v>1</v>
      </c>
      <c r="O760" s="42" t="b">
        <v>0</v>
      </c>
      <c r="P760" s="102" t="b">
        <v>1</v>
      </c>
      <c r="Q760" s="42" t="b">
        <v>0</v>
      </c>
      <c r="R760" s="42" t="b">
        <v>0</v>
      </c>
      <c r="S760" s="42" t="b">
        <v>0</v>
      </c>
      <c r="T760" s="42" t="b">
        <v>0</v>
      </c>
      <c r="U760" s="42" t="b">
        <v>0</v>
      </c>
      <c r="V760" s="42" t="b">
        <v>0</v>
      </c>
      <c r="W760" s="211" t="s">
        <v>39</v>
      </c>
      <c r="X760" s="197" t="s">
        <v>710</v>
      </c>
      <c r="Y760" s="51"/>
      <c r="Z760" s="51"/>
    </row>
    <row r="761">
      <c r="E761" s="102" t="b">
        <v>0</v>
      </c>
      <c r="F761" s="102" t="b">
        <v>1</v>
      </c>
      <c r="G761" s="102" t="b">
        <v>0</v>
      </c>
      <c r="H761" s="42" t="b">
        <v>0</v>
      </c>
      <c r="I761" s="44">
        <v>45332.0</v>
      </c>
      <c r="J761" s="44">
        <v>45333.0</v>
      </c>
      <c r="K761" s="45">
        <v>24.0</v>
      </c>
      <c r="L761" s="115" t="s">
        <v>711</v>
      </c>
      <c r="M761" s="196" t="s">
        <v>38</v>
      </c>
      <c r="N761" s="102" t="b">
        <v>1</v>
      </c>
      <c r="O761" s="42" t="b">
        <v>0</v>
      </c>
      <c r="P761" s="102" t="b">
        <v>1</v>
      </c>
      <c r="Q761" s="42" t="b">
        <v>0</v>
      </c>
      <c r="R761" s="42" t="b">
        <v>0</v>
      </c>
      <c r="S761" s="42" t="b">
        <v>0</v>
      </c>
      <c r="T761" s="42" t="b">
        <v>0</v>
      </c>
      <c r="U761" s="42" t="b">
        <v>0</v>
      </c>
      <c r="V761" s="42" t="b">
        <v>0</v>
      </c>
      <c r="W761" s="49" t="s">
        <v>39</v>
      </c>
      <c r="X761" s="197"/>
      <c r="Y761" s="51"/>
      <c r="Z761" s="51"/>
    </row>
    <row r="762">
      <c r="E762" s="102" t="b">
        <v>0</v>
      </c>
      <c r="F762" s="102" t="b">
        <v>1</v>
      </c>
      <c r="G762" s="102" t="b">
        <v>0</v>
      </c>
      <c r="H762" s="42" t="b">
        <v>0</v>
      </c>
      <c r="I762" s="44">
        <v>45330.0</v>
      </c>
      <c r="J762" s="44">
        <v>45331.0</v>
      </c>
      <c r="K762" s="45">
        <v>36.0</v>
      </c>
      <c r="L762" s="115" t="s">
        <v>712</v>
      </c>
      <c r="M762" s="196" t="s">
        <v>38</v>
      </c>
      <c r="N762" s="102" t="b">
        <v>0</v>
      </c>
      <c r="O762" s="102" t="b">
        <v>0</v>
      </c>
      <c r="P762" s="102" t="b">
        <v>0</v>
      </c>
      <c r="Q762" s="102" t="b">
        <v>0</v>
      </c>
      <c r="R762" s="102" t="b">
        <v>0</v>
      </c>
      <c r="S762" s="102" t="b">
        <v>0</v>
      </c>
      <c r="T762" s="102" t="b">
        <v>0</v>
      </c>
      <c r="U762" s="102" t="b">
        <v>0</v>
      </c>
      <c r="V762" s="102" t="b">
        <v>0</v>
      </c>
      <c r="W762" s="49" t="s">
        <v>39</v>
      </c>
      <c r="X762" s="197"/>
      <c r="Y762" s="51"/>
      <c r="Z762" s="51"/>
    </row>
    <row r="763">
      <c r="E763" s="102" t="b">
        <v>0</v>
      </c>
      <c r="F763" s="102" t="b">
        <v>0</v>
      </c>
      <c r="G763" s="102" t="b">
        <v>1</v>
      </c>
      <c r="H763" s="42" t="b">
        <v>0</v>
      </c>
      <c r="I763" s="44">
        <v>45311.0</v>
      </c>
      <c r="J763" s="44">
        <v>45312.0</v>
      </c>
      <c r="K763" s="45">
        <v>48.0</v>
      </c>
      <c r="L763" s="213" t="s">
        <v>713</v>
      </c>
      <c r="M763" s="214" t="s">
        <v>38</v>
      </c>
      <c r="N763" s="102" t="b">
        <v>1</v>
      </c>
      <c r="O763" s="42" t="b">
        <v>1</v>
      </c>
      <c r="P763" s="102" t="b">
        <v>1</v>
      </c>
      <c r="Q763" s="42" t="b">
        <v>1</v>
      </c>
      <c r="R763" s="42" t="b">
        <v>1</v>
      </c>
      <c r="S763" s="42" t="b">
        <v>0</v>
      </c>
      <c r="T763" s="42" t="b">
        <v>0</v>
      </c>
      <c r="U763" s="42" t="b">
        <v>0</v>
      </c>
      <c r="V763" s="42" t="b">
        <v>0</v>
      </c>
      <c r="W763" s="49" t="s">
        <v>39</v>
      </c>
      <c r="X763" s="197"/>
      <c r="Y763" s="51"/>
      <c r="Z763" s="51"/>
    </row>
    <row r="764">
      <c r="E764" s="102" t="b">
        <v>0</v>
      </c>
      <c r="F764" s="43" t="b">
        <v>0</v>
      </c>
      <c r="G764" s="43" t="b">
        <v>1</v>
      </c>
      <c r="H764" s="42" t="b">
        <v>0</v>
      </c>
      <c r="I764" s="44">
        <v>45298.0</v>
      </c>
      <c r="J764" s="215">
        <v>45299.0</v>
      </c>
      <c r="K764" s="28">
        <v>12.0</v>
      </c>
      <c r="L764" s="180" t="s">
        <v>714</v>
      </c>
      <c r="M764" s="181" t="s">
        <v>38</v>
      </c>
      <c r="N764" s="132" t="b">
        <v>1</v>
      </c>
      <c r="O764" s="43" t="b">
        <v>1</v>
      </c>
      <c r="P764" s="43" t="b">
        <v>1</v>
      </c>
      <c r="Q764" s="43" t="b">
        <v>1</v>
      </c>
      <c r="R764" s="43" t="b">
        <v>1</v>
      </c>
      <c r="S764" s="42" t="b">
        <v>0</v>
      </c>
      <c r="T764" s="42" t="b">
        <v>0</v>
      </c>
      <c r="U764" s="42" t="b">
        <v>0</v>
      </c>
      <c r="V764" s="42" t="b">
        <v>0</v>
      </c>
      <c r="W764" s="49" t="s">
        <v>39</v>
      </c>
      <c r="X764" s="50"/>
      <c r="Y764" s="51"/>
      <c r="Z764" s="51"/>
    </row>
    <row r="765">
      <c r="E765" s="102" t="b">
        <v>0</v>
      </c>
      <c r="F765" s="42" t="b">
        <v>0</v>
      </c>
      <c r="G765" s="102" t="b">
        <v>1</v>
      </c>
      <c r="H765" s="42" t="b">
        <v>0</v>
      </c>
      <c r="I765" s="52">
        <v>45277.0</v>
      </c>
      <c r="J765" s="52">
        <v>45277.0</v>
      </c>
      <c r="K765" s="28">
        <v>7.0</v>
      </c>
      <c r="L765" s="182" t="s">
        <v>715</v>
      </c>
      <c r="M765" s="47" t="s">
        <v>38</v>
      </c>
      <c r="N765" s="137" t="b">
        <v>1</v>
      </c>
      <c r="O765" s="42" t="b">
        <v>1</v>
      </c>
      <c r="P765" s="42" t="b">
        <v>1</v>
      </c>
      <c r="Q765" s="102" t="b">
        <v>1</v>
      </c>
      <c r="R765" s="42" t="b">
        <v>1</v>
      </c>
      <c r="S765" s="42" t="b">
        <v>0</v>
      </c>
      <c r="T765" s="42" t="b">
        <v>0</v>
      </c>
      <c r="U765" s="42" t="b">
        <v>1</v>
      </c>
      <c r="V765" s="42" t="b">
        <v>0</v>
      </c>
      <c r="W765" s="104" t="s">
        <v>41</v>
      </c>
      <c r="X765" s="50"/>
      <c r="Y765" s="51"/>
      <c r="Z765" s="51"/>
    </row>
    <row r="766">
      <c r="E766" s="131" t="b">
        <v>0</v>
      </c>
      <c r="F766" s="80" t="b">
        <v>0</v>
      </c>
      <c r="G766" s="82" t="b">
        <v>1</v>
      </c>
      <c r="H766" s="80" t="b">
        <v>0</v>
      </c>
      <c r="I766" s="75">
        <v>45056.0</v>
      </c>
      <c r="J766" s="216" t="s">
        <v>58</v>
      </c>
      <c r="K766" s="28">
        <f>(updateDate!B$1-date(year(I766),month(I766),day(I766)+1))*24</f>
        <v>14400</v>
      </c>
      <c r="L766" s="162" t="s">
        <v>716</v>
      </c>
      <c r="M766" s="78" t="s">
        <v>38</v>
      </c>
      <c r="N766" s="111" t="b">
        <v>1</v>
      </c>
      <c r="O766" s="69" t="b">
        <v>0</v>
      </c>
      <c r="P766" s="69" t="b">
        <v>0</v>
      </c>
      <c r="Q766" s="111" t="b">
        <v>0</v>
      </c>
      <c r="R766" s="69" t="b">
        <v>1</v>
      </c>
      <c r="S766" s="69" t="b">
        <v>0</v>
      </c>
      <c r="T766" s="69" t="b">
        <v>0</v>
      </c>
      <c r="U766" s="69" t="b">
        <v>0</v>
      </c>
      <c r="V766" s="66" t="b">
        <v>0</v>
      </c>
      <c r="W766" s="104" t="s">
        <v>39</v>
      </c>
      <c r="X766" s="50"/>
      <c r="Y766" s="34"/>
      <c r="Z766" s="34"/>
    </row>
    <row r="767">
      <c r="E767" s="131" t="b">
        <v>0</v>
      </c>
      <c r="F767" s="80" t="b">
        <v>0</v>
      </c>
      <c r="G767" s="82" t="b">
        <v>1</v>
      </c>
      <c r="H767" s="80" t="b">
        <v>0</v>
      </c>
      <c r="I767" s="75">
        <v>45055.0</v>
      </c>
      <c r="J767" s="75">
        <v>45058.0</v>
      </c>
      <c r="K767" s="28">
        <v>3.0</v>
      </c>
      <c r="L767" s="77" t="s">
        <v>717</v>
      </c>
      <c r="M767" s="78" t="s">
        <v>38</v>
      </c>
      <c r="N767" s="111" t="b">
        <v>0</v>
      </c>
      <c r="O767" s="69" t="b">
        <v>0</v>
      </c>
      <c r="P767" s="69" t="b">
        <v>0</v>
      </c>
      <c r="Q767" s="111" t="b">
        <v>0</v>
      </c>
      <c r="R767" s="69" t="b">
        <v>0</v>
      </c>
      <c r="S767" s="69" t="b">
        <v>0</v>
      </c>
      <c r="T767" s="69" t="b">
        <v>0</v>
      </c>
      <c r="U767" s="69" t="b">
        <v>0</v>
      </c>
      <c r="V767" s="66" t="b">
        <v>0</v>
      </c>
      <c r="W767" s="104" t="s">
        <v>39</v>
      </c>
      <c r="X767" s="54" t="s">
        <v>125</v>
      </c>
      <c r="Y767" s="34"/>
      <c r="Z767" s="34"/>
    </row>
    <row r="768">
      <c r="E768" s="131" t="b">
        <v>0</v>
      </c>
      <c r="F768" s="80" t="b">
        <v>0</v>
      </c>
      <c r="G768" s="82" t="b">
        <v>1</v>
      </c>
      <c r="H768" s="80" t="b">
        <v>0</v>
      </c>
      <c r="I768" s="75">
        <v>45055.0</v>
      </c>
      <c r="J768" s="76">
        <v>45063.0</v>
      </c>
      <c r="K768" s="45">
        <v>192.0</v>
      </c>
      <c r="L768" s="162" t="s">
        <v>718</v>
      </c>
      <c r="M768" s="78" t="s">
        <v>38</v>
      </c>
      <c r="N768" s="111" t="b">
        <v>1</v>
      </c>
      <c r="O768" s="69" t="b">
        <v>1</v>
      </c>
      <c r="P768" s="69" t="b">
        <v>1</v>
      </c>
      <c r="Q768" s="111" t="b">
        <v>1</v>
      </c>
      <c r="R768" s="69" t="b">
        <v>0</v>
      </c>
      <c r="S768" s="69" t="b">
        <v>0</v>
      </c>
      <c r="T768" s="69" t="b">
        <v>0</v>
      </c>
      <c r="U768" s="69" t="b">
        <v>0</v>
      </c>
      <c r="V768" s="66" t="b">
        <v>0</v>
      </c>
      <c r="W768" s="104" t="s">
        <v>39</v>
      </c>
      <c r="X768" s="50"/>
      <c r="Y768" s="34"/>
      <c r="Z768" s="34"/>
    </row>
    <row r="769">
      <c r="E769" s="131" t="b">
        <v>0</v>
      </c>
      <c r="F769" s="80" t="b">
        <v>0</v>
      </c>
      <c r="G769" s="131" t="b">
        <v>1</v>
      </c>
      <c r="H769" s="80" t="b">
        <v>0</v>
      </c>
      <c r="I769" s="38">
        <v>44810.0</v>
      </c>
      <c r="J769" s="38">
        <v>44810.0</v>
      </c>
      <c r="K769" s="28">
        <v>1.0</v>
      </c>
      <c r="L769" s="175" t="s">
        <v>719</v>
      </c>
      <c r="M769" s="40" t="s">
        <v>38</v>
      </c>
      <c r="N769" s="131" t="b">
        <v>1</v>
      </c>
      <c r="O769" s="80" t="b">
        <v>0</v>
      </c>
      <c r="P769" s="80" t="b">
        <v>0</v>
      </c>
      <c r="Q769" s="131" t="b">
        <v>1</v>
      </c>
      <c r="R769" s="80" t="b">
        <v>0</v>
      </c>
      <c r="S769" s="80" t="b">
        <v>0</v>
      </c>
      <c r="T769" s="80" t="b">
        <v>0</v>
      </c>
      <c r="U769" s="80" t="b">
        <v>0</v>
      </c>
      <c r="V769" s="25" t="b">
        <v>0</v>
      </c>
      <c r="W769" s="217" t="s">
        <v>39</v>
      </c>
      <c r="X769" s="34"/>
      <c r="Y769" s="34"/>
      <c r="Z769" s="34"/>
    </row>
    <row r="770">
      <c r="E770" s="80" t="b">
        <v>0</v>
      </c>
      <c r="F770" s="80" t="b">
        <v>0</v>
      </c>
      <c r="G770" s="80" t="b">
        <v>1</v>
      </c>
      <c r="H770" s="80" t="b">
        <v>0</v>
      </c>
      <c r="I770" s="38">
        <v>44794.0</v>
      </c>
      <c r="J770" s="38">
        <v>44794.0</v>
      </c>
      <c r="K770" s="28">
        <v>1.0</v>
      </c>
      <c r="L770" s="39" t="s">
        <v>720</v>
      </c>
      <c r="M770" s="40" t="s">
        <v>38</v>
      </c>
      <c r="N770" s="80" t="b">
        <v>1</v>
      </c>
      <c r="O770" s="80" t="b">
        <v>0</v>
      </c>
      <c r="P770" s="80" t="b">
        <v>0</v>
      </c>
      <c r="Q770" s="80" t="b">
        <v>1</v>
      </c>
      <c r="R770" s="80" t="b">
        <v>0</v>
      </c>
      <c r="S770" s="80" t="b">
        <v>0</v>
      </c>
      <c r="T770" s="80" t="b">
        <v>0</v>
      </c>
      <c r="U770" s="80" t="b">
        <v>0</v>
      </c>
      <c r="V770" s="25" t="b">
        <v>0</v>
      </c>
      <c r="W770" s="218" t="s">
        <v>39</v>
      </c>
      <c r="X770" s="34"/>
      <c r="Y770" s="34"/>
      <c r="Z770" s="34"/>
    </row>
    <row r="771">
      <c r="E771" s="80" t="b">
        <v>1</v>
      </c>
      <c r="F771" s="80" t="b">
        <v>0</v>
      </c>
      <c r="G771" s="80" t="b">
        <v>0</v>
      </c>
      <c r="H771" s="80" t="b">
        <v>0</v>
      </c>
      <c r="I771" s="38">
        <v>44706.0</v>
      </c>
      <c r="J771" s="38">
        <v>44706.0</v>
      </c>
      <c r="K771" s="28">
        <v>2.0</v>
      </c>
      <c r="L771" s="39" t="s">
        <v>721</v>
      </c>
      <c r="M771" s="40" t="s">
        <v>722</v>
      </c>
      <c r="N771" s="80" t="b">
        <v>0</v>
      </c>
      <c r="O771" s="80" t="b">
        <v>0</v>
      </c>
      <c r="P771" s="80" t="b">
        <v>0</v>
      </c>
      <c r="Q771" s="80" t="b">
        <v>0</v>
      </c>
      <c r="R771" s="80" t="b">
        <v>0</v>
      </c>
      <c r="S771" s="80" t="b">
        <v>0</v>
      </c>
      <c r="T771" s="80" t="b">
        <v>0</v>
      </c>
      <c r="U771" s="80" t="b">
        <v>0</v>
      </c>
      <c r="V771" s="25" t="b">
        <v>0</v>
      </c>
      <c r="W771" s="33" t="s">
        <v>39</v>
      </c>
      <c r="X771" s="34"/>
      <c r="Y771" s="34"/>
      <c r="Z771" s="34"/>
    </row>
    <row r="772">
      <c r="E772" s="80" t="b">
        <v>1</v>
      </c>
      <c r="F772" s="80" t="b">
        <v>0</v>
      </c>
      <c r="G772" s="80" t="b">
        <v>0</v>
      </c>
      <c r="H772" s="80" t="b">
        <v>0</v>
      </c>
      <c r="I772" s="38">
        <v>44302.0</v>
      </c>
      <c r="J772" s="38">
        <v>44302.0</v>
      </c>
      <c r="K772" s="28">
        <v>4.0</v>
      </c>
      <c r="L772" s="204" t="s">
        <v>723</v>
      </c>
      <c r="M772" s="205" t="s">
        <v>38</v>
      </c>
      <c r="N772" s="31" t="b">
        <v>1</v>
      </c>
      <c r="O772" s="31" t="b">
        <v>1</v>
      </c>
      <c r="P772" s="31" t="b">
        <v>1</v>
      </c>
      <c r="Q772" s="31" t="b">
        <v>1</v>
      </c>
      <c r="R772" s="31" t="b">
        <v>0</v>
      </c>
      <c r="S772" s="31" t="b">
        <v>1</v>
      </c>
      <c r="T772" s="31" t="b">
        <v>1</v>
      </c>
      <c r="U772" s="31" t="b">
        <v>1</v>
      </c>
      <c r="V772" s="32" t="b">
        <v>0</v>
      </c>
      <c r="W772" s="33" t="s">
        <v>93</v>
      </c>
      <c r="X772" s="33" t="s">
        <v>724</v>
      </c>
      <c r="Y772" s="33" t="s">
        <v>316</v>
      </c>
      <c r="Z772" s="33"/>
    </row>
    <row r="773">
      <c r="E773" s="80" t="b">
        <v>1</v>
      </c>
      <c r="F773" s="80" t="b">
        <v>0</v>
      </c>
      <c r="G773" s="80" t="b">
        <v>0</v>
      </c>
      <c r="H773" s="80" t="b">
        <v>0</v>
      </c>
      <c r="I773" s="38">
        <v>43969.0</v>
      </c>
      <c r="J773" s="38">
        <v>43969.0</v>
      </c>
      <c r="K773" s="28">
        <v>1.0</v>
      </c>
      <c r="L773" s="39" t="s">
        <v>725</v>
      </c>
      <c r="M773" s="40" t="s">
        <v>38</v>
      </c>
      <c r="N773" s="80" t="b">
        <v>1</v>
      </c>
      <c r="O773" s="80" t="b">
        <v>0</v>
      </c>
      <c r="P773" s="80" t="b">
        <v>1</v>
      </c>
      <c r="Q773" s="80" t="b">
        <v>0</v>
      </c>
      <c r="R773" s="80" t="b">
        <v>0</v>
      </c>
      <c r="S773" s="80" t="b">
        <v>0</v>
      </c>
      <c r="T773" s="80" t="b">
        <v>0</v>
      </c>
      <c r="U773" s="80" t="b">
        <v>1</v>
      </c>
      <c r="V773" s="25" t="b">
        <v>1</v>
      </c>
      <c r="W773" s="33" t="s">
        <v>39</v>
      </c>
      <c r="X773" s="34"/>
      <c r="Y773" s="34"/>
      <c r="Z773" s="34"/>
    </row>
    <row r="774">
      <c r="E774" s="80" t="b">
        <v>1</v>
      </c>
      <c r="F774" s="80" t="b">
        <v>0</v>
      </c>
      <c r="G774" s="80" t="b">
        <v>0</v>
      </c>
      <c r="H774" s="80" t="b">
        <v>0</v>
      </c>
      <c r="I774" s="38">
        <v>43756.0</v>
      </c>
      <c r="J774" s="38">
        <v>43761.0</v>
      </c>
      <c r="K774" s="28">
        <v>123.0</v>
      </c>
      <c r="L774" s="39" t="s">
        <v>726</v>
      </c>
      <c r="M774" s="40" t="s">
        <v>38</v>
      </c>
      <c r="N774" s="80" t="b">
        <v>0</v>
      </c>
      <c r="O774" s="80" t="b">
        <v>0</v>
      </c>
      <c r="P774" s="80" t="b">
        <v>0</v>
      </c>
      <c r="Q774" s="80" t="b">
        <v>0</v>
      </c>
      <c r="R774" s="80" t="b">
        <v>0</v>
      </c>
      <c r="S774" s="80" t="b">
        <v>0</v>
      </c>
      <c r="T774" s="80" t="b">
        <v>0</v>
      </c>
      <c r="U774" s="80" t="b">
        <v>0</v>
      </c>
      <c r="V774" s="25" t="b">
        <v>0</v>
      </c>
      <c r="W774" s="33" t="s">
        <v>727</v>
      </c>
      <c r="X774" s="33" t="s">
        <v>125</v>
      </c>
      <c r="Y774" s="34"/>
      <c r="Z774" s="34"/>
    </row>
    <row r="775">
      <c r="E775" s="80" t="b">
        <v>0</v>
      </c>
      <c r="F775" s="80" t="b">
        <v>0</v>
      </c>
      <c r="G775" s="80" t="b">
        <v>1</v>
      </c>
      <c r="H775" s="80" t="b">
        <v>0</v>
      </c>
      <c r="I775" s="38">
        <v>43405.0</v>
      </c>
      <c r="J775" s="38">
        <v>43405.0</v>
      </c>
      <c r="K775" s="28">
        <v>11.0</v>
      </c>
      <c r="L775" s="39" t="s">
        <v>728</v>
      </c>
      <c r="M775" s="40" t="s">
        <v>729</v>
      </c>
      <c r="N775" s="80" t="b">
        <v>0</v>
      </c>
      <c r="O775" s="80" t="b">
        <v>0</v>
      </c>
      <c r="P775" s="80" t="b">
        <v>0</v>
      </c>
      <c r="Q775" s="80" t="b">
        <v>0</v>
      </c>
      <c r="R775" s="80" t="b">
        <v>0</v>
      </c>
      <c r="S775" s="80" t="b">
        <v>0</v>
      </c>
      <c r="T775" s="80" t="b">
        <v>0</v>
      </c>
      <c r="U775" s="80" t="b">
        <v>0</v>
      </c>
      <c r="V775" s="25" t="b">
        <v>0</v>
      </c>
      <c r="W775" s="33" t="s">
        <v>52</v>
      </c>
      <c r="X775" s="33" t="s">
        <v>316</v>
      </c>
      <c r="Y775" s="33" t="s">
        <v>730</v>
      </c>
      <c r="Z775" s="33"/>
    </row>
    <row r="776">
      <c r="E776" s="80" t="b">
        <v>0</v>
      </c>
      <c r="F776" s="80" t="b">
        <v>1</v>
      </c>
      <c r="G776" s="80" t="b">
        <v>0</v>
      </c>
      <c r="H776" s="80" t="b">
        <v>0</v>
      </c>
      <c r="I776" s="38">
        <v>43299.0</v>
      </c>
      <c r="J776" s="38">
        <v>43312.0</v>
      </c>
      <c r="K776" s="28">
        <v>264.0</v>
      </c>
      <c r="L776" s="39" t="s">
        <v>731</v>
      </c>
      <c r="M776" s="40" t="s">
        <v>732</v>
      </c>
      <c r="N776" s="80" t="b">
        <v>0</v>
      </c>
      <c r="O776" s="80" t="b">
        <v>0</v>
      </c>
      <c r="P776" s="80" t="b">
        <v>0</v>
      </c>
      <c r="Q776" s="80" t="b">
        <v>0</v>
      </c>
      <c r="R776" s="80" t="b">
        <v>0</v>
      </c>
      <c r="S776" s="80" t="b">
        <v>0</v>
      </c>
      <c r="T776" s="80" t="b">
        <v>0</v>
      </c>
      <c r="U776" s="80" t="b">
        <v>0</v>
      </c>
      <c r="V776" s="25" t="b">
        <v>0</v>
      </c>
      <c r="W776" s="33" t="s">
        <v>52</v>
      </c>
      <c r="X776" s="33" t="s">
        <v>733</v>
      </c>
      <c r="Y776" s="34"/>
      <c r="Z776" s="34"/>
    </row>
    <row r="777">
      <c r="E777" s="80" t="b">
        <v>0</v>
      </c>
      <c r="F777" s="80" t="b">
        <v>0</v>
      </c>
      <c r="G777" s="80" t="b">
        <v>1</v>
      </c>
      <c r="H777" s="80" t="b">
        <v>0</v>
      </c>
      <c r="I777" s="38">
        <v>43294.0</v>
      </c>
      <c r="J777" s="38">
        <v>43294.0</v>
      </c>
      <c r="K777" s="28">
        <v>4.0</v>
      </c>
      <c r="L777" s="39" t="s">
        <v>734</v>
      </c>
      <c r="M777" s="40" t="s">
        <v>735</v>
      </c>
      <c r="N777" s="80" t="b">
        <v>0</v>
      </c>
      <c r="O777" s="80" t="b">
        <v>0</v>
      </c>
      <c r="P777" s="80" t="b">
        <v>0</v>
      </c>
      <c r="Q777" s="80" t="b">
        <v>0</v>
      </c>
      <c r="R777" s="80" t="b">
        <v>0</v>
      </c>
      <c r="S777" s="80" t="b">
        <v>0</v>
      </c>
      <c r="T777" s="80" t="b">
        <v>0</v>
      </c>
      <c r="U777" s="80" t="b">
        <v>0</v>
      </c>
      <c r="V777" s="25" t="b">
        <v>0</v>
      </c>
      <c r="W777" s="33" t="s">
        <v>52</v>
      </c>
      <c r="X777" s="33" t="s">
        <v>736</v>
      </c>
      <c r="Y777" s="34"/>
      <c r="Z777" s="34"/>
    </row>
    <row r="778">
      <c r="E778" s="80" t="b">
        <v>1</v>
      </c>
      <c r="F778" s="80" t="b">
        <v>0</v>
      </c>
      <c r="G778" s="80" t="b">
        <v>0</v>
      </c>
      <c r="H778" s="80" t="b">
        <v>0</v>
      </c>
      <c r="I778" s="38">
        <v>43064.0</v>
      </c>
      <c r="J778" s="38">
        <v>43064.0</v>
      </c>
      <c r="K778" s="28">
        <v>7.0</v>
      </c>
      <c r="L778" s="175" t="s">
        <v>737</v>
      </c>
      <c r="M778" s="169" t="s">
        <v>38</v>
      </c>
      <c r="N778" s="80" t="b">
        <v>1</v>
      </c>
      <c r="O778" s="80" t="b">
        <v>1</v>
      </c>
      <c r="P778" s="80" t="b">
        <v>1</v>
      </c>
      <c r="Q778" s="80" t="b">
        <v>1</v>
      </c>
      <c r="R778" s="80" t="b">
        <v>0</v>
      </c>
      <c r="S778" s="80" t="b">
        <v>0</v>
      </c>
      <c r="T778" s="80" t="b">
        <v>0</v>
      </c>
      <c r="U778" s="80" t="b">
        <v>0</v>
      </c>
      <c r="V778" s="25" t="b">
        <v>0</v>
      </c>
      <c r="W778" s="33" t="s">
        <v>41</v>
      </c>
      <c r="X778" s="119"/>
      <c r="Y778" s="34"/>
      <c r="Z778" s="34"/>
    </row>
    <row r="779">
      <c r="E779" s="80" t="b">
        <v>0</v>
      </c>
      <c r="F779" s="80" t="b">
        <v>0</v>
      </c>
      <c r="G779" s="80" t="b">
        <v>1</v>
      </c>
      <c r="H779" s="80" t="b">
        <v>0</v>
      </c>
      <c r="I779" s="38">
        <v>42533.0</v>
      </c>
      <c r="J779" s="38">
        <v>44558.0</v>
      </c>
      <c r="K779" s="28">
        <v>48600.0</v>
      </c>
      <c r="L779" s="39" t="s">
        <v>738</v>
      </c>
      <c r="M779" s="40" t="s">
        <v>739</v>
      </c>
      <c r="N779" s="80" t="b">
        <v>0</v>
      </c>
      <c r="O779" s="80" t="b">
        <v>0</v>
      </c>
      <c r="P779" s="80" t="b">
        <v>0</v>
      </c>
      <c r="Q779" s="80" t="b">
        <v>0</v>
      </c>
      <c r="R779" s="80" t="b">
        <v>0</v>
      </c>
      <c r="S779" s="80" t="b">
        <v>0</v>
      </c>
      <c r="T779" s="80" t="b">
        <v>0</v>
      </c>
      <c r="U779" s="80" t="b">
        <v>0</v>
      </c>
      <c r="V779" s="25" t="b">
        <v>0</v>
      </c>
      <c r="W779" s="33" t="s">
        <v>740</v>
      </c>
      <c r="X779" s="33" t="s">
        <v>741</v>
      </c>
      <c r="Y779" s="34"/>
      <c r="Z779" s="34"/>
    </row>
    <row r="780">
      <c r="E780" s="80" t="b">
        <v>0</v>
      </c>
      <c r="F780" s="80" t="b">
        <v>0</v>
      </c>
      <c r="G780" s="80" t="b">
        <v>1</v>
      </c>
      <c r="H780" s="80" t="b">
        <v>0</v>
      </c>
      <c r="I780" s="38">
        <v>42457.0</v>
      </c>
      <c r="J780" s="38">
        <v>42460.0</v>
      </c>
      <c r="K780" s="28">
        <v>72.0</v>
      </c>
      <c r="L780" s="39" t="s">
        <v>742</v>
      </c>
      <c r="M780" s="40" t="s">
        <v>38</v>
      </c>
      <c r="N780" s="80" t="b">
        <v>0</v>
      </c>
      <c r="O780" s="80" t="b">
        <v>0</v>
      </c>
      <c r="P780" s="80" t="b">
        <v>0</v>
      </c>
      <c r="Q780" s="80" t="b">
        <v>0</v>
      </c>
      <c r="R780" s="80" t="b">
        <v>0</v>
      </c>
      <c r="S780" s="80" t="b">
        <v>0</v>
      </c>
      <c r="T780" s="80" t="b">
        <v>0</v>
      </c>
      <c r="U780" s="80" t="b">
        <v>0</v>
      </c>
      <c r="V780" s="25" t="b">
        <v>0</v>
      </c>
      <c r="W780" s="33" t="s">
        <v>101</v>
      </c>
      <c r="X780" s="33" t="s">
        <v>743</v>
      </c>
      <c r="Y780" s="34"/>
      <c r="Z780" s="34"/>
    </row>
    <row r="781">
      <c r="A781" s="41">
        <v>33.0</v>
      </c>
      <c r="B781" s="22" t="s">
        <v>744</v>
      </c>
      <c r="C781" s="23" t="s">
        <v>745</v>
      </c>
      <c r="D781" s="24" t="s">
        <v>36</v>
      </c>
      <c r="E781" s="80" t="b">
        <v>0</v>
      </c>
      <c r="F781" s="80" t="b">
        <v>0</v>
      </c>
      <c r="G781" s="80" t="b">
        <v>1</v>
      </c>
      <c r="H781" s="80" t="b">
        <v>0</v>
      </c>
      <c r="I781" s="38">
        <v>43304.0</v>
      </c>
      <c r="J781" s="38">
        <v>43304.0</v>
      </c>
      <c r="K781" s="28">
        <v>3.0</v>
      </c>
      <c r="L781" s="204" t="s">
        <v>746</v>
      </c>
      <c r="M781" s="205" t="s">
        <v>747</v>
      </c>
      <c r="N781" s="31" t="b">
        <v>0</v>
      </c>
      <c r="O781" s="31" t="b">
        <v>0</v>
      </c>
      <c r="P781" s="31" t="b">
        <v>0</v>
      </c>
      <c r="Q781" s="31" t="b">
        <v>0</v>
      </c>
      <c r="R781" s="31" t="b">
        <v>0</v>
      </c>
      <c r="S781" s="31" t="b">
        <v>0</v>
      </c>
      <c r="T781" s="31" t="b">
        <v>0</v>
      </c>
      <c r="U781" s="31" t="b">
        <v>0</v>
      </c>
      <c r="V781" s="32" t="b">
        <v>0</v>
      </c>
      <c r="W781" s="33" t="s">
        <v>316</v>
      </c>
      <c r="X781" s="33" t="s">
        <v>93</v>
      </c>
      <c r="Y781" s="34"/>
      <c r="Z781" s="34"/>
    </row>
    <row r="782">
      <c r="E782" s="80" t="b">
        <v>0</v>
      </c>
      <c r="F782" s="80" t="b">
        <v>0</v>
      </c>
      <c r="G782" s="80" t="b">
        <v>1</v>
      </c>
      <c r="H782" s="80" t="b">
        <v>0</v>
      </c>
      <c r="I782" s="38">
        <v>43109.0</v>
      </c>
      <c r="J782" s="38">
        <v>43109.0</v>
      </c>
      <c r="K782" s="28">
        <v>19.0</v>
      </c>
      <c r="L782" s="204" t="s">
        <v>748</v>
      </c>
      <c r="M782" s="205" t="s">
        <v>749</v>
      </c>
      <c r="N782" s="31" t="b">
        <v>0</v>
      </c>
      <c r="O782" s="31" t="b">
        <v>0</v>
      </c>
      <c r="P782" s="31" t="b">
        <v>0</v>
      </c>
      <c r="Q782" s="31" t="b">
        <v>0</v>
      </c>
      <c r="R782" s="31" t="b">
        <v>0</v>
      </c>
      <c r="S782" s="31" t="b">
        <v>0</v>
      </c>
      <c r="T782" s="31" t="b">
        <v>0</v>
      </c>
      <c r="U782" s="31" t="b">
        <v>0</v>
      </c>
      <c r="V782" s="32" t="b">
        <v>0</v>
      </c>
      <c r="W782" s="33" t="s">
        <v>750</v>
      </c>
      <c r="X782" s="33" t="s">
        <v>93</v>
      </c>
      <c r="Y782" s="34"/>
      <c r="Z782" s="34"/>
    </row>
    <row r="783">
      <c r="E783" s="80" t="b">
        <v>0</v>
      </c>
      <c r="F783" s="80" t="b">
        <v>0</v>
      </c>
      <c r="G783" s="80" t="b">
        <v>1</v>
      </c>
      <c r="H783" s="80" t="b">
        <v>0</v>
      </c>
      <c r="I783" s="38">
        <v>42749.0</v>
      </c>
      <c r="J783" s="38">
        <v>42750.0</v>
      </c>
      <c r="K783" s="28">
        <v>48.0</v>
      </c>
      <c r="L783" s="204" t="s">
        <v>751</v>
      </c>
      <c r="M783" s="205" t="s">
        <v>752</v>
      </c>
      <c r="N783" s="31" t="b">
        <v>0</v>
      </c>
      <c r="O783" s="31" t="b">
        <v>0</v>
      </c>
      <c r="P783" s="31" t="b">
        <v>0</v>
      </c>
      <c r="Q783" s="31" t="b">
        <v>0</v>
      </c>
      <c r="R783" s="31" t="b">
        <v>0</v>
      </c>
      <c r="S783" s="31" t="b">
        <v>0</v>
      </c>
      <c r="T783" s="31" t="b">
        <v>0</v>
      </c>
      <c r="U783" s="31" t="b">
        <v>0</v>
      </c>
      <c r="V783" s="32" t="b">
        <v>0</v>
      </c>
      <c r="W783" s="33" t="s">
        <v>753</v>
      </c>
      <c r="X783" s="33" t="s">
        <v>93</v>
      </c>
      <c r="Y783" s="34"/>
      <c r="Z783" s="34"/>
    </row>
    <row r="784">
      <c r="A784" s="41">
        <v>34.0</v>
      </c>
      <c r="B784" s="22" t="s">
        <v>754</v>
      </c>
      <c r="C784" s="23" t="s">
        <v>755</v>
      </c>
      <c r="D784" s="17" t="s">
        <v>31</v>
      </c>
      <c r="E784" s="80" t="b">
        <v>0</v>
      </c>
      <c r="F784" s="80" t="b">
        <v>0</v>
      </c>
      <c r="G784" s="80" t="b">
        <v>0</v>
      </c>
      <c r="H784" s="80" t="b">
        <v>1</v>
      </c>
      <c r="I784" s="38">
        <v>43018.0</v>
      </c>
      <c r="J784" s="38" t="s">
        <v>58</v>
      </c>
      <c r="K784" s="28">
        <f>(updateDate!B$1-date(year(I784),month(I784),day(I784)+1))*24</f>
        <v>63312</v>
      </c>
      <c r="L784" s="81" t="s">
        <v>756</v>
      </c>
      <c r="M784" s="40" t="s">
        <v>38</v>
      </c>
      <c r="N784" s="31" t="b">
        <v>1</v>
      </c>
      <c r="O784" s="31" t="b">
        <v>0</v>
      </c>
      <c r="P784" s="31" t="b">
        <v>0</v>
      </c>
      <c r="Q784" s="31" t="b">
        <v>0</v>
      </c>
      <c r="R784" s="31" t="b">
        <v>0</v>
      </c>
      <c r="S784" s="31" t="b">
        <v>0</v>
      </c>
      <c r="T784" s="31" t="b">
        <v>1</v>
      </c>
      <c r="U784" s="31" t="b">
        <v>0</v>
      </c>
      <c r="V784" s="32" t="b">
        <v>1</v>
      </c>
      <c r="W784" s="33" t="s">
        <v>757</v>
      </c>
      <c r="X784" s="33" t="s">
        <v>758</v>
      </c>
      <c r="Y784" s="33"/>
      <c r="Z784" s="33"/>
    </row>
    <row r="785">
      <c r="A785" s="41">
        <v>35.0</v>
      </c>
      <c r="B785" s="22" t="s">
        <v>759</v>
      </c>
      <c r="C785" s="23" t="s">
        <v>760</v>
      </c>
      <c r="D785" s="15" t="s">
        <v>29</v>
      </c>
      <c r="E785" s="80" t="b">
        <v>0</v>
      </c>
      <c r="F785" s="80" t="b">
        <v>0</v>
      </c>
      <c r="G785" s="80" t="b">
        <v>0</v>
      </c>
      <c r="H785" s="80" t="b">
        <v>0</v>
      </c>
      <c r="I785" s="38" t="s">
        <v>47</v>
      </c>
      <c r="J785" s="38" t="s">
        <v>47</v>
      </c>
      <c r="K785" s="28" t="s">
        <v>47</v>
      </c>
      <c r="L785" s="193" t="s">
        <v>47</v>
      </c>
      <c r="M785" s="38" t="s">
        <v>47</v>
      </c>
      <c r="N785" s="31" t="b">
        <v>0</v>
      </c>
      <c r="O785" s="31" t="b">
        <v>0</v>
      </c>
      <c r="P785" s="31" t="b">
        <v>0</v>
      </c>
      <c r="Q785" s="31" t="b">
        <v>0</v>
      </c>
      <c r="R785" s="31" t="b">
        <v>0</v>
      </c>
      <c r="S785" s="31" t="b">
        <v>0</v>
      </c>
      <c r="T785" s="31" t="b">
        <v>0</v>
      </c>
      <c r="U785" s="31" t="b">
        <v>0</v>
      </c>
      <c r="V785" s="32" t="b">
        <v>0</v>
      </c>
      <c r="W785" s="33"/>
      <c r="X785" s="33"/>
      <c r="Y785" s="33"/>
      <c r="Z785" s="33"/>
    </row>
    <row r="786">
      <c r="A786" s="41">
        <v>36.0</v>
      </c>
      <c r="B786" s="22" t="s">
        <v>761</v>
      </c>
      <c r="C786" s="23" t="s">
        <v>762</v>
      </c>
      <c r="D786" s="24" t="s">
        <v>36</v>
      </c>
      <c r="E786" s="80" t="b">
        <v>0</v>
      </c>
      <c r="F786" s="80" t="b">
        <v>0</v>
      </c>
      <c r="G786" s="80" t="b">
        <v>1</v>
      </c>
      <c r="H786" s="80" t="b">
        <v>0</v>
      </c>
      <c r="I786" s="188">
        <v>42507.0</v>
      </c>
      <c r="J786" s="188">
        <v>42998.0</v>
      </c>
      <c r="K786" s="28">
        <v>11520.0</v>
      </c>
      <c r="L786" s="39" t="s">
        <v>763</v>
      </c>
      <c r="M786" s="40" t="s">
        <v>38</v>
      </c>
      <c r="N786" s="31" t="b">
        <v>1</v>
      </c>
      <c r="O786" s="31" t="b">
        <v>0</v>
      </c>
      <c r="P786" s="31" t="b">
        <v>0</v>
      </c>
      <c r="Q786" s="31" t="b">
        <v>0</v>
      </c>
      <c r="R786" s="31" t="b">
        <v>0</v>
      </c>
      <c r="S786" s="31" t="b">
        <v>0</v>
      </c>
      <c r="T786" s="31" t="b">
        <v>1</v>
      </c>
      <c r="U786" s="31" t="b">
        <v>0</v>
      </c>
      <c r="V786" s="32" t="b">
        <v>1</v>
      </c>
      <c r="W786" s="33" t="s">
        <v>764</v>
      </c>
      <c r="X786" s="33" t="s">
        <v>765</v>
      </c>
      <c r="Y786" s="33" t="s">
        <v>766</v>
      </c>
      <c r="Z786" s="33"/>
    </row>
    <row r="787">
      <c r="E787" s="80" t="b">
        <v>0</v>
      </c>
      <c r="F787" s="80" t="b">
        <v>0</v>
      </c>
      <c r="G787" s="80" t="b">
        <v>1</v>
      </c>
      <c r="H787" s="80" t="b">
        <v>0</v>
      </c>
      <c r="I787" s="188">
        <v>42378.0</v>
      </c>
      <c r="J787" s="188">
        <v>43000.0</v>
      </c>
      <c r="K787" s="28">
        <v>14928.0</v>
      </c>
      <c r="L787" s="39" t="s">
        <v>767</v>
      </c>
      <c r="M787" s="40" t="s">
        <v>38</v>
      </c>
      <c r="N787" s="31" t="b">
        <v>1</v>
      </c>
      <c r="O787" s="31" t="b">
        <v>0</v>
      </c>
      <c r="P787" s="31" t="b">
        <v>0</v>
      </c>
      <c r="Q787" s="31" t="b">
        <v>0</v>
      </c>
      <c r="R787" s="31" t="b">
        <v>0</v>
      </c>
      <c r="S787" s="31" t="b">
        <v>1</v>
      </c>
      <c r="T787" s="31" t="b">
        <v>0</v>
      </c>
      <c r="U787" s="31" t="b">
        <v>0</v>
      </c>
      <c r="V787" s="32" t="b">
        <v>0</v>
      </c>
      <c r="W787" s="33" t="s">
        <v>768</v>
      </c>
      <c r="X787" s="33" t="s">
        <v>321</v>
      </c>
      <c r="Y787" s="33"/>
      <c r="Z787" s="33"/>
    </row>
    <row r="788">
      <c r="A788" s="41">
        <v>37.0</v>
      </c>
      <c r="B788" s="22" t="s">
        <v>769</v>
      </c>
      <c r="C788" s="23" t="s">
        <v>770</v>
      </c>
      <c r="D788" s="24" t="s">
        <v>36</v>
      </c>
      <c r="E788" s="80" t="b">
        <v>1</v>
      </c>
      <c r="F788" s="82" t="b">
        <v>0</v>
      </c>
      <c r="G788" s="80" t="b">
        <v>0</v>
      </c>
      <c r="H788" s="80" t="b">
        <v>0</v>
      </c>
      <c r="I788" s="38">
        <v>44654.0</v>
      </c>
      <c r="J788" s="38">
        <v>44654.0</v>
      </c>
      <c r="K788" s="28">
        <v>16.0</v>
      </c>
      <c r="L788" s="39" t="s">
        <v>771</v>
      </c>
      <c r="M788" s="40" t="s">
        <v>38</v>
      </c>
      <c r="N788" s="80" t="b">
        <v>1</v>
      </c>
      <c r="O788" s="80" t="b">
        <v>1</v>
      </c>
      <c r="P788" s="80" t="b">
        <v>1</v>
      </c>
      <c r="Q788" s="80" t="b">
        <v>1</v>
      </c>
      <c r="R788" s="80" t="b">
        <v>1</v>
      </c>
      <c r="S788" s="80" t="b">
        <v>0</v>
      </c>
      <c r="T788" s="80" t="b">
        <v>1</v>
      </c>
      <c r="U788" s="80" t="b">
        <v>1</v>
      </c>
      <c r="V788" s="25" t="b">
        <v>0</v>
      </c>
      <c r="W788" s="33" t="s">
        <v>41</v>
      </c>
      <c r="X788" s="33" t="s">
        <v>41</v>
      </c>
      <c r="Y788" s="33"/>
      <c r="Z788" s="33"/>
    </row>
    <row r="789">
      <c r="E789" s="80" t="b">
        <v>1</v>
      </c>
      <c r="F789" s="80" t="b">
        <v>0</v>
      </c>
      <c r="G789" s="80" t="b">
        <v>0</v>
      </c>
      <c r="H789" s="80" t="b">
        <v>0</v>
      </c>
      <c r="I789" s="38">
        <v>44649.0</v>
      </c>
      <c r="J789" s="38">
        <v>44653.0</v>
      </c>
      <c r="K789" s="28">
        <v>96.0</v>
      </c>
      <c r="L789" s="39" t="s">
        <v>772</v>
      </c>
      <c r="M789" s="40" t="s">
        <v>38</v>
      </c>
      <c r="N789" s="80" t="b">
        <v>0</v>
      </c>
      <c r="O789" s="80" t="b">
        <v>0</v>
      </c>
      <c r="P789" s="80" t="b">
        <v>0</v>
      </c>
      <c r="Q789" s="80" t="b">
        <v>0</v>
      </c>
      <c r="R789" s="80" t="b">
        <v>0</v>
      </c>
      <c r="S789" s="80" t="b">
        <v>0</v>
      </c>
      <c r="T789" s="80" t="b">
        <v>0</v>
      </c>
      <c r="U789" s="80" t="b">
        <v>0</v>
      </c>
      <c r="V789" s="25" t="b">
        <v>0</v>
      </c>
      <c r="W789" s="33" t="s">
        <v>39</v>
      </c>
      <c r="X789" s="33" t="s">
        <v>125</v>
      </c>
      <c r="Y789" s="33"/>
      <c r="Z789" s="33"/>
    </row>
    <row r="790">
      <c r="E790" s="80" t="b">
        <v>0</v>
      </c>
      <c r="F790" s="80" t="b">
        <v>0</v>
      </c>
      <c r="G790" s="80" t="b">
        <v>1</v>
      </c>
      <c r="H790" s="80" t="b">
        <v>0</v>
      </c>
      <c r="I790" s="38">
        <v>43598.0</v>
      </c>
      <c r="J790" s="38">
        <v>43602.0</v>
      </c>
      <c r="K790" s="28">
        <v>96.0</v>
      </c>
      <c r="L790" s="39" t="s">
        <v>773</v>
      </c>
      <c r="M790" s="40" t="s">
        <v>38</v>
      </c>
      <c r="N790" s="80" t="b">
        <v>1</v>
      </c>
      <c r="O790" s="80" t="b">
        <v>1</v>
      </c>
      <c r="P790" s="80" t="b">
        <v>0</v>
      </c>
      <c r="Q790" s="80" t="b">
        <v>1</v>
      </c>
      <c r="R790" s="80" t="b">
        <v>1</v>
      </c>
      <c r="S790" s="80" t="b">
        <v>0</v>
      </c>
      <c r="T790" s="80" t="b">
        <v>1</v>
      </c>
      <c r="U790" s="80" t="b">
        <v>1</v>
      </c>
      <c r="V790" s="25" t="b">
        <v>1</v>
      </c>
      <c r="W790" s="33" t="s">
        <v>41</v>
      </c>
      <c r="X790" s="33" t="s">
        <v>41</v>
      </c>
      <c r="Y790" s="33"/>
      <c r="Z790" s="33"/>
    </row>
    <row r="791">
      <c r="E791" s="80" t="b">
        <v>0</v>
      </c>
      <c r="F791" s="80" t="b">
        <v>0</v>
      </c>
      <c r="G791" s="80" t="b">
        <v>1</v>
      </c>
      <c r="H791" s="80" t="b">
        <v>0</v>
      </c>
      <c r="I791" s="38">
        <v>43590.0</v>
      </c>
      <c r="J791" s="38">
        <v>43591.0</v>
      </c>
      <c r="K791" s="28">
        <v>10.0</v>
      </c>
      <c r="L791" s="39" t="s">
        <v>774</v>
      </c>
      <c r="M791" s="40" t="s">
        <v>38</v>
      </c>
      <c r="N791" s="80" t="b">
        <v>1</v>
      </c>
      <c r="O791" s="80" t="b">
        <v>1</v>
      </c>
      <c r="P791" s="80" t="b">
        <v>0</v>
      </c>
      <c r="Q791" s="80" t="b">
        <v>1</v>
      </c>
      <c r="R791" s="80" t="b">
        <v>1</v>
      </c>
      <c r="S791" s="80" t="b">
        <v>0</v>
      </c>
      <c r="T791" s="80" t="b">
        <v>1</v>
      </c>
      <c r="U791" s="80" t="b">
        <v>0</v>
      </c>
      <c r="V791" s="25" t="b">
        <v>0</v>
      </c>
      <c r="W791" s="33" t="s">
        <v>41</v>
      </c>
      <c r="X791" s="33"/>
      <c r="Y791" s="33"/>
      <c r="Z791" s="33"/>
    </row>
    <row r="792">
      <c r="E792" s="80" t="b">
        <v>0</v>
      </c>
      <c r="F792" s="80" t="b">
        <v>0</v>
      </c>
      <c r="G792" s="80" t="b">
        <v>1</v>
      </c>
      <c r="H792" s="80" t="b">
        <v>0</v>
      </c>
      <c r="I792" s="38">
        <v>43576.0</v>
      </c>
      <c r="J792" s="38">
        <v>43585.0</v>
      </c>
      <c r="K792" s="28">
        <v>212.0</v>
      </c>
      <c r="L792" s="39" t="s">
        <v>775</v>
      </c>
      <c r="M792" s="40" t="s">
        <v>38</v>
      </c>
      <c r="N792" s="80" t="b">
        <v>1</v>
      </c>
      <c r="O792" s="80" t="b">
        <v>1</v>
      </c>
      <c r="P792" s="80" t="b">
        <v>0</v>
      </c>
      <c r="Q792" s="80" t="b">
        <v>1</v>
      </c>
      <c r="R792" s="80" t="b">
        <v>1</v>
      </c>
      <c r="S792" s="80" t="b">
        <v>0</v>
      </c>
      <c r="T792" s="80" t="b">
        <v>1</v>
      </c>
      <c r="U792" s="80" t="b">
        <v>0</v>
      </c>
      <c r="V792" s="25" t="b">
        <v>0</v>
      </c>
      <c r="W792" s="33" t="s">
        <v>41</v>
      </c>
      <c r="X792" s="33"/>
      <c r="Y792" s="33"/>
      <c r="Z792" s="33"/>
    </row>
    <row r="793">
      <c r="A793" s="41">
        <v>38.0</v>
      </c>
      <c r="B793" s="22" t="s">
        <v>776</v>
      </c>
      <c r="C793" s="23" t="s">
        <v>777</v>
      </c>
      <c r="D793" s="15" t="s">
        <v>29</v>
      </c>
      <c r="E793" s="80" t="b">
        <v>0</v>
      </c>
      <c r="F793" s="80" t="b">
        <v>0</v>
      </c>
      <c r="G793" s="80" t="b">
        <v>0</v>
      </c>
      <c r="H793" s="80" t="b">
        <v>0</v>
      </c>
      <c r="I793" s="38" t="s">
        <v>47</v>
      </c>
      <c r="J793" s="38" t="s">
        <v>47</v>
      </c>
      <c r="K793" s="28" t="s">
        <v>47</v>
      </c>
      <c r="L793" s="193" t="s">
        <v>47</v>
      </c>
      <c r="M793" s="38" t="s">
        <v>47</v>
      </c>
      <c r="N793" s="31" t="b">
        <v>0</v>
      </c>
      <c r="O793" s="31" t="b">
        <v>0</v>
      </c>
      <c r="P793" s="31" t="b">
        <v>0</v>
      </c>
      <c r="Q793" s="31" t="b">
        <v>0</v>
      </c>
      <c r="R793" s="31" t="b">
        <v>0</v>
      </c>
      <c r="S793" s="31" t="b">
        <v>0</v>
      </c>
      <c r="T793" s="31" t="b">
        <v>0</v>
      </c>
      <c r="U793" s="31" t="b">
        <v>0</v>
      </c>
      <c r="V793" s="32" t="b">
        <v>0</v>
      </c>
      <c r="W793" s="33"/>
      <c r="X793" s="33"/>
      <c r="Y793" s="34"/>
      <c r="Z793" s="34"/>
    </row>
    <row r="794">
      <c r="A794" s="41">
        <v>39.0</v>
      </c>
      <c r="B794" s="22" t="s">
        <v>778</v>
      </c>
      <c r="C794" s="23" t="s">
        <v>779</v>
      </c>
      <c r="D794" s="24" t="s">
        <v>36</v>
      </c>
      <c r="E794" s="80" t="b">
        <v>0</v>
      </c>
      <c r="F794" s="80" t="b">
        <v>0</v>
      </c>
      <c r="G794" s="82" t="b">
        <v>1</v>
      </c>
      <c r="H794" s="80" t="b">
        <v>0</v>
      </c>
      <c r="I794" s="83">
        <v>45498.0</v>
      </c>
      <c r="J794" s="83">
        <v>45498.0</v>
      </c>
      <c r="K794" s="45">
        <v>4.0</v>
      </c>
      <c r="L794" s="39" t="s">
        <v>780</v>
      </c>
      <c r="M794" s="40" t="s">
        <v>38</v>
      </c>
      <c r="N794" s="31" t="b">
        <v>0</v>
      </c>
      <c r="O794" s="31" t="b">
        <v>0</v>
      </c>
      <c r="P794" s="31" t="b">
        <v>0</v>
      </c>
      <c r="Q794" s="31" t="b">
        <v>0</v>
      </c>
      <c r="R794" s="31" t="b">
        <v>0</v>
      </c>
      <c r="S794" s="31" t="b">
        <v>0</v>
      </c>
      <c r="T794" s="31" t="b">
        <v>0</v>
      </c>
      <c r="U794" s="31" t="b">
        <v>0</v>
      </c>
      <c r="V794" s="32" t="b">
        <v>0</v>
      </c>
      <c r="W794" s="61" t="s">
        <v>125</v>
      </c>
      <c r="X794" s="34"/>
      <c r="Y794" s="34"/>
      <c r="Z794" s="34"/>
    </row>
    <row r="795">
      <c r="E795" s="80" t="b">
        <v>0</v>
      </c>
      <c r="F795" s="80" t="b">
        <v>0</v>
      </c>
      <c r="G795" s="80" t="b">
        <v>1</v>
      </c>
      <c r="H795" s="80" t="b">
        <v>0</v>
      </c>
      <c r="I795" s="38">
        <v>41571.0</v>
      </c>
      <c r="J795" s="38">
        <v>43032.0</v>
      </c>
      <c r="K795" s="28">
        <v>35040.0</v>
      </c>
      <c r="L795" s="39" t="s">
        <v>781</v>
      </c>
      <c r="M795" s="30" t="s">
        <v>782</v>
      </c>
      <c r="N795" s="31" t="b">
        <v>0</v>
      </c>
      <c r="O795" s="31" t="b">
        <v>0</v>
      </c>
      <c r="P795" s="31" t="b">
        <v>0</v>
      </c>
      <c r="Q795" s="31" t="b">
        <v>0</v>
      </c>
      <c r="R795" s="31" t="b">
        <v>0</v>
      </c>
      <c r="S795" s="31" t="b">
        <v>0</v>
      </c>
      <c r="T795" s="31" t="b">
        <v>0</v>
      </c>
      <c r="U795" s="31" t="b">
        <v>0</v>
      </c>
      <c r="V795" s="32" t="b">
        <v>0</v>
      </c>
      <c r="W795" s="33" t="s">
        <v>783</v>
      </c>
      <c r="X795" s="34"/>
      <c r="Y795" s="34"/>
      <c r="Z795" s="34"/>
    </row>
    <row r="796">
      <c r="E796" s="80" t="b">
        <v>0</v>
      </c>
      <c r="F796" s="80" t="b">
        <v>0</v>
      </c>
      <c r="G796" s="80" t="b">
        <v>1</v>
      </c>
      <c r="H796" s="80" t="b">
        <v>0</v>
      </c>
      <c r="I796" s="38">
        <v>42669.0</v>
      </c>
      <c r="J796" s="38">
        <v>42676.0</v>
      </c>
      <c r="K796" s="28">
        <v>144.0</v>
      </c>
      <c r="L796" s="39" t="s">
        <v>784</v>
      </c>
      <c r="M796" s="30" t="s">
        <v>785</v>
      </c>
      <c r="N796" s="31" t="b">
        <v>0</v>
      </c>
      <c r="O796" s="31" t="b">
        <v>0</v>
      </c>
      <c r="P796" s="31" t="b">
        <v>0</v>
      </c>
      <c r="Q796" s="31" t="b">
        <v>0</v>
      </c>
      <c r="R796" s="31" t="b">
        <v>0</v>
      </c>
      <c r="S796" s="31" t="b">
        <v>0</v>
      </c>
      <c r="T796" s="31" t="b">
        <v>0</v>
      </c>
      <c r="U796" s="31" t="b">
        <v>0</v>
      </c>
      <c r="V796" s="32" t="b">
        <v>0</v>
      </c>
      <c r="W796" s="33" t="s">
        <v>52</v>
      </c>
      <c r="X796" s="33" t="s">
        <v>316</v>
      </c>
      <c r="Y796" s="34"/>
      <c r="Z796" s="34"/>
    </row>
    <row r="797">
      <c r="A797" s="41">
        <v>40.0</v>
      </c>
      <c r="B797" s="22" t="s">
        <v>786</v>
      </c>
      <c r="C797" s="23" t="s">
        <v>787</v>
      </c>
      <c r="D797" s="24" t="s">
        <v>36</v>
      </c>
      <c r="E797" s="80" t="b">
        <v>0</v>
      </c>
      <c r="F797" s="80" t="b">
        <v>0</v>
      </c>
      <c r="G797" s="80" t="b">
        <v>1</v>
      </c>
      <c r="H797" s="80" t="b">
        <v>0</v>
      </c>
      <c r="I797" s="38">
        <v>44207.0</v>
      </c>
      <c r="J797" s="38">
        <v>44208.0</v>
      </c>
      <c r="K797" s="28">
        <v>48.0</v>
      </c>
      <c r="L797" s="39" t="s">
        <v>788</v>
      </c>
      <c r="M797" s="40" t="s">
        <v>38</v>
      </c>
      <c r="N797" s="31" t="b">
        <v>1</v>
      </c>
      <c r="O797" s="31" t="b">
        <v>1</v>
      </c>
      <c r="P797" s="31" t="b">
        <v>0</v>
      </c>
      <c r="Q797" s="31" t="b">
        <v>0</v>
      </c>
      <c r="R797" s="31" t="b">
        <v>1</v>
      </c>
      <c r="S797" s="31" t="b">
        <v>0</v>
      </c>
      <c r="T797" s="31" t="b">
        <v>0</v>
      </c>
      <c r="U797" s="31" t="b">
        <v>0</v>
      </c>
      <c r="V797" s="32" t="b">
        <v>0</v>
      </c>
      <c r="W797" s="33" t="s">
        <v>662</v>
      </c>
      <c r="X797" s="34"/>
      <c r="Y797" s="34"/>
      <c r="Z797" s="34"/>
    </row>
    <row r="798">
      <c r="E798" s="80" t="b">
        <v>0</v>
      </c>
      <c r="F798" s="80" t="b">
        <v>0</v>
      </c>
      <c r="G798" s="80" t="b">
        <v>1</v>
      </c>
      <c r="H798" s="80" t="b">
        <v>0</v>
      </c>
      <c r="I798" s="38">
        <v>43519.0</v>
      </c>
      <c r="J798" s="38">
        <v>43519.0</v>
      </c>
      <c r="K798" s="28">
        <v>3.0</v>
      </c>
      <c r="L798" s="39" t="s">
        <v>789</v>
      </c>
      <c r="M798" s="40" t="s">
        <v>38</v>
      </c>
      <c r="N798" s="31" t="b">
        <v>1</v>
      </c>
      <c r="O798" s="31" t="b">
        <v>1</v>
      </c>
      <c r="P798" s="31" t="b">
        <v>1</v>
      </c>
      <c r="Q798" s="31" t="b">
        <v>0</v>
      </c>
      <c r="R798" s="31" t="b">
        <v>0</v>
      </c>
      <c r="S798" s="31" t="b">
        <v>0</v>
      </c>
      <c r="T798" s="31" t="b">
        <v>1</v>
      </c>
      <c r="U798" s="31" t="b">
        <v>1</v>
      </c>
      <c r="V798" s="32" t="b">
        <v>0</v>
      </c>
      <c r="W798" s="33" t="s">
        <v>662</v>
      </c>
      <c r="X798" s="34"/>
      <c r="Y798" s="34"/>
      <c r="Z798" s="34"/>
    </row>
    <row r="799">
      <c r="E799" s="80" t="b">
        <v>1</v>
      </c>
      <c r="F799" s="80" t="b">
        <v>0</v>
      </c>
      <c r="G799" s="80" t="b">
        <v>0</v>
      </c>
      <c r="H799" s="80" t="b">
        <v>0</v>
      </c>
      <c r="I799" s="38">
        <v>43606.0</v>
      </c>
      <c r="J799" s="38">
        <v>43614.0</v>
      </c>
      <c r="K799" s="28">
        <v>192.0</v>
      </c>
      <c r="L799" s="39" t="s">
        <v>790</v>
      </c>
      <c r="M799" s="40" t="s">
        <v>38</v>
      </c>
      <c r="N799" s="31" t="b">
        <v>1</v>
      </c>
      <c r="O799" s="31" t="b">
        <v>1</v>
      </c>
      <c r="P799" s="31" t="b">
        <v>1</v>
      </c>
      <c r="Q799" s="31" t="b">
        <v>1</v>
      </c>
      <c r="R799" s="31" t="b">
        <v>1</v>
      </c>
      <c r="S799" s="31" t="b">
        <v>0</v>
      </c>
      <c r="T799" s="31" t="b">
        <v>0</v>
      </c>
      <c r="U799" s="31" t="b">
        <v>1</v>
      </c>
      <c r="V799" s="32" t="b">
        <v>0</v>
      </c>
      <c r="W799" s="33" t="s">
        <v>662</v>
      </c>
      <c r="X799" s="34"/>
      <c r="Y799" s="34"/>
      <c r="Z799" s="34"/>
    </row>
    <row r="800">
      <c r="E800" s="80" t="b">
        <v>0</v>
      </c>
      <c r="F800" s="80" t="b">
        <v>0</v>
      </c>
      <c r="G800" s="80" t="b">
        <v>1</v>
      </c>
      <c r="H800" s="80" t="b">
        <v>0</v>
      </c>
      <c r="I800" s="38">
        <v>42241.0</v>
      </c>
      <c r="J800" s="38">
        <v>42863.0</v>
      </c>
      <c r="K800" s="28">
        <v>15192.0</v>
      </c>
      <c r="L800" s="39" t="s">
        <v>791</v>
      </c>
      <c r="M800" s="40" t="s">
        <v>38</v>
      </c>
      <c r="N800" s="31" t="b">
        <v>1</v>
      </c>
      <c r="O800" s="31" t="b">
        <v>1</v>
      </c>
      <c r="P800" s="31" t="b">
        <v>0</v>
      </c>
      <c r="Q800" s="31" t="b">
        <v>1</v>
      </c>
      <c r="R800" s="31" t="b">
        <v>0</v>
      </c>
      <c r="S800" s="31" t="b">
        <v>0</v>
      </c>
      <c r="T800" s="31" t="b">
        <v>0</v>
      </c>
      <c r="U800" s="31" t="b">
        <v>0</v>
      </c>
      <c r="V800" s="32" t="b">
        <v>0</v>
      </c>
      <c r="W800" s="33" t="s">
        <v>792</v>
      </c>
      <c r="X800" s="34"/>
      <c r="Y800" s="34"/>
      <c r="Z800" s="34"/>
    </row>
    <row r="801">
      <c r="A801" s="41">
        <v>41.0</v>
      </c>
      <c r="B801" s="22" t="s">
        <v>793</v>
      </c>
      <c r="C801" s="23" t="s">
        <v>794</v>
      </c>
      <c r="D801" s="17" t="s">
        <v>31</v>
      </c>
      <c r="E801" s="80" t="b">
        <v>1</v>
      </c>
      <c r="F801" s="80" t="b">
        <v>0</v>
      </c>
      <c r="G801" s="80" t="b">
        <v>0</v>
      </c>
      <c r="H801" s="80" t="b">
        <v>0</v>
      </c>
      <c r="I801" s="38">
        <v>44123.0</v>
      </c>
      <c r="J801" s="38" t="s">
        <v>58</v>
      </c>
      <c r="K801" s="28">
        <f>(updateDate!B$1-date(year(I801),month(I801),day(I801)+1))*24</f>
        <v>36792</v>
      </c>
      <c r="L801" s="39" t="s">
        <v>795</v>
      </c>
      <c r="M801" s="40" t="s">
        <v>38</v>
      </c>
      <c r="N801" s="31" t="b">
        <v>1</v>
      </c>
      <c r="O801" s="31" t="b">
        <v>0</v>
      </c>
      <c r="P801" s="31" t="b">
        <v>0</v>
      </c>
      <c r="Q801" s="31" t="b">
        <v>0</v>
      </c>
      <c r="R801" s="31" t="b">
        <v>0</v>
      </c>
      <c r="S801" s="31" t="b">
        <v>1</v>
      </c>
      <c r="T801" s="31" t="b">
        <v>0</v>
      </c>
      <c r="U801" s="31" t="b">
        <v>0</v>
      </c>
      <c r="V801" s="32" t="b">
        <v>0</v>
      </c>
      <c r="W801" s="33" t="s">
        <v>73</v>
      </c>
      <c r="X801" s="33"/>
      <c r="Y801" s="34"/>
      <c r="Z801" s="34"/>
    </row>
    <row r="802">
      <c r="A802" s="41">
        <v>42.0</v>
      </c>
      <c r="B802" s="22" t="s">
        <v>796</v>
      </c>
      <c r="C802" s="23" t="s">
        <v>797</v>
      </c>
      <c r="D802" s="15" t="s">
        <v>29</v>
      </c>
      <c r="E802" s="80" t="b">
        <v>0</v>
      </c>
      <c r="F802" s="80" t="b">
        <v>0</v>
      </c>
      <c r="G802" s="80" t="b">
        <v>0</v>
      </c>
      <c r="H802" s="82" t="b">
        <v>0</v>
      </c>
      <c r="I802" s="38" t="s">
        <v>47</v>
      </c>
      <c r="J802" s="38" t="s">
        <v>47</v>
      </c>
      <c r="K802" s="28" t="s">
        <v>47</v>
      </c>
      <c r="L802" s="193" t="s">
        <v>47</v>
      </c>
      <c r="M802" s="38" t="s">
        <v>47</v>
      </c>
      <c r="N802" s="31" t="b">
        <v>0</v>
      </c>
      <c r="O802" s="31" t="b">
        <v>0</v>
      </c>
      <c r="P802" s="31" t="b">
        <v>0</v>
      </c>
      <c r="Q802" s="31" t="b">
        <v>0</v>
      </c>
      <c r="R802" s="31" t="b">
        <v>0</v>
      </c>
      <c r="S802" s="31" t="b">
        <v>0</v>
      </c>
      <c r="T802" s="31" t="b">
        <v>0</v>
      </c>
      <c r="U802" s="31" t="b">
        <v>0</v>
      </c>
      <c r="V802" s="32" t="b">
        <v>0</v>
      </c>
      <c r="W802" s="34"/>
      <c r="X802" s="34"/>
      <c r="Y802" s="34"/>
      <c r="Z802" s="34"/>
    </row>
    <row r="803">
      <c r="A803" s="41">
        <v>43.0</v>
      </c>
      <c r="B803" s="22" t="s">
        <v>798</v>
      </c>
      <c r="C803" s="23" t="s">
        <v>799</v>
      </c>
      <c r="D803" s="17" t="s">
        <v>31</v>
      </c>
      <c r="E803" s="219" t="b">
        <v>0</v>
      </c>
      <c r="F803" s="219" t="b">
        <v>0</v>
      </c>
      <c r="G803" s="63" t="b">
        <v>1</v>
      </c>
      <c r="H803" s="219" t="b">
        <v>0</v>
      </c>
      <c r="I803" s="60">
        <v>45588.0</v>
      </c>
      <c r="J803" s="60">
        <v>45589.0</v>
      </c>
      <c r="K803" s="45">
        <v>24.0</v>
      </c>
      <c r="L803" s="114" t="s">
        <v>800</v>
      </c>
      <c r="M803" s="118" t="s">
        <v>38</v>
      </c>
      <c r="N803" s="65" t="b">
        <v>1</v>
      </c>
      <c r="O803" s="63" t="b">
        <v>1</v>
      </c>
      <c r="P803" s="219" t="b">
        <v>0</v>
      </c>
      <c r="Q803" s="63" t="b">
        <v>1</v>
      </c>
      <c r="R803" s="63" t="b">
        <v>1</v>
      </c>
      <c r="S803" s="32" t="b">
        <v>0</v>
      </c>
      <c r="T803" s="219" t="b">
        <v>0</v>
      </c>
      <c r="U803" s="63" t="b">
        <v>1</v>
      </c>
      <c r="V803" s="63" t="b">
        <v>0</v>
      </c>
      <c r="W803" s="186" t="s">
        <v>41</v>
      </c>
      <c r="X803" s="220"/>
      <c r="Y803" s="221"/>
      <c r="Z803" s="221"/>
    </row>
    <row r="804">
      <c r="E804" s="219" t="b">
        <v>0</v>
      </c>
      <c r="F804" s="219" t="b">
        <v>0</v>
      </c>
      <c r="G804" s="63" t="b">
        <v>1</v>
      </c>
      <c r="H804" s="219" t="b">
        <v>0</v>
      </c>
      <c r="I804" s="60">
        <v>45574.0</v>
      </c>
      <c r="J804" s="38" t="s">
        <v>58</v>
      </c>
      <c r="K804" s="28">
        <f>(updateDate!B$1-date(year(I804),month(I804),day(I804)+1))*24</f>
        <v>1968</v>
      </c>
      <c r="L804" s="114" t="s">
        <v>801</v>
      </c>
      <c r="M804" s="118" t="s">
        <v>38</v>
      </c>
      <c r="N804" s="65" t="b">
        <v>1</v>
      </c>
      <c r="O804" s="219" t="b">
        <v>0</v>
      </c>
      <c r="P804" s="219" t="b">
        <v>0</v>
      </c>
      <c r="Q804" s="219" t="b">
        <v>0</v>
      </c>
      <c r="R804" s="219" t="b">
        <v>0</v>
      </c>
      <c r="S804" s="32" t="b">
        <v>0</v>
      </c>
      <c r="T804" s="219" t="b">
        <v>0</v>
      </c>
      <c r="U804" s="32" t="b">
        <v>0</v>
      </c>
      <c r="V804" s="63" t="b">
        <v>1</v>
      </c>
      <c r="W804" s="186" t="s">
        <v>98</v>
      </c>
      <c r="X804" s="186" t="s">
        <v>41</v>
      </c>
      <c r="Y804" s="221"/>
      <c r="Z804" s="221"/>
    </row>
    <row r="805">
      <c r="E805" s="219" t="b">
        <v>0</v>
      </c>
      <c r="F805" s="219" t="b">
        <v>0</v>
      </c>
      <c r="G805" s="219" t="b">
        <v>0</v>
      </c>
      <c r="H805" s="219" t="b">
        <v>1</v>
      </c>
      <c r="I805" s="27">
        <v>45506.0</v>
      </c>
      <c r="J805" s="27">
        <v>45514.0</v>
      </c>
      <c r="K805" s="28">
        <v>192.0</v>
      </c>
      <c r="L805" s="222" t="s">
        <v>802</v>
      </c>
      <c r="M805" s="118" t="s">
        <v>38</v>
      </c>
      <c r="N805" s="223" t="b">
        <v>1</v>
      </c>
      <c r="O805" s="219" t="b">
        <v>0</v>
      </c>
      <c r="P805" s="219" t="b">
        <v>0</v>
      </c>
      <c r="Q805" s="219" t="b">
        <v>0</v>
      </c>
      <c r="R805" s="219" t="b">
        <v>1</v>
      </c>
      <c r="S805" s="32" t="b">
        <v>0</v>
      </c>
      <c r="T805" s="219" t="b">
        <v>0</v>
      </c>
      <c r="U805" s="32" t="b">
        <v>0</v>
      </c>
      <c r="V805" s="32" t="b">
        <v>0</v>
      </c>
      <c r="W805" s="187" t="s">
        <v>39</v>
      </c>
      <c r="X805" s="187"/>
      <c r="Y805" s="221"/>
      <c r="Z805" s="221"/>
    </row>
    <row r="806">
      <c r="E806" s="82" t="b">
        <v>1</v>
      </c>
      <c r="F806" s="82" t="b">
        <v>0</v>
      </c>
      <c r="G806" s="82" t="b">
        <v>0</v>
      </c>
      <c r="H806" s="82" t="b">
        <v>0</v>
      </c>
      <c r="I806" s="76">
        <v>45474.0</v>
      </c>
      <c r="J806" s="76">
        <v>45477.0</v>
      </c>
      <c r="K806" s="45">
        <v>72.0</v>
      </c>
      <c r="L806" s="224" t="s">
        <v>803</v>
      </c>
      <c r="M806" s="225" t="s">
        <v>804</v>
      </c>
      <c r="N806" s="108" t="b">
        <v>1</v>
      </c>
      <c r="O806" s="108" t="b">
        <v>1</v>
      </c>
      <c r="P806" s="108" t="b">
        <v>1</v>
      </c>
      <c r="Q806" s="108" t="b">
        <v>1</v>
      </c>
      <c r="R806" s="108" t="b">
        <v>1</v>
      </c>
      <c r="S806" s="69" t="b">
        <v>0</v>
      </c>
      <c r="T806" s="111" t="b">
        <v>0</v>
      </c>
      <c r="U806" s="69" t="b">
        <v>0</v>
      </c>
      <c r="V806" s="66" t="b">
        <v>0</v>
      </c>
      <c r="W806" s="86" t="s">
        <v>805</v>
      </c>
      <c r="X806" s="104"/>
      <c r="Y806" s="221"/>
      <c r="Z806" s="221"/>
    </row>
    <row r="807">
      <c r="E807" s="80" t="b">
        <v>0</v>
      </c>
      <c r="F807" s="82" t="b">
        <v>1</v>
      </c>
      <c r="G807" s="82" t="b">
        <v>0</v>
      </c>
      <c r="H807" s="82" t="b">
        <v>0</v>
      </c>
      <c r="I807" s="159">
        <v>44978.0</v>
      </c>
      <c r="J807" s="148">
        <v>45313.0</v>
      </c>
      <c r="K807" s="45">
        <v>8050.0</v>
      </c>
      <c r="L807" s="175" t="s">
        <v>806</v>
      </c>
      <c r="M807" s="226" t="s">
        <v>38</v>
      </c>
      <c r="N807" s="131" t="b">
        <v>1</v>
      </c>
      <c r="O807" s="131" t="b">
        <v>0</v>
      </c>
      <c r="P807" s="131" t="b">
        <v>0</v>
      </c>
      <c r="Q807" s="131" t="b">
        <v>0</v>
      </c>
      <c r="R807" s="131" t="b">
        <v>0</v>
      </c>
      <c r="S807" s="80" t="b">
        <v>0</v>
      </c>
      <c r="T807" s="131" t="b">
        <v>0</v>
      </c>
      <c r="U807" s="80" t="b">
        <v>1</v>
      </c>
      <c r="V807" s="25" t="b">
        <v>0</v>
      </c>
      <c r="W807" s="186" t="s">
        <v>39</v>
      </c>
      <c r="X807" s="187" t="s">
        <v>664</v>
      </c>
      <c r="Y807" s="120" t="s">
        <v>39</v>
      </c>
      <c r="Z807" s="227" t="s">
        <v>807</v>
      </c>
    </row>
    <row r="808">
      <c r="E808" s="80" t="b">
        <v>0</v>
      </c>
      <c r="F808" s="80" t="b">
        <v>0</v>
      </c>
      <c r="G808" s="82" t="b">
        <v>1</v>
      </c>
      <c r="H808" s="80" t="b">
        <v>0</v>
      </c>
      <c r="I808" s="83">
        <v>44965.0</v>
      </c>
      <c r="J808" s="83">
        <v>44966.0</v>
      </c>
      <c r="K808" s="28">
        <v>12.0</v>
      </c>
      <c r="L808" s="81" t="s">
        <v>808</v>
      </c>
      <c r="M808" s="169" t="s">
        <v>38</v>
      </c>
      <c r="N808" s="82" t="b">
        <v>1</v>
      </c>
      <c r="O808" s="131" t="b">
        <v>0</v>
      </c>
      <c r="P808" s="82" t="b">
        <v>1</v>
      </c>
      <c r="Q808" s="131" t="b">
        <v>0</v>
      </c>
      <c r="R808" s="131" t="b">
        <v>0</v>
      </c>
      <c r="S808" s="80" t="b">
        <v>0</v>
      </c>
      <c r="T808" s="131" t="b">
        <v>0</v>
      </c>
      <c r="U808" s="80" t="b">
        <v>0</v>
      </c>
      <c r="V808" s="25" t="b">
        <v>0</v>
      </c>
      <c r="W808" s="61" t="s">
        <v>41</v>
      </c>
      <c r="X808" s="61" t="s">
        <v>41</v>
      </c>
      <c r="Y808" s="33"/>
      <c r="Z808" s="33"/>
    </row>
    <row r="809">
      <c r="E809" s="80" t="b">
        <v>0</v>
      </c>
      <c r="F809" s="80" t="b">
        <v>0</v>
      </c>
      <c r="G809" s="82" t="b">
        <v>1</v>
      </c>
      <c r="H809" s="80" t="b">
        <v>0</v>
      </c>
      <c r="I809" s="38">
        <v>44878.0</v>
      </c>
      <c r="J809" s="38">
        <v>44879.0</v>
      </c>
      <c r="K809" s="28">
        <v>10.0</v>
      </c>
      <c r="L809" s="175" t="s">
        <v>809</v>
      </c>
      <c r="M809" s="226" t="s">
        <v>38</v>
      </c>
      <c r="N809" s="131" t="b">
        <v>1</v>
      </c>
      <c r="O809" s="131" t="b">
        <v>1</v>
      </c>
      <c r="P809" s="131" t="b">
        <v>1</v>
      </c>
      <c r="Q809" s="131" t="b">
        <v>1</v>
      </c>
      <c r="R809" s="131" t="b">
        <v>1</v>
      </c>
      <c r="S809" s="80" t="b">
        <v>0</v>
      </c>
      <c r="T809" s="131" t="b">
        <v>0</v>
      </c>
      <c r="U809" s="80" t="b">
        <v>0</v>
      </c>
      <c r="V809" s="25" t="b">
        <v>0</v>
      </c>
      <c r="W809" s="119" t="s">
        <v>39</v>
      </c>
      <c r="X809" s="105"/>
      <c r="Y809" s="33"/>
      <c r="Z809" s="33"/>
    </row>
    <row r="810">
      <c r="E810" s="80" t="b">
        <v>0</v>
      </c>
      <c r="F810" s="80" t="b">
        <v>0</v>
      </c>
      <c r="G810" s="80" t="b">
        <v>1</v>
      </c>
      <c r="H810" s="80" t="b">
        <v>0</v>
      </c>
      <c r="I810" s="38">
        <v>43888.0</v>
      </c>
      <c r="J810" s="38">
        <v>43888.0</v>
      </c>
      <c r="K810" s="28">
        <v>18.0</v>
      </c>
      <c r="L810" s="175" t="s">
        <v>810</v>
      </c>
      <c r="M810" s="169" t="s">
        <v>38</v>
      </c>
      <c r="N810" s="80" t="b">
        <v>1</v>
      </c>
      <c r="O810" s="131" t="b">
        <v>1</v>
      </c>
      <c r="P810" s="131" t="b">
        <v>1</v>
      </c>
      <c r="Q810" s="131" t="b">
        <v>1</v>
      </c>
      <c r="R810" s="131" t="b">
        <v>1</v>
      </c>
      <c r="S810" s="80" t="b">
        <v>0</v>
      </c>
      <c r="T810" s="131" t="b">
        <v>1</v>
      </c>
      <c r="U810" s="80" t="b">
        <v>0</v>
      </c>
      <c r="V810" s="25" t="b">
        <v>0</v>
      </c>
      <c r="W810" s="119" t="s">
        <v>41</v>
      </c>
      <c r="X810" s="33" t="s">
        <v>811</v>
      </c>
      <c r="Y810" s="33"/>
      <c r="Z810" s="33"/>
    </row>
    <row r="811">
      <c r="E811" s="80" t="b">
        <v>0</v>
      </c>
      <c r="F811" s="80" t="b">
        <v>0</v>
      </c>
      <c r="G811" s="131" t="b">
        <v>1</v>
      </c>
      <c r="H811" s="80" t="b">
        <v>0</v>
      </c>
      <c r="I811" s="38">
        <v>43749.0</v>
      </c>
      <c r="J811" s="38">
        <v>43749.0</v>
      </c>
      <c r="K811" s="28">
        <v>1.0</v>
      </c>
      <c r="L811" s="39" t="s">
        <v>812</v>
      </c>
      <c r="M811" s="30" t="s">
        <v>813</v>
      </c>
      <c r="N811" s="80" t="b">
        <v>1</v>
      </c>
      <c r="O811" s="80" t="b">
        <v>1</v>
      </c>
      <c r="P811" s="80" t="b">
        <v>1</v>
      </c>
      <c r="Q811" s="80" t="b">
        <v>0</v>
      </c>
      <c r="R811" s="80" t="b">
        <v>1</v>
      </c>
      <c r="S811" s="80" t="b">
        <v>0</v>
      </c>
      <c r="T811" s="80" t="b">
        <v>1</v>
      </c>
      <c r="U811" s="80" t="b">
        <v>0</v>
      </c>
      <c r="V811" s="25" t="b">
        <v>0</v>
      </c>
      <c r="W811" s="33" t="s">
        <v>41</v>
      </c>
      <c r="X811" s="33"/>
      <c r="Y811" s="33"/>
      <c r="Z811" s="33"/>
    </row>
    <row r="812">
      <c r="E812" s="80" t="b">
        <v>0</v>
      </c>
      <c r="F812" s="80" t="b">
        <v>0</v>
      </c>
      <c r="G812" s="80" t="b">
        <v>1</v>
      </c>
      <c r="H812" s="80" t="b">
        <v>0</v>
      </c>
      <c r="I812" s="38">
        <v>42726.0</v>
      </c>
      <c r="J812" s="38">
        <v>42728.0</v>
      </c>
      <c r="K812" s="28">
        <v>48.0</v>
      </c>
      <c r="L812" s="39" t="s">
        <v>814</v>
      </c>
      <c r="M812" s="40" t="s">
        <v>38</v>
      </c>
      <c r="N812" s="80" t="b">
        <v>1</v>
      </c>
      <c r="O812" s="80" t="b">
        <v>0</v>
      </c>
      <c r="P812" s="80" t="b">
        <v>1</v>
      </c>
      <c r="Q812" s="80" t="b">
        <v>1</v>
      </c>
      <c r="R812" s="80" t="b">
        <v>0</v>
      </c>
      <c r="S812" s="80" t="b">
        <v>0</v>
      </c>
      <c r="T812" s="80" t="b">
        <v>0</v>
      </c>
      <c r="U812" s="80" t="b">
        <v>0</v>
      </c>
      <c r="V812" s="25" t="b">
        <v>0</v>
      </c>
      <c r="W812" s="33" t="s">
        <v>815</v>
      </c>
      <c r="X812" s="33"/>
      <c r="Y812" s="33"/>
      <c r="Z812" s="33"/>
    </row>
    <row r="813">
      <c r="E813" s="80" t="b">
        <v>0</v>
      </c>
      <c r="F813" s="80" t="b">
        <v>0</v>
      </c>
      <c r="G813" s="80" t="b">
        <v>1</v>
      </c>
      <c r="H813" s="80" t="b">
        <v>0</v>
      </c>
      <c r="I813" s="38">
        <v>42678.0</v>
      </c>
      <c r="J813" s="38">
        <v>42679.0</v>
      </c>
      <c r="K813" s="28">
        <v>24.0</v>
      </c>
      <c r="L813" s="39" t="s">
        <v>816</v>
      </c>
      <c r="M813" s="40" t="s">
        <v>38</v>
      </c>
      <c r="N813" s="80" t="b">
        <v>1</v>
      </c>
      <c r="O813" s="80" t="b">
        <v>1</v>
      </c>
      <c r="P813" s="80" t="b">
        <v>1</v>
      </c>
      <c r="Q813" s="80" t="b">
        <v>1</v>
      </c>
      <c r="R813" s="80" t="b">
        <v>1</v>
      </c>
      <c r="S813" s="80" t="b">
        <v>0</v>
      </c>
      <c r="T813" s="80" t="b">
        <v>1</v>
      </c>
      <c r="U813" s="80" t="b">
        <v>0</v>
      </c>
      <c r="V813" s="25" t="b">
        <v>1</v>
      </c>
      <c r="W813" s="33" t="s">
        <v>815</v>
      </c>
      <c r="X813" s="33"/>
      <c r="Y813" s="33"/>
      <c r="Z813" s="33"/>
    </row>
    <row r="814">
      <c r="E814" s="80" t="b">
        <v>1</v>
      </c>
      <c r="F814" s="80" t="b">
        <v>0</v>
      </c>
      <c r="G814" s="80" t="b">
        <v>0</v>
      </c>
      <c r="H814" s="80" t="b">
        <v>0</v>
      </c>
      <c r="I814" s="38">
        <v>42670.0</v>
      </c>
      <c r="J814" s="38">
        <v>42670.0</v>
      </c>
      <c r="K814" s="28">
        <v>12.0</v>
      </c>
      <c r="L814" s="39" t="s">
        <v>817</v>
      </c>
      <c r="M814" s="150" t="s">
        <v>818</v>
      </c>
      <c r="N814" s="80" t="b">
        <v>0</v>
      </c>
      <c r="O814" s="80" t="b">
        <v>0</v>
      </c>
      <c r="P814" s="80" t="b">
        <v>0</v>
      </c>
      <c r="Q814" s="80" t="b">
        <v>0</v>
      </c>
      <c r="R814" s="80" t="b">
        <v>0</v>
      </c>
      <c r="S814" s="80" t="b">
        <v>0</v>
      </c>
      <c r="T814" s="80" t="b">
        <v>0</v>
      </c>
      <c r="U814" s="80" t="b">
        <v>0</v>
      </c>
      <c r="V814" s="25" t="b">
        <v>0</v>
      </c>
      <c r="W814" s="33" t="s">
        <v>815</v>
      </c>
      <c r="X814" s="33"/>
      <c r="Y814" s="33"/>
      <c r="Z814" s="33"/>
    </row>
    <row r="815">
      <c r="E815" s="80" t="b">
        <v>1</v>
      </c>
      <c r="F815" s="80" t="b">
        <v>0</v>
      </c>
      <c r="G815" s="80" t="b">
        <v>0</v>
      </c>
      <c r="H815" s="80" t="b">
        <v>0</v>
      </c>
      <c r="I815" s="38">
        <v>42669.0</v>
      </c>
      <c r="J815" s="38">
        <v>42669.0</v>
      </c>
      <c r="K815" s="28">
        <v>12.0</v>
      </c>
      <c r="L815" s="39" t="s">
        <v>819</v>
      </c>
      <c r="M815" s="150" t="s">
        <v>818</v>
      </c>
      <c r="N815" s="80" t="b">
        <v>0</v>
      </c>
      <c r="O815" s="80" t="b">
        <v>0</v>
      </c>
      <c r="P815" s="80" t="b">
        <v>0</v>
      </c>
      <c r="Q815" s="80" t="b">
        <v>0</v>
      </c>
      <c r="R815" s="80" t="b">
        <v>0</v>
      </c>
      <c r="S815" s="80" t="b">
        <v>0</v>
      </c>
      <c r="T815" s="80" t="b">
        <v>0</v>
      </c>
      <c r="U815" s="80" t="b">
        <v>0</v>
      </c>
      <c r="V815" s="25" t="b">
        <v>0</v>
      </c>
      <c r="W815" s="33" t="s">
        <v>815</v>
      </c>
      <c r="X815" s="33"/>
      <c r="Y815" s="33"/>
      <c r="Z815" s="33"/>
    </row>
    <row r="816">
      <c r="E816" s="80" t="b">
        <v>0</v>
      </c>
      <c r="F816" s="80" t="b">
        <v>0</v>
      </c>
      <c r="G816" s="80" t="b">
        <v>1</v>
      </c>
      <c r="H816" s="80" t="b">
        <v>0</v>
      </c>
      <c r="I816" s="38">
        <v>42624.0</v>
      </c>
      <c r="J816" s="38">
        <v>42624.0</v>
      </c>
      <c r="K816" s="28">
        <v>4.0</v>
      </c>
      <c r="L816" s="81" t="s">
        <v>820</v>
      </c>
      <c r="M816" s="150" t="s">
        <v>821</v>
      </c>
      <c r="N816" s="80" t="b">
        <v>0</v>
      </c>
      <c r="O816" s="80" t="b">
        <v>0</v>
      </c>
      <c r="P816" s="80" t="b">
        <v>0</v>
      </c>
      <c r="Q816" s="80" t="b">
        <v>0</v>
      </c>
      <c r="R816" s="80" t="b">
        <v>0</v>
      </c>
      <c r="S816" s="80" t="b">
        <v>0</v>
      </c>
      <c r="T816" s="80" t="b">
        <v>0</v>
      </c>
      <c r="U816" s="80" t="b">
        <v>0</v>
      </c>
      <c r="V816" s="25" t="b">
        <v>0</v>
      </c>
      <c r="W816" s="33" t="s">
        <v>815</v>
      </c>
      <c r="X816" s="33"/>
      <c r="Y816" s="33"/>
      <c r="Z816" s="33"/>
    </row>
    <row r="817">
      <c r="E817" s="80" t="b">
        <v>0</v>
      </c>
      <c r="F817" s="80" t="b">
        <v>0</v>
      </c>
      <c r="G817" s="80" t="b">
        <v>1</v>
      </c>
      <c r="H817" s="80" t="b">
        <v>0</v>
      </c>
      <c r="I817" s="38">
        <v>42607.0</v>
      </c>
      <c r="J817" s="38">
        <v>42608.0</v>
      </c>
      <c r="K817" s="28">
        <v>7.0</v>
      </c>
      <c r="L817" s="39" t="s">
        <v>822</v>
      </c>
      <c r="M817" s="40" t="s">
        <v>38</v>
      </c>
      <c r="N817" s="80" t="b">
        <v>1</v>
      </c>
      <c r="O817" s="80" t="b">
        <v>1</v>
      </c>
      <c r="P817" s="80" t="b">
        <v>1</v>
      </c>
      <c r="Q817" s="80" t="b">
        <v>1</v>
      </c>
      <c r="R817" s="80" t="b">
        <v>1</v>
      </c>
      <c r="S817" s="80" t="b">
        <v>0</v>
      </c>
      <c r="T817" s="80" t="b">
        <v>0</v>
      </c>
      <c r="U817" s="80" t="b">
        <v>0</v>
      </c>
      <c r="V817" s="25" t="b">
        <v>0</v>
      </c>
      <c r="W817" s="33" t="s">
        <v>815</v>
      </c>
      <c r="X817" s="33"/>
      <c r="Y817" s="33"/>
      <c r="Z817" s="33"/>
    </row>
    <row r="818">
      <c r="E818" s="80" t="b">
        <v>0</v>
      </c>
      <c r="F818" s="80" t="b">
        <v>0</v>
      </c>
      <c r="G818" s="80" t="b">
        <v>1</v>
      </c>
      <c r="H818" s="80" t="b">
        <v>0</v>
      </c>
      <c r="I818" s="38">
        <v>42603.0</v>
      </c>
      <c r="J818" s="38">
        <v>42603.0</v>
      </c>
      <c r="K818" s="28">
        <v>6.0</v>
      </c>
      <c r="L818" s="39" t="s">
        <v>823</v>
      </c>
      <c r="M818" s="40" t="s">
        <v>38</v>
      </c>
      <c r="N818" s="80" t="b">
        <v>1</v>
      </c>
      <c r="O818" s="80" t="b">
        <v>1</v>
      </c>
      <c r="P818" s="80" t="b">
        <v>1</v>
      </c>
      <c r="Q818" s="80" t="b">
        <v>1</v>
      </c>
      <c r="R818" s="80" t="b">
        <v>1</v>
      </c>
      <c r="S818" s="80" t="b">
        <v>0</v>
      </c>
      <c r="T818" s="80" t="b">
        <v>0</v>
      </c>
      <c r="U818" s="80" t="b">
        <v>0</v>
      </c>
      <c r="V818" s="25" t="b">
        <v>0</v>
      </c>
      <c r="W818" s="33" t="s">
        <v>815</v>
      </c>
      <c r="X818" s="33"/>
      <c r="Y818" s="33"/>
      <c r="Z818" s="33"/>
    </row>
    <row r="819">
      <c r="A819" s="41">
        <v>44.0</v>
      </c>
      <c r="B819" s="22" t="s">
        <v>824</v>
      </c>
      <c r="C819" s="23" t="s">
        <v>825</v>
      </c>
      <c r="D819" s="18" t="s">
        <v>32</v>
      </c>
      <c r="E819" s="80" t="b">
        <v>0</v>
      </c>
      <c r="F819" s="80" t="b">
        <v>0</v>
      </c>
      <c r="G819" s="80" t="b">
        <v>1</v>
      </c>
      <c r="H819" s="80" t="b">
        <v>0</v>
      </c>
      <c r="I819" s="38">
        <v>43101.0</v>
      </c>
      <c r="J819" s="38" t="s">
        <v>58</v>
      </c>
      <c r="K819" s="28">
        <f>(updateDate!B$1-date(year(I819),month(I819),day(I819)+1))*24</f>
        <v>61320</v>
      </c>
      <c r="L819" s="81" t="s">
        <v>826</v>
      </c>
      <c r="M819" s="40" t="s">
        <v>38</v>
      </c>
      <c r="N819" s="31" t="b">
        <v>1</v>
      </c>
      <c r="O819" s="31" t="b">
        <v>0</v>
      </c>
      <c r="P819" s="31" t="b">
        <v>1</v>
      </c>
      <c r="Q819" s="31" t="b">
        <v>0</v>
      </c>
      <c r="R819" s="31" t="b">
        <v>0</v>
      </c>
      <c r="S819" s="31" t="b">
        <v>0</v>
      </c>
      <c r="T819" s="31" t="b">
        <v>0</v>
      </c>
      <c r="U819" s="31" t="b">
        <v>0</v>
      </c>
      <c r="V819" s="32" t="b">
        <v>0</v>
      </c>
      <c r="W819" s="33" t="s">
        <v>827</v>
      </c>
      <c r="X819" s="33" t="s">
        <v>828</v>
      </c>
      <c r="Y819" s="33"/>
      <c r="Z819" s="33"/>
    </row>
    <row r="820">
      <c r="E820" s="80" t="b">
        <v>0</v>
      </c>
      <c r="F820" s="80" t="b">
        <v>0</v>
      </c>
      <c r="G820" s="80" t="b">
        <v>1</v>
      </c>
      <c r="H820" s="80" t="b">
        <v>0</v>
      </c>
      <c r="I820" s="38">
        <v>40422.0</v>
      </c>
      <c r="J820" s="38" t="s">
        <v>58</v>
      </c>
      <c r="K820" s="28">
        <f>(updateDate!B$1-date(year(I820),month(I820),day(I820)+1))*24</f>
        <v>125616</v>
      </c>
      <c r="L820" s="39" t="s">
        <v>829</v>
      </c>
      <c r="M820" s="40" t="s">
        <v>38</v>
      </c>
      <c r="N820" s="31" t="b">
        <v>1</v>
      </c>
      <c r="O820" s="31" t="b">
        <v>1</v>
      </c>
      <c r="P820" s="31" t="b">
        <v>0</v>
      </c>
      <c r="Q820" s="31" t="b">
        <v>0</v>
      </c>
      <c r="R820" s="31" t="b">
        <v>1</v>
      </c>
      <c r="S820" s="31" t="b">
        <v>0</v>
      </c>
      <c r="T820" s="31" t="b">
        <v>0</v>
      </c>
      <c r="U820" s="31" t="b">
        <v>0</v>
      </c>
      <c r="V820" s="32" t="b">
        <v>0</v>
      </c>
      <c r="W820" s="33" t="s">
        <v>792</v>
      </c>
      <c r="X820" s="33" t="s">
        <v>830</v>
      </c>
      <c r="Y820" s="33"/>
      <c r="Z820" s="33"/>
    </row>
    <row r="821">
      <c r="E821" s="80" t="b">
        <v>0</v>
      </c>
      <c r="F821" s="80" t="b">
        <v>0</v>
      </c>
      <c r="G821" s="80" t="b">
        <v>1</v>
      </c>
      <c r="H821" s="80" t="b">
        <v>0</v>
      </c>
      <c r="I821" s="38">
        <v>40148.0</v>
      </c>
      <c r="J821" s="38" t="s">
        <v>58</v>
      </c>
      <c r="K821" s="28">
        <f>(updateDate!B$1-date(year(I821),month(I821),day(I821)+1))*24</f>
        <v>132192</v>
      </c>
      <c r="L821" s="39" t="s">
        <v>831</v>
      </c>
      <c r="M821" s="40" t="s">
        <v>38</v>
      </c>
      <c r="N821" s="31" t="b">
        <v>1</v>
      </c>
      <c r="O821" s="31" t="b">
        <v>0</v>
      </c>
      <c r="P821" s="31" t="b">
        <v>0</v>
      </c>
      <c r="Q821" s="31" t="b">
        <v>1</v>
      </c>
      <c r="R821" s="31" t="b">
        <v>0</v>
      </c>
      <c r="S821" s="31" t="b">
        <v>0</v>
      </c>
      <c r="T821" s="31" t="b">
        <v>0</v>
      </c>
      <c r="U821" s="31" t="b">
        <v>0</v>
      </c>
      <c r="V821" s="32" t="b">
        <v>0</v>
      </c>
      <c r="W821" s="33" t="s">
        <v>832</v>
      </c>
      <c r="X821" s="33" t="s">
        <v>833</v>
      </c>
      <c r="Y821" s="33"/>
      <c r="Z821" s="33"/>
    </row>
    <row r="822">
      <c r="E822" s="80" t="b">
        <v>0</v>
      </c>
      <c r="F822" s="80" t="b">
        <v>0</v>
      </c>
      <c r="G822" s="80" t="b">
        <v>1</v>
      </c>
      <c r="H822" s="80" t="b">
        <v>0</v>
      </c>
      <c r="I822" s="38">
        <v>42005.0</v>
      </c>
      <c r="J822" s="38" t="s">
        <v>58</v>
      </c>
      <c r="K822" s="28">
        <f>(updateDate!B$1-date(year(I822),month(I822),day(I822)+1))*24</f>
        <v>87624</v>
      </c>
      <c r="L822" s="81" t="s">
        <v>834</v>
      </c>
      <c r="M822" s="40" t="s">
        <v>38</v>
      </c>
      <c r="N822" s="31" t="b">
        <v>1</v>
      </c>
      <c r="O822" s="31" t="b">
        <v>0</v>
      </c>
      <c r="P822" s="31" t="b">
        <v>0</v>
      </c>
      <c r="Q822" s="31" t="b">
        <v>0</v>
      </c>
      <c r="R822" s="31" t="b">
        <v>0</v>
      </c>
      <c r="S822" s="31" t="b">
        <v>1</v>
      </c>
      <c r="T822" s="31" t="b">
        <v>1</v>
      </c>
      <c r="U822" s="31" t="b">
        <v>0</v>
      </c>
      <c r="V822" s="32" t="b">
        <v>0</v>
      </c>
      <c r="W822" s="33" t="s">
        <v>827</v>
      </c>
      <c r="X822" s="33" t="s">
        <v>830</v>
      </c>
      <c r="Y822" s="33" t="s">
        <v>835</v>
      </c>
      <c r="Z822" s="33"/>
    </row>
    <row r="823">
      <c r="A823" s="41">
        <v>45.0</v>
      </c>
      <c r="B823" s="22" t="s">
        <v>836</v>
      </c>
      <c r="C823" s="23" t="s">
        <v>837</v>
      </c>
      <c r="D823" s="17" t="s">
        <v>31</v>
      </c>
      <c r="E823" s="80" t="b">
        <v>0</v>
      </c>
      <c r="F823" s="80" t="b">
        <v>0</v>
      </c>
      <c r="G823" s="80" t="b">
        <v>0</v>
      </c>
      <c r="H823" s="80" t="b">
        <v>1</v>
      </c>
      <c r="I823" s="38">
        <v>42096.0</v>
      </c>
      <c r="J823" s="38" t="s">
        <v>58</v>
      </c>
      <c r="K823" s="28">
        <f>(updateDate!B$1-date(year(I823),month(I823),day(I823)+1))*24</f>
        <v>85440</v>
      </c>
      <c r="L823" s="39" t="s">
        <v>838</v>
      </c>
      <c r="M823" s="40" t="s">
        <v>38</v>
      </c>
      <c r="N823" s="31" t="b">
        <v>1</v>
      </c>
      <c r="O823" s="31" t="b">
        <v>0</v>
      </c>
      <c r="P823" s="31" t="b">
        <v>0</v>
      </c>
      <c r="Q823" s="31" t="b">
        <v>0</v>
      </c>
      <c r="R823" s="31" t="b">
        <v>0</v>
      </c>
      <c r="S823" s="31" t="b">
        <v>0</v>
      </c>
      <c r="T823" s="31" t="b">
        <v>1</v>
      </c>
      <c r="U823" s="31" t="b">
        <v>0</v>
      </c>
      <c r="V823" s="32" t="b">
        <v>1</v>
      </c>
      <c r="W823" s="33" t="s">
        <v>839</v>
      </c>
      <c r="X823" s="33" t="s">
        <v>757</v>
      </c>
      <c r="Y823" s="33" t="s">
        <v>840</v>
      </c>
      <c r="Z823" s="33"/>
    </row>
    <row r="824">
      <c r="E824" s="80" t="b">
        <v>0</v>
      </c>
      <c r="F824" s="80" t="b">
        <v>0</v>
      </c>
      <c r="G824" s="80" t="b">
        <v>0</v>
      </c>
      <c r="H824" s="80" t="b">
        <v>1</v>
      </c>
      <c r="I824" s="38">
        <v>43221.0</v>
      </c>
      <c r="J824" s="38" t="s">
        <v>58</v>
      </c>
      <c r="K824" s="28">
        <f>(updateDate!B$1-date(year(I824),month(I824),day(I824)+1))*24</f>
        <v>58440</v>
      </c>
      <c r="L824" s="39" t="s">
        <v>841</v>
      </c>
      <c r="M824" s="40" t="s">
        <v>38</v>
      </c>
      <c r="N824" s="31" t="b">
        <v>1</v>
      </c>
      <c r="O824" s="31" t="b">
        <v>0</v>
      </c>
      <c r="P824" s="31" t="b">
        <v>0</v>
      </c>
      <c r="Q824" s="31" t="b">
        <v>0</v>
      </c>
      <c r="R824" s="31" t="b">
        <v>0</v>
      </c>
      <c r="S824" s="31" t="b">
        <v>1</v>
      </c>
      <c r="T824" s="31" t="b">
        <v>0</v>
      </c>
      <c r="U824" s="31" t="b">
        <v>0</v>
      </c>
      <c r="V824" s="32" t="b">
        <v>0</v>
      </c>
      <c r="W824" s="33" t="s">
        <v>842</v>
      </c>
      <c r="X824" s="33"/>
      <c r="Y824" s="33"/>
      <c r="Z824" s="33"/>
    </row>
    <row r="825">
      <c r="A825" s="41">
        <v>46.0</v>
      </c>
      <c r="B825" s="22" t="s">
        <v>843</v>
      </c>
      <c r="C825" s="23" t="s">
        <v>844</v>
      </c>
      <c r="D825" s="35" t="s">
        <v>29</v>
      </c>
      <c r="E825" s="80" t="b">
        <v>0</v>
      </c>
      <c r="F825" s="80" t="b">
        <v>0</v>
      </c>
      <c r="G825" s="80" t="b">
        <v>0</v>
      </c>
      <c r="H825" s="80" t="b">
        <v>0</v>
      </c>
      <c r="I825" s="36" t="s">
        <v>47</v>
      </c>
      <c r="J825" s="36" t="s">
        <v>47</v>
      </c>
      <c r="K825" s="28" t="s">
        <v>47</v>
      </c>
      <c r="L825" s="37" t="s">
        <v>47</v>
      </c>
      <c r="M825" s="27" t="s">
        <v>47</v>
      </c>
      <c r="N825" s="31" t="b">
        <v>0</v>
      </c>
      <c r="O825" s="31" t="b">
        <v>0</v>
      </c>
      <c r="P825" s="31" t="b">
        <v>0</v>
      </c>
      <c r="Q825" s="31" t="b">
        <v>0</v>
      </c>
      <c r="R825" s="31" t="b">
        <v>0</v>
      </c>
      <c r="S825" s="31" t="b">
        <v>0</v>
      </c>
      <c r="T825" s="31" t="b">
        <v>0</v>
      </c>
      <c r="U825" s="31" t="b">
        <v>0</v>
      </c>
      <c r="V825" s="32" t="b">
        <v>0</v>
      </c>
      <c r="W825" s="33"/>
      <c r="X825" s="33"/>
      <c r="Y825" s="34"/>
      <c r="Z825" s="34"/>
    </row>
    <row r="826">
      <c r="A826" s="41">
        <v>47.0</v>
      </c>
      <c r="B826" s="22" t="s">
        <v>845</v>
      </c>
      <c r="C826" s="23" t="s">
        <v>846</v>
      </c>
      <c r="D826" s="18" t="s">
        <v>32</v>
      </c>
      <c r="E826" s="80" t="b">
        <v>0</v>
      </c>
      <c r="F826" s="80" t="b">
        <v>0</v>
      </c>
      <c r="G826" s="80" t="b">
        <v>0</v>
      </c>
      <c r="H826" s="80" t="b">
        <v>1</v>
      </c>
      <c r="I826" s="38">
        <v>44503.0</v>
      </c>
      <c r="J826" s="38" t="s">
        <v>58</v>
      </c>
      <c r="K826" s="28">
        <f>(updateDate!B$1-date(year(I826),month(I826),day(I826)+1))*24</f>
        <v>27672</v>
      </c>
      <c r="L826" s="175" t="s">
        <v>847</v>
      </c>
      <c r="M826" s="40" t="s">
        <v>38</v>
      </c>
      <c r="N826" s="80" t="b">
        <v>1</v>
      </c>
      <c r="O826" s="80" t="b">
        <v>1</v>
      </c>
      <c r="P826" s="80" t="b">
        <v>0</v>
      </c>
      <c r="Q826" s="80" t="b">
        <v>1</v>
      </c>
      <c r="R826" s="80" t="b">
        <v>1</v>
      </c>
      <c r="S826" s="80" t="b">
        <v>0</v>
      </c>
      <c r="T826" s="80" t="b">
        <v>0</v>
      </c>
      <c r="U826" s="80" t="b">
        <v>1</v>
      </c>
      <c r="V826" s="25" t="b">
        <v>0</v>
      </c>
      <c r="W826" s="33" t="s">
        <v>848</v>
      </c>
      <c r="X826" s="33" t="s">
        <v>849</v>
      </c>
      <c r="Y826" s="34"/>
      <c r="Z826" s="34"/>
    </row>
    <row r="827">
      <c r="E827" s="80" t="b">
        <v>0</v>
      </c>
      <c r="F827" s="80" t="b">
        <v>0</v>
      </c>
      <c r="G827" s="80" t="b">
        <v>0</v>
      </c>
      <c r="H827" s="80" t="b">
        <v>1</v>
      </c>
      <c r="I827" s="38">
        <v>44378.0</v>
      </c>
      <c r="J827" s="38" t="s">
        <v>58</v>
      </c>
      <c r="K827" s="28">
        <f>(updateDate!B$1-date(year(I827),month(I827),day(I827)+1))*24</f>
        <v>30672</v>
      </c>
      <c r="L827" s="175" t="s">
        <v>850</v>
      </c>
      <c r="M827" s="40" t="s">
        <v>38</v>
      </c>
      <c r="N827" s="80" t="b">
        <v>1</v>
      </c>
      <c r="O827" s="80" t="b">
        <v>0</v>
      </c>
      <c r="P827" s="80" t="b">
        <v>0</v>
      </c>
      <c r="Q827" s="80" t="b">
        <v>0</v>
      </c>
      <c r="R827" s="80" t="b">
        <v>0</v>
      </c>
      <c r="S827" s="80" t="b">
        <v>0</v>
      </c>
      <c r="T827" s="80" t="b">
        <v>0</v>
      </c>
      <c r="U827" s="80" t="b">
        <v>1</v>
      </c>
      <c r="V827" s="25" t="b">
        <v>0</v>
      </c>
      <c r="W827" s="33" t="s">
        <v>848</v>
      </c>
      <c r="X827" s="33" t="s">
        <v>849</v>
      </c>
      <c r="Y827" s="34"/>
      <c r="Z827" s="34"/>
    </row>
    <row r="828">
      <c r="E828" s="80" t="b">
        <v>0</v>
      </c>
      <c r="F828" s="80" t="b">
        <v>0</v>
      </c>
      <c r="G828" s="80" t="b">
        <v>0</v>
      </c>
      <c r="H828" s="80" t="b">
        <v>1</v>
      </c>
      <c r="I828" s="38">
        <v>44378.0</v>
      </c>
      <c r="J828" s="38">
        <v>44774.0</v>
      </c>
      <c r="K828" s="28">
        <v>9360.0</v>
      </c>
      <c r="L828" s="175" t="s">
        <v>851</v>
      </c>
      <c r="M828" s="40" t="s">
        <v>38</v>
      </c>
      <c r="N828" s="80" t="b">
        <v>1</v>
      </c>
      <c r="O828" s="80" t="b">
        <v>0</v>
      </c>
      <c r="P828" s="131" t="b">
        <v>1</v>
      </c>
      <c r="Q828" s="80" t="b">
        <v>0</v>
      </c>
      <c r="R828" s="80" t="b">
        <v>0</v>
      </c>
      <c r="S828" s="80" t="b">
        <v>0</v>
      </c>
      <c r="T828" s="80" t="b">
        <v>0</v>
      </c>
      <c r="U828" s="80" t="b">
        <v>0</v>
      </c>
      <c r="V828" s="118" t="b">
        <v>0</v>
      </c>
      <c r="W828" s="33" t="s">
        <v>792</v>
      </c>
      <c r="X828" s="33"/>
      <c r="Y828" s="34"/>
      <c r="Z828" s="34"/>
    </row>
    <row r="829">
      <c r="E829" s="80" t="b">
        <v>0</v>
      </c>
      <c r="F829" s="80" t="b">
        <v>0</v>
      </c>
      <c r="G829" s="80" t="b">
        <v>0</v>
      </c>
      <c r="H829" s="131" t="b">
        <v>1</v>
      </c>
      <c r="I829" s="38">
        <v>44503.0</v>
      </c>
      <c r="J829" s="38" t="s">
        <v>58</v>
      </c>
      <c r="K829" s="28">
        <f>(updateDate!B$1-date(year(I829),month(I829),day(I829)+1))*24</f>
        <v>27672</v>
      </c>
      <c r="L829" s="175" t="s">
        <v>852</v>
      </c>
      <c r="M829" s="40" t="s">
        <v>38</v>
      </c>
      <c r="N829" s="131" t="b">
        <v>1</v>
      </c>
      <c r="O829" s="80" t="b">
        <v>0</v>
      </c>
      <c r="P829" s="131" t="b">
        <v>0</v>
      </c>
      <c r="Q829" s="80" t="b">
        <v>0</v>
      </c>
      <c r="R829" s="80" t="b">
        <v>0</v>
      </c>
      <c r="S829" s="80" t="b">
        <v>1</v>
      </c>
      <c r="T829" s="80" t="b">
        <v>0</v>
      </c>
      <c r="U829" s="80" t="b">
        <v>0</v>
      </c>
      <c r="V829" s="25" t="b">
        <v>1</v>
      </c>
      <c r="W829" s="119" t="s">
        <v>848</v>
      </c>
      <c r="X829" s="33" t="s">
        <v>849</v>
      </c>
      <c r="Y829" s="34"/>
      <c r="Z829" s="34"/>
    </row>
    <row r="830">
      <c r="E830" s="80" t="b">
        <v>1</v>
      </c>
      <c r="F830" s="80" t="b">
        <v>0</v>
      </c>
      <c r="G830" s="80" t="b">
        <v>0</v>
      </c>
      <c r="H830" s="80" t="b">
        <v>0</v>
      </c>
      <c r="I830" s="38">
        <v>44742.0</v>
      </c>
      <c r="J830" s="38">
        <v>44745.0</v>
      </c>
      <c r="K830" s="28">
        <v>58.0</v>
      </c>
      <c r="L830" s="175" t="s">
        <v>853</v>
      </c>
      <c r="M830" s="40" t="s">
        <v>38</v>
      </c>
      <c r="N830" s="80" t="b">
        <v>0</v>
      </c>
      <c r="O830" s="80" t="b">
        <v>0</v>
      </c>
      <c r="P830" s="80" t="b">
        <v>0</v>
      </c>
      <c r="Q830" s="80" t="b">
        <v>0</v>
      </c>
      <c r="R830" s="80" t="b">
        <v>0</v>
      </c>
      <c r="S830" s="80" t="b">
        <v>0</v>
      </c>
      <c r="T830" s="80" t="b">
        <v>0</v>
      </c>
      <c r="U830" s="80" t="b">
        <v>0</v>
      </c>
      <c r="V830" s="25" t="b">
        <v>0</v>
      </c>
      <c r="W830" s="33" t="s">
        <v>39</v>
      </c>
      <c r="X830" s="33" t="s">
        <v>125</v>
      </c>
      <c r="Y830" s="34"/>
      <c r="Z830" s="34"/>
    </row>
    <row r="831">
      <c r="E831" s="80" t="b">
        <v>0</v>
      </c>
      <c r="F831" s="80" t="b">
        <v>0</v>
      </c>
      <c r="G831" s="80" t="b">
        <v>1</v>
      </c>
      <c r="H831" s="80" t="b">
        <v>0</v>
      </c>
      <c r="I831" s="38">
        <v>42200.0</v>
      </c>
      <c r="J831" s="38">
        <v>43243.0</v>
      </c>
      <c r="K831" s="28">
        <v>24888.0</v>
      </c>
      <c r="L831" s="175" t="s">
        <v>854</v>
      </c>
      <c r="M831" s="40" t="s">
        <v>38</v>
      </c>
      <c r="N831" s="80" t="b">
        <v>1</v>
      </c>
      <c r="O831" s="80" t="b">
        <v>0</v>
      </c>
      <c r="P831" s="80" t="b">
        <v>0</v>
      </c>
      <c r="Q831" s="80" t="b">
        <v>0</v>
      </c>
      <c r="R831" s="80" t="b">
        <v>0</v>
      </c>
      <c r="S831" s="80" t="b">
        <v>0</v>
      </c>
      <c r="T831" s="80" t="b">
        <v>1</v>
      </c>
      <c r="U831" s="80" t="b">
        <v>0</v>
      </c>
      <c r="V831" s="25" t="b">
        <v>1</v>
      </c>
      <c r="W831" s="33" t="s">
        <v>855</v>
      </c>
      <c r="X831" s="34"/>
      <c r="Y831" s="34"/>
      <c r="Z831" s="34"/>
    </row>
    <row r="832">
      <c r="A832" s="41">
        <v>48.0</v>
      </c>
      <c r="B832" s="22" t="s">
        <v>856</v>
      </c>
      <c r="C832" s="23" t="s">
        <v>857</v>
      </c>
      <c r="D832" s="24" t="s">
        <v>36</v>
      </c>
      <c r="E832" s="80" t="b">
        <v>0</v>
      </c>
      <c r="F832" s="80" t="b">
        <v>0</v>
      </c>
      <c r="G832" s="80" t="b">
        <v>1</v>
      </c>
      <c r="H832" s="80" t="b">
        <v>0</v>
      </c>
      <c r="I832" s="38">
        <v>42512.0</v>
      </c>
      <c r="J832" s="38">
        <v>42516.0</v>
      </c>
      <c r="K832" s="28">
        <v>96.0</v>
      </c>
      <c r="L832" s="39" t="s">
        <v>858</v>
      </c>
      <c r="M832" s="40" t="s">
        <v>38</v>
      </c>
      <c r="N832" s="31" t="b">
        <v>1</v>
      </c>
      <c r="O832" s="31" t="b">
        <v>1</v>
      </c>
      <c r="P832" s="31" t="b">
        <v>0</v>
      </c>
      <c r="Q832" s="31" t="b">
        <v>0</v>
      </c>
      <c r="R832" s="31" t="b">
        <v>0</v>
      </c>
      <c r="S832" s="31" t="b">
        <v>0</v>
      </c>
      <c r="T832" s="31" t="b">
        <v>0</v>
      </c>
      <c r="U832" s="31" t="b">
        <v>0</v>
      </c>
      <c r="V832" s="32" t="b">
        <v>0</v>
      </c>
      <c r="W832" s="33" t="s">
        <v>93</v>
      </c>
      <c r="X832" s="33" t="s">
        <v>98</v>
      </c>
      <c r="Y832" s="34"/>
      <c r="Z832" s="34"/>
    </row>
    <row r="833">
      <c r="E833" s="80" t="b">
        <v>1</v>
      </c>
      <c r="F833" s="80" t="b">
        <v>0</v>
      </c>
      <c r="G833" s="80" t="b">
        <v>0</v>
      </c>
      <c r="H833" s="80" t="b">
        <v>0</v>
      </c>
      <c r="I833" s="38">
        <v>42503.0</v>
      </c>
      <c r="J833" s="38">
        <v>42504.0</v>
      </c>
      <c r="K833" s="28">
        <v>48.0</v>
      </c>
      <c r="L833" s="39" t="s">
        <v>859</v>
      </c>
      <c r="M833" s="40" t="s">
        <v>38</v>
      </c>
      <c r="N833" s="31" t="b">
        <v>1</v>
      </c>
      <c r="O833" s="31" t="b">
        <v>1</v>
      </c>
      <c r="P833" s="31" t="b">
        <v>0</v>
      </c>
      <c r="Q833" s="31" t="b">
        <v>0</v>
      </c>
      <c r="R833" s="31" t="b">
        <v>1</v>
      </c>
      <c r="S833" s="31" t="b">
        <v>0</v>
      </c>
      <c r="T833" s="31" t="b">
        <v>0</v>
      </c>
      <c r="U833" s="31" t="b">
        <v>0</v>
      </c>
      <c r="V833" s="32" t="b">
        <v>0</v>
      </c>
      <c r="W833" s="33" t="s">
        <v>93</v>
      </c>
      <c r="X833" s="33" t="s">
        <v>768</v>
      </c>
      <c r="Y833" s="34"/>
      <c r="Z833" s="34"/>
    </row>
    <row r="834">
      <c r="A834" s="41">
        <v>49.0</v>
      </c>
      <c r="B834" s="22" t="s">
        <v>860</v>
      </c>
      <c r="C834" s="23" t="s">
        <v>861</v>
      </c>
      <c r="D834" s="17" t="s">
        <v>31</v>
      </c>
      <c r="E834" s="42" t="b">
        <v>0</v>
      </c>
      <c r="F834" s="42" t="b">
        <v>0</v>
      </c>
      <c r="G834" s="42" t="b">
        <v>1</v>
      </c>
      <c r="H834" s="42" t="b">
        <v>0</v>
      </c>
      <c r="I834" s="52">
        <v>45195.0</v>
      </c>
      <c r="J834" s="228" t="s">
        <v>58</v>
      </c>
      <c r="K834" s="28">
        <f>(updateDate!B$1-date(year(I834),month(I834),day(I834)+1))*24</f>
        <v>11064</v>
      </c>
      <c r="L834" s="182" t="s">
        <v>862</v>
      </c>
      <c r="M834" s="47" t="s">
        <v>38</v>
      </c>
      <c r="N834" s="48" t="b">
        <v>1</v>
      </c>
      <c r="O834" s="42" t="b">
        <v>0</v>
      </c>
      <c r="P834" s="42" t="b">
        <v>0</v>
      </c>
      <c r="Q834" s="42" t="b">
        <v>0</v>
      </c>
      <c r="R834" s="42" t="b">
        <v>0</v>
      </c>
      <c r="S834" s="42" t="b">
        <v>0</v>
      </c>
      <c r="T834" s="42" t="b">
        <v>0</v>
      </c>
      <c r="U834" s="42" t="b">
        <v>0</v>
      </c>
      <c r="V834" s="42" t="b">
        <v>1</v>
      </c>
      <c r="W834" s="54" t="s">
        <v>41</v>
      </c>
      <c r="X834" s="50"/>
      <c r="Y834" s="51"/>
      <c r="Z834" s="51"/>
    </row>
    <row r="835">
      <c r="E835" s="42" t="b">
        <v>0</v>
      </c>
      <c r="F835" s="42" t="b">
        <v>0</v>
      </c>
      <c r="G835" s="42" t="b">
        <v>1</v>
      </c>
      <c r="H835" s="42" t="b">
        <v>0</v>
      </c>
      <c r="I835" s="52">
        <v>45240.0</v>
      </c>
      <c r="J835" s="52">
        <v>45240.0</v>
      </c>
      <c r="K835" s="28">
        <v>6.0</v>
      </c>
      <c r="L835" s="182" t="s">
        <v>863</v>
      </c>
      <c r="M835" s="47" t="s">
        <v>38</v>
      </c>
      <c r="N835" s="48" t="b">
        <v>0</v>
      </c>
      <c r="O835" s="42" t="b">
        <v>0</v>
      </c>
      <c r="P835" s="42" t="b">
        <v>0</v>
      </c>
      <c r="Q835" s="42" t="b">
        <v>0</v>
      </c>
      <c r="R835" s="42" t="b">
        <v>0</v>
      </c>
      <c r="S835" s="42" t="b">
        <v>0</v>
      </c>
      <c r="T835" s="42" t="b">
        <v>0</v>
      </c>
      <c r="U835" s="42" t="b">
        <v>0</v>
      </c>
      <c r="V835" s="42" t="b">
        <v>0</v>
      </c>
      <c r="W835" s="54" t="s">
        <v>41</v>
      </c>
      <c r="X835" s="50"/>
      <c r="Y835" s="51"/>
      <c r="Z835" s="51"/>
    </row>
    <row r="836">
      <c r="E836" s="42" t="b">
        <v>0</v>
      </c>
      <c r="F836" s="42" t="b">
        <v>0</v>
      </c>
      <c r="G836" s="42" t="b">
        <v>1</v>
      </c>
      <c r="H836" s="42" t="b">
        <v>0</v>
      </c>
      <c r="I836" s="52">
        <v>45229.0</v>
      </c>
      <c r="J836" s="73" t="s">
        <v>58</v>
      </c>
      <c r="K836" s="28">
        <f>(updateDate!B$1-date(year(I836),month(I836),day(I836)+1))*24</f>
        <v>10248</v>
      </c>
      <c r="L836" s="182" t="s">
        <v>864</v>
      </c>
      <c r="M836" s="47" t="s">
        <v>38</v>
      </c>
      <c r="N836" s="48" t="b">
        <v>1</v>
      </c>
      <c r="O836" s="42" t="b">
        <v>0</v>
      </c>
      <c r="P836" s="42" t="b">
        <v>0</v>
      </c>
      <c r="Q836" s="42" t="b">
        <v>1</v>
      </c>
      <c r="R836" s="42" t="b">
        <v>0</v>
      </c>
      <c r="S836" s="42" t="b">
        <v>0</v>
      </c>
      <c r="T836" s="42" t="b">
        <v>0</v>
      </c>
      <c r="U836" s="42" t="b">
        <v>1</v>
      </c>
      <c r="V836" s="42" t="b">
        <v>0</v>
      </c>
      <c r="W836" s="54" t="s">
        <v>41</v>
      </c>
      <c r="X836" s="50"/>
      <c r="Y836" s="51"/>
      <c r="Z836" s="51"/>
    </row>
    <row r="837">
      <c r="E837" s="80" t="b">
        <v>0</v>
      </c>
      <c r="F837" s="80" t="b">
        <v>0</v>
      </c>
      <c r="G837" s="80" t="b">
        <v>1</v>
      </c>
      <c r="H837" s="80" t="b">
        <v>0</v>
      </c>
      <c r="I837" s="38">
        <v>43839.0</v>
      </c>
      <c r="J837" s="38">
        <v>43844.0</v>
      </c>
      <c r="K837" s="28">
        <v>144.0</v>
      </c>
      <c r="L837" s="39" t="s">
        <v>865</v>
      </c>
      <c r="M837" s="40" t="s">
        <v>38</v>
      </c>
      <c r="N837" s="31" t="b">
        <v>0</v>
      </c>
      <c r="O837" s="31" t="b">
        <v>0</v>
      </c>
      <c r="P837" s="31" t="b">
        <v>0</v>
      </c>
      <c r="Q837" s="31" t="b">
        <v>0</v>
      </c>
      <c r="R837" s="31" t="b">
        <v>0</v>
      </c>
      <c r="S837" s="31" t="b">
        <v>0</v>
      </c>
      <c r="T837" s="31" t="b">
        <v>0</v>
      </c>
      <c r="U837" s="31" t="b">
        <v>0</v>
      </c>
      <c r="V837" s="32" t="b">
        <v>0</v>
      </c>
      <c r="W837" s="33" t="s">
        <v>866</v>
      </c>
      <c r="X837" s="33" t="s">
        <v>867</v>
      </c>
      <c r="Y837" s="33" t="s">
        <v>72</v>
      </c>
      <c r="Z837" s="33"/>
    </row>
    <row r="838">
      <c r="E838" s="80" t="b">
        <v>0</v>
      </c>
      <c r="F838" s="80" t="b">
        <v>0</v>
      </c>
      <c r="G838" s="80" t="b">
        <v>1</v>
      </c>
      <c r="H838" s="80" t="b">
        <v>0</v>
      </c>
      <c r="I838" s="38">
        <v>43076.0</v>
      </c>
      <c r="J838" s="38">
        <v>43083.0</v>
      </c>
      <c r="K838" s="28">
        <v>181.0</v>
      </c>
      <c r="L838" s="39" t="s">
        <v>868</v>
      </c>
      <c r="M838" s="40" t="s">
        <v>38</v>
      </c>
      <c r="N838" s="31" t="b">
        <v>1</v>
      </c>
      <c r="O838" s="31" t="b">
        <v>1</v>
      </c>
      <c r="P838" s="31" t="b">
        <v>1</v>
      </c>
      <c r="Q838" s="31" t="b">
        <v>0</v>
      </c>
      <c r="R838" s="31" t="b">
        <v>1</v>
      </c>
      <c r="S838" s="31" t="b">
        <v>1</v>
      </c>
      <c r="T838" s="31" t="b">
        <v>1</v>
      </c>
      <c r="U838" s="31" t="b">
        <v>0</v>
      </c>
      <c r="V838" s="32" t="b">
        <v>0</v>
      </c>
      <c r="W838" s="33" t="s">
        <v>869</v>
      </c>
      <c r="X838" s="34"/>
      <c r="Y838" s="34"/>
      <c r="Z838" s="34"/>
    </row>
    <row r="839">
      <c r="E839" s="80" t="b">
        <v>0</v>
      </c>
      <c r="F839" s="80" t="b">
        <v>0</v>
      </c>
      <c r="G839" s="80" t="b">
        <v>0</v>
      </c>
      <c r="H839" s="80" t="b">
        <v>1</v>
      </c>
      <c r="I839" s="38">
        <v>43077.0</v>
      </c>
      <c r="J839" s="38" t="s">
        <v>58</v>
      </c>
      <c r="K839" s="28">
        <f>(updateDate!B$1-date(year(I839),month(I839),day(I839)+1))*24</f>
        <v>61896</v>
      </c>
      <c r="L839" s="81" t="s">
        <v>870</v>
      </c>
      <c r="M839" s="40" t="s">
        <v>38</v>
      </c>
      <c r="N839" s="31" t="b">
        <v>1</v>
      </c>
      <c r="O839" s="31" t="b">
        <v>0</v>
      </c>
      <c r="P839" s="31" t="b">
        <v>0</v>
      </c>
      <c r="Q839" s="31" t="b">
        <v>0</v>
      </c>
      <c r="R839" s="31" t="b">
        <v>0</v>
      </c>
      <c r="S839" s="31" t="b">
        <v>0</v>
      </c>
      <c r="T839" s="31" t="b">
        <v>0</v>
      </c>
      <c r="U839" s="31" t="b">
        <v>0</v>
      </c>
      <c r="V839" s="32" t="b">
        <v>1</v>
      </c>
      <c r="W839" s="33" t="s">
        <v>101</v>
      </c>
      <c r="X839" s="33" t="s">
        <v>871</v>
      </c>
      <c r="Y839" s="34"/>
      <c r="Z839" s="34"/>
    </row>
    <row r="840">
      <c r="A840" s="229"/>
      <c r="B840" s="230" t="s">
        <v>872</v>
      </c>
      <c r="D840" s="230">
        <f>A837-COUNTIF(D161:D839,"No evidence")</f>
        <v>-17</v>
      </c>
      <c r="E840" s="124">
        <f t="shared" ref="E840:H840" si="2">COUNTIF(E161:E839,"TRUE")</f>
        <v>229</v>
      </c>
      <c r="F840" s="124">
        <f t="shared" si="2"/>
        <v>34</v>
      </c>
      <c r="G840" s="124">
        <f t="shared" si="2"/>
        <v>384</v>
      </c>
      <c r="H840" s="124">
        <f t="shared" si="2"/>
        <v>15</v>
      </c>
      <c r="I840" s="125"/>
      <c r="N840" s="20"/>
      <c r="Z840" s="20"/>
    </row>
    <row r="841">
      <c r="A841" s="19" t="s">
        <v>873</v>
      </c>
      <c r="N841" s="20"/>
      <c r="Z841" s="20"/>
    </row>
    <row r="842">
      <c r="A842" s="41">
        <v>1.0</v>
      </c>
      <c r="B842" s="22" t="s">
        <v>874</v>
      </c>
      <c r="C842" s="23" t="s">
        <v>875</v>
      </c>
      <c r="D842" s="35" t="s">
        <v>29</v>
      </c>
      <c r="E842" s="25" t="b">
        <v>0</v>
      </c>
      <c r="F842" s="25" t="b">
        <v>0</v>
      </c>
      <c r="G842" s="25" t="b">
        <v>0</v>
      </c>
      <c r="H842" s="25" t="b">
        <v>0</v>
      </c>
      <c r="I842" s="36" t="s">
        <v>47</v>
      </c>
      <c r="J842" s="36" t="s">
        <v>47</v>
      </c>
      <c r="K842" s="28" t="s">
        <v>47</v>
      </c>
      <c r="L842" s="37" t="s">
        <v>47</v>
      </c>
      <c r="M842" s="27" t="s">
        <v>47</v>
      </c>
      <c r="N842" s="80" t="b">
        <v>0</v>
      </c>
      <c r="O842" s="25" t="b">
        <v>0</v>
      </c>
      <c r="P842" s="25" t="b">
        <v>0</v>
      </c>
      <c r="Q842" s="25" t="b">
        <v>0</v>
      </c>
      <c r="R842" s="25" t="b">
        <v>0</v>
      </c>
      <c r="S842" s="25" t="b">
        <v>0</v>
      </c>
      <c r="T842" s="25" t="b">
        <v>0</v>
      </c>
      <c r="U842" s="25" t="b">
        <v>0</v>
      </c>
      <c r="V842" s="25" t="b">
        <v>0</v>
      </c>
      <c r="W842" s="34"/>
      <c r="X842" s="34"/>
      <c r="Y842" s="34"/>
      <c r="Z842" s="34"/>
    </row>
    <row r="843">
      <c r="A843" s="41">
        <v>2.0</v>
      </c>
      <c r="B843" s="22" t="s">
        <v>876</v>
      </c>
      <c r="C843" s="23" t="s">
        <v>877</v>
      </c>
      <c r="D843" s="35" t="s">
        <v>29</v>
      </c>
      <c r="E843" s="25" t="b">
        <v>0</v>
      </c>
      <c r="F843" s="25" t="b">
        <v>0</v>
      </c>
      <c r="G843" s="25" t="b">
        <v>0</v>
      </c>
      <c r="H843" s="25" t="b">
        <v>0</v>
      </c>
      <c r="I843" s="188" t="s">
        <v>47</v>
      </c>
      <c r="J843" s="188" t="s">
        <v>47</v>
      </c>
      <c r="K843" s="28" t="s">
        <v>47</v>
      </c>
      <c r="L843" s="231" t="s">
        <v>47</v>
      </c>
      <c r="M843" s="38" t="s">
        <v>47</v>
      </c>
      <c r="N843" s="31" t="b">
        <v>0</v>
      </c>
      <c r="O843" s="32" t="b">
        <v>0</v>
      </c>
      <c r="P843" s="32" t="b">
        <v>0</v>
      </c>
      <c r="Q843" s="32" t="b">
        <v>0</v>
      </c>
      <c r="R843" s="32" t="b">
        <v>0</v>
      </c>
      <c r="S843" s="32" t="b">
        <v>0</v>
      </c>
      <c r="T843" s="32" t="b">
        <v>0</v>
      </c>
      <c r="U843" s="32" t="b">
        <v>0</v>
      </c>
      <c r="V843" s="32" t="b">
        <v>0</v>
      </c>
      <c r="W843" s="34"/>
      <c r="X843" s="34"/>
      <c r="Y843" s="34"/>
      <c r="Z843" s="34"/>
    </row>
    <row r="844">
      <c r="A844" s="41">
        <v>3.0</v>
      </c>
      <c r="B844" s="22" t="s">
        <v>878</v>
      </c>
      <c r="C844" s="23" t="s">
        <v>879</v>
      </c>
      <c r="D844" s="35" t="s">
        <v>29</v>
      </c>
      <c r="E844" s="25" t="b">
        <v>0</v>
      </c>
      <c r="F844" s="25" t="b">
        <v>0</v>
      </c>
      <c r="G844" s="25" t="b">
        <v>0</v>
      </c>
      <c r="H844" s="25" t="b">
        <v>0</v>
      </c>
      <c r="I844" s="188" t="s">
        <v>47</v>
      </c>
      <c r="J844" s="188" t="s">
        <v>47</v>
      </c>
      <c r="K844" s="28" t="s">
        <v>47</v>
      </c>
      <c r="L844" s="231" t="s">
        <v>47</v>
      </c>
      <c r="M844" s="38" t="s">
        <v>47</v>
      </c>
      <c r="N844" s="31" t="b">
        <v>0</v>
      </c>
      <c r="O844" s="32" t="b">
        <v>0</v>
      </c>
      <c r="P844" s="32" t="b">
        <v>0</v>
      </c>
      <c r="Q844" s="32" t="b">
        <v>0</v>
      </c>
      <c r="R844" s="32" t="b">
        <v>0</v>
      </c>
      <c r="S844" s="32" t="b">
        <v>0</v>
      </c>
      <c r="T844" s="32" t="b">
        <v>0</v>
      </c>
      <c r="U844" s="32" t="b">
        <v>0</v>
      </c>
      <c r="V844" s="32" t="b">
        <v>0</v>
      </c>
      <c r="W844" s="34"/>
      <c r="X844" s="34"/>
      <c r="Y844" s="34"/>
      <c r="Z844" s="34"/>
    </row>
    <row r="845">
      <c r="A845" s="41">
        <v>4.0</v>
      </c>
      <c r="B845" s="22" t="s">
        <v>880</v>
      </c>
      <c r="C845" s="23" t="s">
        <v>881</v>
      </c>
      <c r="D845" s="24" t="s">
        <v>36</v>
      </c>
      <c r="E845" s="25" t="b">
        <v>1</v>
      </c>
      <c r="F845" s="25" t="b">
        <v>0</v>
      </c>
      <c r="G845" s="25" t="b">
        <v>0</v>
      </c>
      <c r="H845" s="25" t="b">
        <v>0</v>
      </c>
      <c r="I845" s="27">
        <v>44070.0</v>
      </c>
      <c r="J845" s="27">
        <v>44070.0</v>
      </c>
      <c r="K845" s="28">
        <v>5.0</v>
      </c>
      <c r="L845" s="29" t="s">
        <v>882</v>
      </c>
      <c r="M845" s="30" t="s">
        <v>38</v>
      </c>
      <c r="N845" s="31" t="b">
        <v>0</v>
      </c>
      <c r="O845" s="32" t="b">
        <v>0</v>
      </c>
      <c r="P845" s="32" t="b">
        <v>0</v>
      </c>
      <c r="Q845" s="32" t="b">
        <v>0</v>
      </c>
      <c r="R845" s="32" t="b">
        <v>0</v>
      </c>
      <c r="S845" s="32" t="b">
        <v>0</v>
      </c>
      <c r="T845" s="32" t="b">
        <v>0</v>
      </c>
      <c r="U845" s="32" t="b">
        <v>0</v>
      </c>
      <c r="V845" s="32" t="b">
        <v>0</v>
      </c>
      <c r="W845" s="33" t="s">
        <v>41</v>
      </c>
      <c r="X845" s="33"/>
      <c r="Y845" s="34"/>
      <c r="Z845" s="34"/>
    </row>
    <row r="846">
      <c r="E846" s="25" t="b">
        <v>0</v>
      </c>
      <c r="F846" s="25" t="b">
        <v>1</v>
      </c>
      <c r="G846" s="25" t="b">
        <v>0</v>
      </c>
      <c r="H846" s="25" t="b">
        <v>0</v>
      </c>
      <c r="I846" s="27">
        <v>44052.0</v>
      </c>
      <c r="J846" s="27">
        <v>44055.0</v>
      </c>
      <c r="K846" s="28">
        <v>63.0</v>
      </c>
      <c r="L846" s="29" t="s">
        <v>883</v>
      </c>
      <c r="M846" s="30" t="s">
        <v>38</v>
      </c>
      <c r="N846" s="31" t="b">
        <v>1</v>
      </c>
      <c r="O846" s="32" t="b">
        <v>1</v>
      </c>
      <c r="P846" s="32" t="b">
        <v>1</v>
      </c>
      <c r="Q846" s="32" t="b">
        <v>1</v>
      </c>
      <c r="R846" s="32" t="b">
        <v>1</v>
      </c>
      <c r="S846" s="32" t="b">
        <v>1</v>
      </c>
      <c r="T846" s="32" t="b">
        <v>1</v>
      </c>
      <c r="U846" s="32" t="b">
        <v>1</v>
      </c>
      <c r="V846" s="32" t="b">
        <v>1</v>
      </c>
      <c r="W846" s="33" t="s">
        <v>41</v>
      </c>
      <c r="X846" s="33" t="s">
        <v>884</v>
      </c>
      <c r="Y846" s="34"/>
      <c r="Z846" s="34"/>
    </row>
    <row r="847">
      <c r="E847" s="25" t="b">
        <v>0</v>
      </c>
      <c r="F847" s="25" t="b">
        <v>1</v>
      </c>
      <c r="G847" s="25" t="b">
        <v>0</v>
      </c>
      <c r="H847" s="25" t="b">
        <v>0</v>
      </c>
      <c r="I847" s="27">
        <v>44052.0</v>
      </c>
      <c r="J847" s="27">
        <v>44055.0</v>
      </c>
      <c r="K847" s="28">
        <v>61.0</v>
      </c>
      <c r="L847" s="29" t="s">
        <v>885</v>
      </c>
      <c r="M847" s="30" t="s">
        <v>38</v>
      </c>
      <c r="N847" s="31" t="b">
        <v>0</v>
      </c>
      <c r="O847" s="32" t="b">
        <v>0</v>
      </c>
      <c r="P847" s="32" t="b">
        <v>0</v>
      </c>
      <c r="Q847" s="32" t="b">
        <v>0</v>
      </c>
      <c r="R847" s="32" t="b">
        <v>0</v>
      </c>
      <c r="S847" s="32" t="b">
        <v>0</v>
      </c>
      <c r="T847" s="32" t="b">
        <v>0</v>
      </c>
      <c r="U847" s="32" t="b">
        <v>0</v>
      </c>
      <c r="V847" s="32" t="b">
        <v>0</v>
      </c>
      <c r="W847" s="33" t="s">
        <v>41</v>
      </c>
      <c r="X847" s="33" t="s">
        <v>886</v>
      </c>
      <c r="Y847" s="34"/>
      <c r="Z847" s="34"/>
    </row>
    <row r="848">
      <c r="E848" s="25" t="b">
        <v>1</v>
      </c>
      <c r="F848" s="25" t="b">
        <v>0</v>
      </c>
      <c r="G848" s="25" t="b">
        <v>0</v>
      </c>
      <c r="H848" s="25" t="b">
        <v>0</v>
      </c>
      <c r="I848" s="27">
        <v>42819.0</v>
      </c>
      <c r="J848" s="27">
        <v>42819.0</v>
      </c>
      <c r="K848" s="28">
        <v>24.0</v>
      </c>
      <c r="L848" s="29" t="s">
        <v>887</v>
      </c>
      <c r="M848" s="30" t="s">
        <v>888</v>
      </c>
      <c r="N848" s="31" t="b">
        <v>0</v>
      </c>
      <c r="O848" s="32" t="b">
        <v>0</v>
      </c>
      <c r="P848" s="32" t="b">
        <v>0</v>
      </c>
      <c r="Q848" s="32" t="b">
        <v>0</v>
      </c>
      <c r="R848" s="32" t="b">
        <v>0</v>
      </c>
      <c r="S848" s="32" t="b">
        <v>0</v>
      </c>
      <c r="T848" s="32" t="b">
        <v>0</v>
      </c>
      <c r="U848" s="32" t="b">
        <v>0</v>
      </c>
      <c r="V848" s="32" t="b">
        <v>0</v>
      </c>
      <c r="W848" s="33" t="s">
        <v>889</v>
      </c>
      <c r="X848" s="33" t="s">
        <v>890</v>
      </c>
      <c r="Y848" s="34"/>
      <c r="Z848" s="34"/>
    </row>
    <row r="849">
      <c r="A849" s="41">
        <v>5.0</v>
      </c>
      <c r="B849" s="22" t="s">
        <v>891</v>
      </c>
      <c r="C849" s="23" t="s">
        <v>892</v>
      </c>
      <c r="D849" s="35" t="s">
        <v>29</v>
      </c>
      <c r="E849" s="25" t="b">
        <v>0</v>
      </c>
      <c r="F849" s="25" t="b">
        <v>0</v>
      </c>
      <c r="G849" s="25" t="b">
        <v>0</v>
      </c>
      <c r="H849" s="25" t="b">
        <v>0</v>
      </c>
      <c r="I849" s="188" t="s">
        <v>47</v>
      </c>
      <c r="J849" s="188" t="s">
        <v>47</v>
      </c>
      <c r="K849" s="28" t="s">
        <v>47</v>
      </c>
      <c r="L849" s="231" t="s">
        <v>47</v>
      </c>
      <c r="M849" s="38" t="s">
        <v>47</v>
      </c>
      <c r="N849" s="31" t="b">
        <v>0</v>
      </c>
      <c r="O849" s="32" t="b">
        <v>0</v>
      </c>
      <c r="P849" s="32" t="b">
        <v>0</v>
      </c>
      <c r="Q849" s="32" t="b">
        <v>0</v>
      </c>
      <c r="R849" s="32" t="b">
        <v>0</v>
      </c>
      <c r="S849" s="32" t="b">
        <v>0</v>
      </c>
      <c r="T849" s="32" t="b">
        <v>0</v>
      </c>
      <c r="U849" s="32" t="b">
        <v>0</v>
      </c>
      <c r="V849" s="32" t="b">
        <v>0</v>
      </c>
      <c r="W849" s="34"/>
      <c r="X849" s="34"/>
      <c r="Y849" s="34"/>
      <c r="Z849" s="34"/>
    </row>
    <row r="850">
      <c r="A850" s="41">
        <v>6.0</v>
      </c>
      <c r="B850" s="22" t="s">
        <v>893</v>
      </c>
      <c r="C850" s="23" t="s">
        <v>894</v>
      </c>
      <c r="D850" s="35" t="s">
        <v>29</v>
      </c>
      <c r="E850" s="25" t="b">
        <v>0</v>
      </c>
      <c r="F850" s="25" t="b">
        <v>0</v>
      </c>
      <c r="G850" s="25" t="b">
        <v>0</v>
      </c>
      <c r="H850" s="25" t="b">
        <v>0</v>
      </c>
      <c r="I850" s="188" t="s">
        <v>47</v>
      </c>
      <c r="J850" s="188" t="s">
        <v>47</v>
      </c>
      <c r="K850" s="28" t="s">
        <v>47</v>
      </c>
      <c r="L850" s="231" t="s">
        <v>47</v>
      </c>
      <c r="M850" s="38" t="s">
        <v>47</v>
      </c>
      <c r="N850" s="31" t="b">
        <v>0</v>
      </c>
      <c r="O850" s="32" t="b">
        <v>0</v>
      </c>
      <c r="P850" s="32" t="b">
        <v>0</v>
      </c>
      <c r="Q850" s="32" t="b">
        <v>0</v>
      </c>
      <c r="R850" s="32" t="b">
        <v>0</v>
      </c>
      <c r="S850" s="32" t="b">
        <v>0</v>
      </c>
      <c r="T850" s="32" t="b">
        <v>0</v>
      </c>
      <c r="U850" s="32" t="b">
        <v>0</v>
      </c>
      <c r="V850" s="32" t="b">
        <v>0</v>
      </c>
      <c r="W850" s="34"/>
      <c r="X850" s="34"/>
      <c r="Y850" s="34"/>
      <c r="Z850" s="34"/>
    </row>
    <row r="851">
      <c r="A851" s="41">
        <v>7.0</v>
      </c>
      <c r="B851" s="22" t="s">
        <v>895</v>
      </c>
      <c r="C851" s="23" t="s">
        <v>896</v>
      </c>
      <c r="D851" s="35" t="s">
        <v>29</v>
      </c>
      <c r="E851" s="25" t="b">
        <v>0</v>
      </c>
      <c r="F851" s="25" t="b">
        <v>0</v>
      </c>
      <c r="G851" s="25" t="b">
        <v>0</v>
      </c>
      <c r="H851" s="25" t="b">
        <v>0</v>
      </c>
      <c r="I851" s="188" t="s">
        <v>47</v>
      </c>
      <c r="J851" s="188" t="s">
        <v>47</v>
      </c>
      <c r="K851" s="28" t="s">
        <v>47</v>
      </c>
      <c r="L851" s="231" t="s">
        <v>47</v>
      </c>
      <c r="M851" s="38" t="s">
        <v>47</v>
      </c>
      <c r="N851" s="31" t="b">
        <v>0</v>
      </c>
      <c r="O851" s="32" t="b">
        <v>0</v>
      </c>
      <c r="P851" s="32" t="b">
        <v>0</v>
      </c>
      <c r="Q851" s="32" t="b">
        <v>0</v>
      </c>
      <c r="R851" s="32" t="b">
        <v>0</v>
      </c>
      <c r="S851" s="32" t="b">
        <v>0</v>
      </c>
      <c r="T851" s="32" t="b">
        <v>0</v>
      </c>
      <c r="U851" s="32" t="b">
        <v>0</v>
      </c>
      <c r="V851" s="32" t="b">
        <v>0</v>
      </c>
      <c r="W851" s="34"/>
      <c r="X851" s="34"/>
      <c r="Y851" s="34"/>
      <c r="Z851" s="34"/>
    </row>
    <row r="852">
      <c r="A852" s="41">
        <v>8.0</v>
      </c>
      <c r="B852" s="22" t="s">
        <v>897</v>
      </c>
      <c r="C852" s="23" t="s">
        <v>898</v>
      </c>
      <c r="D852" s="35" t="s">
        <v>29</v>
      </c>
      <c r="E852" s="25" t="b">
        <v>0</v>
      </c>
      <c r="F852" s="25" t="b">
        <v>0</v>
      </c>
      <c r="G852" s="25" t="b">
        <v>0</v>
      </c>
      <c r="H852" s="25" t="b">
        <v>0</v>
      </c>
      <c r="I852" s="188" t="s">
        <v>47</v>
      </c>
      <c r="J852" s="188" t="s">
        <v>47</v>
      </c>
      <c r="K852" s="28" t="s">
        <v>47</v>
      </c>
      <c r="L852" s="231" t="s">
        <v>47</v>
      </c>
      <c r="M852" s="38" t="s">
        <v>47</v>
      </c>
      <c r="N852" s="31" t="b">
        <v>0</v>
      </c>
      <c r="O852" s="32" t="b">
        <v>0</v>
      </c>
      <c r="P852" s="32" t="b">
        <v>0</v>
      </c>
      <c r="Q852" s="32" t="b">
        <v>0</v>
      </c>
      <c r="R852" s="32" t="b">
        <v>0</v>
      </c>
      <c r="S852" s="32" t="b">
        <v>0</v>
      </c>
      <c r="T852" s="32" t="b">
        <v>0</v>
      </c>
      <c r="U852" s="32" t="b">
        <v>0</v>
      </c>
      <c r="V852" s="32" t="b">
        <v>0</v>
      </c>
      <c r="W852" s="34"/>
      <c r="X852" s="34"/>
      <c r="Y852" s="34"/>
      <c r="Z852" s="34"/>
    </row>
    <row r="853">
      <c r="A853" s="41">
        <v>9.0</v>
      </c>
      <c r="B853" s="22" t="s">
        <v>899</v>
      </c>
      <c r="C853" s="23" t="s">
        <v>900</v>
      </c>
      <c r="D853" s="35" t="s">
        <v>29</v>
      </c>
      <c r="E853" s="25" t="b">
        <v>0</v>
      </c>
      <c r="F853" s="25" t="b">
        <v>0</v>
      </c>
      <c r="G853" s="25" t="b">
        <v>0</v>
      </c>
      <c r="H853" s="25" t="b">
        <v>0</v>
      </c>
      <c r="I853" s="188" t="s">
        <v>47</v>
      </c>
      <c r="J853" s="188" t="s">
        <v>47</v>
      </c>
      <c r="K853" s="28" t="s">
        <v>47</v>
      </c>
      <c r="L853" s="231" t="s">
        <v>47</v>
      </c>
      <c r="M853" s="38" t="s">
        <v>47</v>
      </c>
      <c r="N853" s="31" t="b">
        <v>0</v>
      </c>
      <c r="O853" s="32" t="b">
        <v>0</v>
      </c>
      <c r="P853" s="32" t="b">
        <v>0</v>
      </c>
      <c r="Q853" s="32" t="b">
        <v>0</v>
      </c>
      <c r="R853" s="32" t="b">
        <v>0</v>
      </c>
      <c r="S853" s="32" t="b">
        <v>0</v>
      </c>
      <c r="T853" s="32" t="b">
        <v>0</v>
      </c>
      <c r="U853" s="32" t="b">
        <v>0</v>
      </c>
      <c r="V853" s="32" t="b">
        <v>0</v>
      </c>
      <c r="W853" s="34"/>
      <c r="X853" s="34"/>
      <c r="Y853" s="34"/>
      <c r="Z853" s="34"/>
    </row>
    <row r="854">
      <c r="A854" s="41">
        <v>10.0</v>
      </c>
      <c r="B854" s="22" t="s">
        <v>901</v>
      </c>
      <c r="C854" s="23" t="s">
        <v>902</v>
      </c>
      <c r="D854" s="35" t="s">
        <v>29</v>
      </c>
      <c r="E854" s="25" t="b">
        <v>0</v>
      </c>
      <c r="F854" s="25" t="b">
        <v>0</v>
      </c>
      <c r="G854" s="25" t="b">
        <v>0</v>
      </c>
      <c r="H854" s="25" t="b">
        <v>0</v>
      </c>
      <c r="I854" s="188" t="s">
        <v>47</v>
      </c>
      <c r="J854" s="188" t="s">
        <v>47</v>
      </c>
      <c r="K854" s="28" t="s">
        <v>47</v>
      </c>
      <c r="L854" s="231" t="s">
        <v>47</v>
      </c>
      <c r="M854" s="38" t="s">
        <v>47</v>
      </c>
      <c r="N854" s="31" t="b">
        <v>0</v>
      </c>
      <c r="O854" s="32" t="b">
        <v>0</v>
      </c>
      <c r="P854" s="32" t="b">
        <v>0</v>
      </c>
      <c r="Q854" s="32" t="b">
        <v>0</v>
      </c>
      <c r="R854" s="32" t="b">
        <v>0</v>
      </c>
      <c r="S854" s="32" t="b">
        <v>0</v>
      </c>
      <c r="T854" s="32" t="b">
        <v>0</v>
      </c>
      <c r="U854" s="32" t="b">
        <v>0</v>
      </c>
      <c r="V854" s="32" t="b">
        <v>0</v>
      </c>
      <c r="W854" s="34"/>
      <c r="X854" s="34"/>
      <c r="Y854" s="34"/>
      <c r="Z854" s="34"/>
    </row>
    <row r="855">
      <c r="A855" s="41">
        <v>11.0</v>
      </c>
      <c r="B855" s="22" t="s">
        <v>903</v>
      </c>
      <c r="C855" s="23" t="s">
        <v>904</v>
      </c>
      <c r="D855" s="35" t="s">
        <v>29</v>
      </c>
      <c r="E855" s="25" t="b">
        <v>0</v>
      </c>
      <c r="F855" s="25" t="b">
        <v>0</v>
      </c>
      <c r="G855" s="25" t="b">
        <v>0</v>
      </c>
      <c r="H855" s="25" t="b">
        <v>0</v>
      </c>
      <c r="I855" s="188" t="s">
        <v>47</v>
      </c>
      <c r="J855" s="188" t="s">
        <v>47</v>
      </c>
      <c r="K855" s="28" t="s">
        <v>47</v>
      </c>
      <c r="L855" s="231" t="s">
        <v>47</v>
      </c>
      <c r="M855" s="38" t="s">
        <v>47</v>
      </c>
      <c r="N855" s="31" t="b">
        <v>0</v>
      </c>
      <c r="O855" s="32" t="b">
        <v>0</v>
      </c>
      <c r="P855" s="32" t="b">
        <v>0</v>
      </c>
      <c r="Q855" s="32" t="b">
        <v>0</v>
      </c>
      <c r="R855" s="32" t="b">
        <v>0</v>
      </c>
      <c r="S855" s="32" t="b">
        <v>0</v>
      </c>
      <c r="T855" s="32" t="b">
        <v>0</v>
      </c>
      <c r="U855" s="32" t="b">
        <v>0</v>
      </c>
      <c r="V855" s="32" t="b">
        <v>0</v>
      </c>
      <c r="W855" s="34"/>
      <c r="X855" s="34"/>
      <c r="Y855" s="34"/>
      <c r="Z855" s="34"/>
    </row>
    <row r="856">
      <c r="A856" s="41">
        <v>12.0</v>
      </c>
      <c r="B856" s="22" t="s">
        <v>905</v>
      </c>
      <c r="C856" s="23" t="s">
        <v>906</v>
      </c>
      <c r="D856" s="35" t="s">
        <v>29</v>
      </c>
      <c r="E856" s="25" t="b">
        <v>0</v>
      </c>
      <c r="F856" s="25" t="b">
        <v>0</v>
      </c>
      <c r="G856" s="25" t="b">
        <v>0</v>
      </c>
      <c r="H856" s="25" t="b">
        <v>0</v>
      </c>
      <c r="I856" s="188" t="s">
        <v>47</v>
      </c>
      <c r="J856" s="188" t="s">
        <v>47</v>
      </c>
      <c r="K856" s="28" t="s">
        <v>47</v>
      </c>
      <c r="L856" s="231" t="s">
        <v>47</v>
      </c>
      <c r="M856" s="38" t="s">
        <v>47</v>
      </c>
      <c r="N856" s="31" t="b">
        <v>0</v>
      </c>
      <c r="O856" s="32" t="b">
        <v>0</v>
      </c>
      <c r="P856" s="32" t="b">
        <v>0</v>
      </c>
      <c r="Q856" s="32" t="b">
        <v>0</v>
      </c>
      <c r="R856" s="32" t="b">
        <v>0</v>
      </c>
      <c r="S856" s="32" t="b">
        <v>0</v>
      </c>
      <c r="T856" s="32" t="b">
        <v>0</v>
      </c>
      <c r="U856" s="32" t="b">
        <v>0</v>
      </c>
      <c r="V856" s="32" t="b">
        <v>0</v>
      </c>
      <c r="W856" s="34"/>
      <c r="X856" s="34"/>
      <c r="Y856" s="34"/>
      <c r="Z856" s="34"/>
    </row>
    <row r="857">
      <c r="A857" s="41">
        <v>13.0</v>
      </c>
      <c r="B857" s="22" t="s">
        <v>907</v>
      </c>
      <c r="C857" s="23" t="s">
        <v>908</v>
      </c>
      <c r="D857" s="35" t="s">
        <v>29</v>
      </c>
      <c r="E857" s="25" t="b">
        <v>0</v>
      </c>
      <c r="F857" s="25" t="b">
        <v>0</v>
      </c>
      <c r="G857" s="25" t="b">
        <v>0</v>
      </c>
      <c r="H857" s="25" t="b">
        <v>0</v>
      </c>
      <c r="I857" s="188" t="s">
        <v>47</v>
      </c>
      <c r="J857" s="188" t="s">
        <v>47</v>
      </c>
      <c r="K857" s="28" t="s">
        <v>47</v>
      </c>
      <c r="L857" s="231" t="s">
        <v>47</v>
      </c>
      <c r="M857" s="38" t="s">
        <v>47</v>
      </c>
      <c r="N857" s="31" t="b">
        <v>0</v>
      </c>
      <c r="O857" s="32" t="b">
        <v>0</v>
      </c>
      <c r="P857" s="32" t="b">
        <v>0</v>
      </c>
      <c r="Q857" s="32" t="b">
        <v>0</v>
      </c>
      <c r="R857" s="32" t="b">
        <v>0</v>
      </c>
      <c r="S857" s="32" t="b">
        <v>0</v>
      </c>
      <c r="T857" s="32" t="b">
        <v>0</v>
      </c>
      <c r="U857" s="32" t="b">
        <v>0</v>
      </c>
      <c r="V857" s="32" t="b">
        <v>0</v>
      </c>
      <c r="W857" s="34"/>
      <c r="X857" s="34"/>
      <c r="Y857" s="34"/>
      <c r="Z857" s="34"/>
    </row>
    <row r="858">
      <c r="A858" s="41">
        <v>14.0</v>
      </c>
      <c r="B858" s="22" t="s">
        <v>909</v>
      </c>
      <c r="C858" s="23" t="s">
        <v>910</v>
      </c>
      <c r="D858" s="35" t="s">
        <v>29</v>
      </c>
      <c r="E858" s="25" t="b">
        <v>0</v>
      </c>
      <c r="F858" s="25" t="b">
        <v>0</v>
      </c>
      <c r="G858" s="25" t="b">
        <v>0</v>
      </c>
      <c r="H858" s="25" t="b">
        <v>0</v>
      </c>
      <c r="I858" s="188" t="s">
        <v>47</v>
      </c>
      <c r="J858" s="188" t="s">
        <v>47</v>
      </c>
      <c r="K858" s="28" t="s">
        <v>47</v>
      </c>
      <c r="L858" s="231" t="s">
        <v>47</v>
      </c>
      <c r="M858" s="38" t="s">
        <v>47</v>
      </c>
      <c r="N858" s="31" t="b">
        <v>0</v>
      </c>
      <c r="O858" s="32" t="b">
        <v>0</v>
      </c>
      <c r="P858" s="32" t="b">
        <v>0</v>
      </c>
      <c r="Q858" s="32" t="b">
        <v>0</v>
      </c>
      <c r="R858" s="32" t="b">
        <v>0</v>
      </c>
      <c r="S858" s="32" t="b">
        <v>0</v>
      </c>
      <c r="T858" s="32" t="b">
        <v>0</v>
      </c>
      <c r="U858" s="32" t="b">
        <v>0</v>
      </c>
      <c r="V858" s="32" t="b">
        <v>0</v>
      </c>
      <c r="W858" s="34"/>
      <c r="X858" s="34"/>
      <c r="Y858" s="34"/>
      <c r="Z858" s="34"/>
    </row>
    <row r="859">
      <c r="A859" s="41">
        <v>15.0</v>
      </c>
      <c r="B859" s="22" t="s">
        <v>911</v>
      </c>
      <c r="C859" s="23" t="s">
        <v>912</v>
      </c>
      <c r="D859" s="35" t="s">
        <v>29</v>
      </c>
      <c r="E859" s="25" t="b">
        <v>0</v>
      </c>
      <c r="F859" s="25" t="b">
        <v>0</v>
      </c>
      <c r="G859" s="25" t="b">
        <v>0</v>
      </c>
      <c r="H859" s="25" t="b">
        <v>0</v>
      </c>
      <c r="I859" s="188" t="s">
        <v>47</v>
      </c>
      <c r="J859" s="188" t="s">
        <v>47</v>
      </c>
      <c r="K859" s="28" t="s">
        <v>47</v>
      </c>
      <c r="L859" s="231" t="s">
        <v>47</v>
      </c>
      <c r="M859" s="38" t="s">
        <v>47</v>
      </c>
      <c r="N859" s="31" t="b">
        <v>0</v>
      </c>
      <c r="O859" s="32" t="b">
        <v>0</v>
      </c>
      <c r="P859" s="32" t="b">
        <v>0</v>
      </c>
      <c r="Q859" s="32" t="b">
        <v>0</v>
      </c>
      <c r="R859" s="32" t="b">
        <v>0</v>
      </c>
      <c r="S859" s="32" t="b">
        <v>0</v>
      </c>
      <c r="T859" s="32" t="b">
        <v>0</v>
      </c>
      <c r="U859" s="32" t="b">
        <v>0</v>
      </c>
      <c r="V859" s="32" t="b">
        <v>0</v>
      </c>
      <c r="W859" s="34"/>
      <c r="X859" s="34"/>
      <c r="Y859" s="34"/>
      <c r="Z859" s="34"/>
    </row>
    <row r="860">
      <c r="A860" s="41">
        <v>16.0</v>
      </c>
      <c r="B860" s="22" t="s">
        <v>913</v>
      </c>
      <c r="C860" s="23" t="s">
        <v>914</v>
      </c>
      <c r="D860" s="35" t="s">
        <v>29</v>
      </c>
      <c r="E860" s="25" t="b">
        <v>0</v>
      </c>
      <c r="F860" s="25" t="b">
        <v>0</v>
      </c>
      <c r="G860" s="25" t="b">
        <v>0</v>
      </c>
      <c r="H860" s="25" t="b">
        <v>0</v>
      </c>
      <c r="I860" s="188" t="s">
        <v>47</v>
      </c>
      <c r="J860" s="188" t="s">
        <v>47</v>
      </c>
      <c r="K860" s="28" t="s">
        <v>47</v>
      </c>
      <c r="L860" s="231" t="s">
        <v>47</v>
      </c>
      <c r="M860" s="38" t="s">
        <v>47</v>
      </c>
      <c r="N860" s="31" t="b">
        <v>0</v>
      </c>
      <c r="O860" s="32" t="b">
        <v>0</v>
      </c>
      <c r="P860" s="32" t="b">
        <v>0</v>
      </c>
      <c r="Q860" s="32" t="b">
        <v>0</v>
      </c>
      <c r="R860" s="32" t="b">
        <v>0</v>
      </c>
      <c r="S860" s="32" t="b">
        <v>0</v>
      </c>
      <c r="T860" s="32" t="b">
        <v>0</v>
      </c>
      <c r="U860" s="32" t="b">
        <v>0</v>
      </c>
      <c r="V860" s="32" t="b">
        <v>0</v>
      </c>
      <c r="W860" s="34"/>
      <c r="X860" s="34"/>
      <c r="Y860" s="34"/>
      <c r="Z860" s="34"/>
    </row>
    <row r="861">
      <c r="A861" s="41">
        <v>17.0</v>
      </c>
      <c r="B861" s="22" t="s">
        <v>915</v>
      </c>
      <c r="C861" s="23" t="s">
        <v>916</v>
      </c>
      <c r="D861" s="35" t="s">
        <v>29</v>
      </c>
      <c r="E861" s="25" t="b">
        <v>0</v>
      </c>
      <c r="F861" s="25" t="b">
        <v>0</v>
      </c>
      <c r="G861" s="25" t="b">
        <v>0</v>
      </c>
      <c r="H861" s="25" t="b">
        <v>0</v>
      </c>
      <c r="I861" s="188" t="s">
        <v>47</v>
      </c>
      <c r="J861" s="188" t="s">
        <v>47</v>
      </c>
      <c r="K861" s="28" t="s">
        <v>47</v>
      </c>
      <c r="L861" s="231" t="s">
        <v>47</v>
      </c>
      <c r="M861" s="38" t="s">
        <v>47</v>
      </c>
      <c r="N861" s="31" t="b">
        <v>0</v>
      </c>
      <c r="O861" s="32" t="b">
        <v>0</v>
      </c>
      <c r="P861" s="32" t="b">
        <v>0</v>
      </c>
      <c r="Q861" s="32" t="b">
        <v>0</v>
      </c>
      <c r="R861" s="32" t="b">
        <v>0</v>
      </c>
      <c r="S861" s="32" t="b">
        <v>0</v>
      </c>
      <c r="T861" s="32" t="b">
        <v>0</v>
      </c>
      <c r="U861" s="32" t="b">
        <v>0</v>
      </c>
      <c r="V861" s="32" t="b">
        <v>0</v>
      </c>
      <c r="W861" s="34"/>
      <c r="X861" s="34"/>
      <c r="Y861" s="34"/>
      <c r="Z861" s="34"/>
    </row>
    <row r="862">
      <c r="A862" s="41">
        <v>18.0</v>
      </c>
      <c r="B862" s="22" t="s">
        <v>917</v>
      </c>
      <c r="C862" s="23" t="s">
        <v>918</v>
      </c>
      <c r="D862" s="35" t="s">
        <v>29</v>
      </c>
      <c r="E862" s="25" t="b">
        <v>0</v>
      </c>
      <c r="F862" s="25" t="b">
        <v>0</v>
      </c>
      <c r="G862" s="25" t="b">
        <v>0</v>
      </c>
      <c r="H862" s="25" t="b">
        <v>0</v>
      </c>
      <c r="I862" s="188" t="s">
        <v>47</v>
      </c>
      <c r="J862" s="188" t="s">
        <v>47</v>
      </c>
      <c r="K862" s="28" t="s">
        <v>47</v>
      </c>
      <c r="L862" s="231" t="s">
        <v>47</v>
      </c>
      <c r="M862" s="38" t="s">
        <v>47</v>
      </c>
      <c r="N862" s="31" t="b">
        <v>0</v>
      </c>
      <c r="O862" s="32" t="b">
        <v>0</v>
      </c>
      <c r="P862" s="32" t="b">
        <v>0</v>
      </c>
      <c r="Q862" s="32" t="b">
        <v>0</v>
      </c>
      <c r="R862" s="32" t="b">
        <v>0</v>
      </c>
      <c r="S862" s="32" t="b">
        <v>0</v>
      </c>
      <c r="T862" s="32" t="b">
        <v>0</v>
      </c>
      <c r="U862" s="32" t="b">
        <v>0</v>
      </c>
      <c r="V862" s="32" t="b">
        <v>0</v>
      </c>
      <c r="W862" s="34"/>
      <c r="X862" s="34"/>
      <c r="Y862" s="34"/>
      <c r="Z862" s="34"/>
    </row>
    <row r="863">
      <c r="A863" s="41">
        <v>19.0</v>
      </c>
      <c r="B863" s="22" t="s">
        <v>919</v>
      </c>
      <c r="C863" s="23" t="s">
        <v>920</v>
      </c>
      <c r="D863" s="35" t="s">
        <v>29</v>
      </c>
      <c r="E863" s="25" t="b">
        <v>0</v>
      </c>
      <c r="F863" s="25" t="b">
        <v>0</v>
      </c>
      <c r="G863" s="25" t="b">
        <v>0</v>
      </c>
      <c r="H863" s="25" t="b">
        <v>0</v>
      </c>
      <c r="I863" s="188" t="s">
        <v>47</v>
      </c>
      <c r="J863" s="188" t="s">
        <v>47</v>
      </c>
      <c r="K863" s="28" t="s">
        <v>47</v>
      </c>
      <c r="L863" s="231" t="s">
        <v>47</v>
      </c>
      <c r="M863" s="38" t="s">
        <v>47</v>
      </c>
      <c r="N863" s="31" t="b">
        <v>0</v>
      </c>
      <c r="O863" s="32" t="b">
        <v>0</v>
      </c>
      <c r="P863" s="32" t="b">
        <v>0</v>
      </c>
      <c r="Q863" s="32" t="b">
        <v>0</v>
      </c>
      <c r="R863" s="32" t="b">
        <v>0</v>
      </c>
      <c r="S863" s="32" t="b">
        <v>0</v>
      </c>
      <c r="T863" s="32" t="b">
        <v>0</v>
      </c>
      <c r="U863" s="32" t="b">
        <v>0</v>
      </c>
      <c r="V863" s="32" t="b">
        <v>0</v>
      </c>
      <c r="W863" s="34"/>
      <c r="X863" s="34"/>
      <c r="Y863" s="34"/>
      <c r="Z863" s="34"/>
    </row>
    <row r="864">
      <c r="A864" s="41">
        <v>20.0</v>
      </c>
      <c r="B864" s="22" t="s">
        <v>921</v>
      </c>
      <c r="C864" s="23" t="s">
        <v>922</v>
      </c>
      <c r="D864" s="35" t="s">
        <v>29</v>
      </c>
      <c r="E864" s="25" t="b">
        <v>0</v>
      </c>
      <c r="F864" s="25" t="b">
        <v>0</v>
      </c>
      <c r="G864" s="25" t="b">
        <v>0</v>
      </c>
      <c r="H864" s="25" t="b">
        <v>0</v>
      </c>
      <c r="I864" s="188" t="s">
        <v>47</v>
      </c>
      <c r="J864" s="188" t="s">
        <v>47</v>
      </c>
      <c r="K864" s="28" t="s">
        <v>47</v>
      </c>
      <c r="L864" s="231" t="s">
        <v>47</v>
      </c>
      <c r="M864" s="38" t="s">
        <v>47</v>
      </c>
      <c r="N864" s="31" t="b">
        <v>0</v>
      </c>
      <c r="O864" s="32" t="b">
        <v>0</v>
      </c>
      <c r="P864" s="32" t="b">
        <v>0</v>
      </c>
      <c r="Q864" s="32" t="b">
        <v>0</v>
      </c>
      <c r="R864" s="32" t="b">
        <v>0</v>
      </c>
      <c r="S864" s="32" t="b">
        <v>0</v>
      </c>
      <c r="T864" s="32" t="b">
        <v>0</v>
      </c>
      <c r="U864" s="32" t="b">
        <v>0</v>
      </c>
      <c r="V864" s="32" t="b">
        <v>0</v>
      </c>
      <c r="W864" s="34"/>
      <c r="X864" s="34"/>
      <c r="Y864" s="34"/>
      <c r="Z864" s="34"/>
    </row>
    <row r="865">
      <c r="A865" s="41">
        <v>21.0</v>
      </c>
      <c r="B865" s="22" t="s">
        <v>923</v>
      </c>
      <c r="C865" s="23" t="s">
        <v>924</v>
      </c>
      <c r="D865" s="35" t="s">
        <v>29</v>
      </c>
      <c r="E865" s="25" t="b">
        <v>0</v>
      </c>
      <c r="F865" s="25" t="b">
        <v>0</v>
      </c>
      <c r="G865" s="25" t="b">
        <v>0</v>
      </c>
      <c r="H865" s="25" t="b">
        <v>0</v>
      </c>
      <c r="I865" s="188" t="s">
        <v>47</v>
      </c>
      <c r="J865" s="188" t="s">
        <v>47</v>
      </c>
      <c r="K865" s="28" t="s">
        <v>47</v>
      </c>
      <c r="L865" s="231" t="s">
        <v>47</v>
      </c>
      <c r="M865" s="38" t="s">
        <v>47</v>
      </c>
      <c r="N865" s="31" t="b">
        <v>0</v>
      </c>
      <c r="O865" s="32" t="b">
        <v>0</v>
      </c>
      <c r="P865" s="32" t="b">
        <v>0</v>
      </c>
      <c r="Q865" s="32" t="b">
        <v>0</v>
      </c>
      <c r="R865" s="32" t="b">
        <v>0</v>
      </c>
      <c r="S865" s="32" t="b">
        <v>0</v>
      </c>
      <c r="T865" s="32" t="b">
        <v>0</v>
      </c>
      <c r="U865" s="32" t="b">
        <v>0</v>
      </c>
      <c r="V865" s="32" t="b">
        <v>0</v>
      </c>
      <c r="W865" s="34"/>
      <c r="X865" s="34"/>
      <c r="Y865" s="34"/>
      <c r="Z865" s="34"/>
    </row>
    <row r="866">
      <c r="A866" s="41">
        <v>22.0</v>
      </c>
      <c r="B866" s="22" t="s">
        <v>925</v>
      </c>
      <c r="C866" s="23" t="s">
        <v>926</v>
      </c>
      <c r="D866" s="35" t="s">
        <v>29</v>
      </c>
      <c r="E866" s="25" t="b">
        <v>0</v>
      </c>
      <c r="F866" s="25" t="b">
        <v>0</v>
      </c>
      <c r="G866" s="25" t="b">
        <v>0</v>
      </c>
      <c r="H866" s="25" t="b">
        <v>0</v>
      </c>
      <c r="I866" s="188" t="s">
        <v>47</v>
      </c>
      <c r="J866" s="188" t="s">
        <v>47</v>
      </c>
      <c r="K866" s="28" t="s">
        <v>47</v>
      </c>
      <c r="L866" s="231" t="s">
        <v>47</v>
      </c>
      <c r="M866" s="38" t="s">
        <v>47</v>
      </c>
      <c r="N866" s="31" t="b">
        <v>0</v>
      </c>
      <c r="O866" s="32" t="b">
        <v>0</v>
      </c>
      <c r="P866" s="32" t="b">
        <v>0</v>
      </c>
      <c r="Q866" s="32" t="b">
        <v>0</v>
      </c>
      <c r="R866" s="32" t="b">
        <v>0</v>
      </c>
      <c r="S866" s="32" t="b">
        <v>0</v>
      </c>
      <c r="T866" s="32" t="b">
        <v>0</v>
      </c>
      <c r="U866" s="32" t="b">
        <v>0</v>
      </c>
      <c r="V866" s="32" t="b">
        <v>0</v>
      </c>
      <c r="W866" s="34"/>
      <c r="X866" s="34"/>
      <c r="Y866" s="34"/>
      <c r="Z866" s="34"/>
    </row>
    <row r="867">
      <c r="A867" s="41">
        <v>23.0</v>
      </c>
      <c r="B867" s="22" t="s">
        <v>927</v>
      </c>
      <c r="C867" s="23" t="s">
        <v>928</v>
      </c>
      <c r="D867" s="35" t="s">
        <v>29</v>
      </c>
      <c r="E867" s="25" t="b">
        <v>0</v>
      </c>
      <c r="F867" s="25" t="b">
        <v>0</v>
      </c>
      <c r="G867" s="25" t="b">
        <v>0</v>
      </c>
      <c r="H867" s="25" t="b">
        <v>0</v>
      </c>
      <c r="I867" s="188" t="s">
        <v>47</v>
      </c>
      <c r="J867" s="188" t="s">
        <v>47</v>
      </c>
      <c r="K867" s="28" t="s">
        <v>47</v>
      </c>
      <c r="L867" s="231" t="s">
        <v>47</v>
      </c>
      <c r="M867" s="38" t="s">
        <v>47</v>
      </c>
      <c r="N867" s="31" t="b">
        <v>0</v>
      </c>
      <c r="O867" s="32" t="b">
        <v>0</v>
      </c>
      <c r="P867" s="32" t="b">
        <v>0</v>
      </c>
      <c r="Q867" s="32" t="b">
        <v>0</v>
      </c>
      <c r="R867" s="32" t="b">
        <v>0</v>
      </c>
      <c r="S867" s="32" t="b">
        <v>0</v>
      </c>
      <c r="T867" s="32" t="b">
        <v>0</v>
      </c>
      <c r="U867" s="32" t="b">
        <v>0</v>
      </c>
      <c r="V867" s="32" t="b">
        <v>0</v>
      </c>
      <c r="W867" s="34"/>
      <c r="X867" s="34"/>
      <c r="Y867" s="34"/>
      <c r="Z867" s="34"/>
    </row>
    <row r="868">
      <c r="A868" s="41">
        <v>24.0</v>
      </c>
      <c r="B868" s="22" t="s">
        <v>929</v>
      </c>
      <c r="C868" s="23" t="s">
        <v>930</v>
      </c>
      <c r="D868" s="35" t="s">
        <v>29</v>
      </c>
      <c r="E868" s="25" t="b">
        <v>0</v>
      </c>
      <c r="F868" s="25" t="b">
        <v>0</v>
      </c>
      <c r="G868" s="25" t="b">
        <v>0</v>
      </c>
      <c r="H868" s="25" t="b">
        <v>0</v>
      </c>
      <c r="I868" s="188" t="s">
        <v>47</v>
      </c>
      <c r="J868" s="188" t="s">
        <v>47</v>
      </c>
      <c r="K868" s="28" t="s">
        <v>47</v>
      </c>
      <c r="L868" s="231" t="s">
        <v>47</v>
      </c>
      <c r="M868" s="38" t="s">
        <v>47</v>
      </c>
      <c r="N868" s="31" t="b">
        <v>0</v>
      </c>
      <c r="O868" s="32" t="b">
        <v>0</v>
      </c>
      <c r="P868" s="32" t="b">
        <v>0</v>
      </c>
      <c r="Q868" s="32" t="b">
        <v>0</v>
      </c>
      <c r="R868" s="32" t="b">
        <v>0</v>
      </c>
      <c r="S868" s="32" t="b">
        <v>0</v>
      </c>
      <c r="T868" s="32" t="b">
        <v>0</v>
      </c>
      <c r="U868" s="32" t="b">
        <v>0</v>
      </c>
      <c r="V868" s="32" t="b">
        <v>0</v>
      </c>
      <c r="W868" s="34"/>
      <c r="X868" s="34"/>
      <c r="Y868" s="34"/>
      <c r="Z868" s="34"/>
    </row>
    <row r="869">
      <c r="A869" s="41">
        <v>25.0</v>
      </c>
      <c r="B869" s="22" t="s">
        <v>931</v>
      </c>
      <c r="C869" s="23" t="s">
        <v>932</v>
      </c>
      <c r="D869" s="35" t="s">
        <v>29</v>
      </c>
      <c r="E869" s="25" t="b">
        <v>0</v>
      </c>
      <c r="F869" s="25" t="b">
        <v>0</v>
      </c>
      <c r="G869" s="25" t="b">
        <v>0</v>
      </c>
      <c r="H869" s="25" t="b">
        <v>0</v>
      </c>
      <c r="I869" s="188" t="s">
        <v>47</v>
      </c>
      <c r="J869" s="188" t="s">
        <v>47</v>
      </c>
      <c r="K869" s="28" t="s">
        <v>47</v>
      </c>
      <c r="L869" s="231" t="s">
        <v>47</v>
      </c>
      <c r="M869" s="38" t="s">
        <v>47</v>
      </c>
      <c r="N869" s="31" t="b">
        <v>0</v>
      </c>
      <c r="O869" s="32" t="b">
        <v>0</v>
      </c>
      <c r="P869" s="32" t="b">
        <v>0</v>
      </c>
      <c r="Q869" s="32" t="b">
        <v>0</v>
      </c>
      <c r="R869" s="32" t="b">
        <v>0</v>
      </c>
      <c r="S869" s="32" t="b">
        <v>0</v>
      </c>
      <c r="T869" s="32" t="b">
        <v>0</v>
      </c>
      <c r="U869" s="32" t="b">
        <v>0</v>
      </c>
      <c r="V869" s="32" t="b">
        <v>0</v>
      </c>
      <c r="W869" s="34"/>
      <c r="X869" s="34"/>
      <c r="Y869" s="34"/>
      <c r="Z869" s="34"/>
    </row>
    <row r="870">
      <c r="A870" s="41">
        <v>26.0</v>
      </c>
      <c r="B870" s="22" t="s">
        <v>933</v>
      </c>
      <c r="C870" s="23" t="s">
        <v>934</v>
      </c>
      <c r="D870" s="35" t="s">
        <v>29</v>
      </c>
      <c r="E870" s="25" t="b">
        <v>0</v>
      </c>
      <c r="F870" s="25" t="b">
        <v>0</v>
      </c>
      <c r="G870" s="25" t="b">
        <v>0</v>
      </c>
      <c r="H870" s="25" t="b">
        <v>0</v>
      </c>
      <c r="I870" s="188" t="s">
        <v>47</v>
      </c>
      <c r="J870" s="188" t="s">
        <v>47</v>
      </c>
      <c r="K870" s="28" t="s">
        <v>47</v>
      </c>
      <c r="L870" s="231" t="s">
        <v>47</v>
      </c>
      <c r="M870" s="38" t="s">
        <v>47</v>
      </c>
      <c r="N870" s="31" t="b">
        <v>0</v>
      </c>
      <c r="O870" s="32" t="b">
        <v>0</v>
      </c>
      <c r="P870" s="32" t="b">
        <v>0</v>
      </c>
      <c r="Q870" s="32" t="b">
        <v>0</v>
      </c>
      <c r="R870" s="32" t="b">
        <v>0</v>
      </c>
      <c r="S870" s="32" t="b">
        <v>0</v>
      </c>
      <c r="T870" s="32" t="b">
        <v>0</v>
      </c>
      <c r="U870" s="32" t="b">
        <v>0</v>
      </c>
      <c r="V870" s="32" t="b">
        <v>0</v>
      </c>
      <c r="W870" s="34"/>
      <c r="X870" s="34"/>
      <c r="Y870" s="34"/>
      <c r="Z870" s="34"/>
    </row>
    <row r="871">
      <c r="A871" s="41">
        <v>27.0</v>
      </c>
      <c r="B871" s="22" t="s">
        <v>935</v>
      </c>
      <c r="C871" s="232" t="s">
        <v>936</v>
      </c>
      <c r="D871" s="24" t="s">
        <v>36</v>
      </c>
      <c r="E871" s="25" t="b">
        <v>0</v>
      </c>
      <c r="F871" s="25" t="b">
        <v>1</v>
      </c>
      <c r="G871" s="25" t="b">
        <v>0</v>
      </c>
      <c r="H871" s="25" t="b">
        <v>0</v>
      </c>
      <c r="I871" s="27">
        <v>42659.0</v>
      </c>
      <c r="J871" s="27">
        <v>42659.0</v>
      </c>
      <c r="K871" s="28">
        <v>12.0</v>
      </c>
      <c r="L871" s="29" t="s">
        <v>937</v>
      </c>
      <c r="M871" s="233" t="s">
        <v>38</v>
      </c>
      <c r="N871" s="32" t="b">
        <v>1</v>
      </c>
      <c r="O871" s="32" t="b">
        <v>0</v>
      </c>
      <c r="P871" s="32" t="b">
        <v>0</v>
      </c>
      <c r="Q871" s="32" t="b">
        <v>0</v>
      </c>
      <c r="R871" s="32" t="b">
        <v>0</v>
      </c>
      <c r="S871" s="32" t="b">
        <v>0</v>
      </c>
      <c r="T871" s="32" t="b">
        <v>1</v>
      </c>
      <c r="U871" s="32" t="b">
        <v>0</v>
      </c>
      <c r="V871" s="32" t="b">
        <v>1</v>
      </c>
      <c r="W871" s="33" t="s">
        <v>321</v>
      </c>
      <c r="X871" s="34"/>
      <c r="Y871" s="34"/>
      <c r="Z871" s="34"/>
    </row>
    <row r="872">
      <c r="A872" s="41">
        <v>28.0</v>
      </c>
      <c r="B872" s="22" t="s">
        <v>938</v>
      </c>
      <c r="C872" s="23" t="s">
        <v>939</v>
      </c>
      <c r="D872" s="35" t="s">
        <v>29</v>
      </c>
      <c r="E872" s="25" t="b">
        <v>0</v>
      </c>
      <c r="F872" s="25" t="b">
        <v>0</v>
      </c>
      <c r="G872" s="25" t="b">
        <v>0</v>
      </c>
      <c r="H872" s="25" t="b">
        <v>0</v>
      </c>
      <c r="I872" s="188" t="s">
        <v>47</v>
      </c>
      <c r="J872" s="188" t="s">
        <v>47</v>
      </c>
      <c r="K872" s="28" t="s">
        <v>47</v>
      </c>
      <c r="L872" s="231" t="s">
        <v>47</v>
      </c>
      <c r="M872" s="38" t="s">
        <v>47</v>
      </c>
      <c r="N872" s="31" t="b">
        <v>0</v>
      </c>
      <c r="O872" s="32" t="b">
        <v>0</v>
      </c>
      <c r="P872" s="32" t="b">
        <v>0</v>
      </c>
      <c r="Q872" s="32" t="b">
        <v>0</v>
      </c>
      <c r="R872" s="32" t="b">
        <v>0</v>
      </c>
      <c r="S872" s="32" t="b">
        <v>0</v>
      </c>
      <c r="T872" s="32" t="b">
        <v>0</v>
      </c>
      <c r="U872" s="32" t="b">
        <v>0</v>
      </c>
      <c r="V872" s="32" t="b">
        <v>0</v>
      </c>
      <c r="W872" s="34"/>
      <c r="X872" s="34"/>
      <c r="Y872" s="34"/>
      <c r="Z872" s="34"/>
    </row>
    <row r="873">
      <c r="A873" s="41">
        <v>29.0</v>
      </c>
      <c r="B873" s="22" t="s">
        <v>940</v>
      </c>
      <c r="C873" s="23" t="s">
        <v>941</v>
      </c>
      <c r="D873" s="35" t="s">
        <v>29</v>
      </c>
      <c r="E873" s="25" t="b">
        <v>0</v>
      </c>
      <c r="F873" s="25" t="b">
        <v>0</v>
      </c>
      <c r="G873" s="25" t="b">
        <v>0</v>
      </c>
      <c r="H873" s="25" t="b">
        <v>0</v>
      </c>
      <c r="I873" s="188" t="s">
        <v>47</v>
      </c>
      <c r="J873" s="188" t="s">
        <v>47</v>
      </c>
      <c r="K873" s="28" t="s">
        <v>47</v>
      </c>
      <c r="L873" s="231" t="s">
        <v>47</v>
      </c>
      <c r="M873" s="38" t="s">
        <v>47</v>
      </c>
      <c r="N873" s="31" t="b">
        <v>0</v>
      </c>
      <c r="O873" s="32" t="b">
        <v>0</v>
      </c>
      <c r="P873" s="32" t="b">
        <v>0</v>
      </c>
      <c r="Q873" s="32" t="b">
        <v>0</v>
      </c>
      <c r="R873" s="32" t="b">
        <v>0</v>
      </c>
      <c r="S873" s="32" t="b">
        <v>0</v>
      </c>
      <c r="T873" s="32" t="b">
        <v>0</v>
      </c>
      <c r="U873" s="32" t="b">
        <v>0</v>
      </c>
      <c r="V873" s="32" t="b">
        <v>0</v>
      </c>
      <c r="W873" s="34"/>
      <c r="X873" s="34"/>
      <c r="Y873" s="34"/>
      <c r="Z873" s="34"/>
    </row>
    <row r="874">
      <c r="A874" s="41">
        <v>30.0</v>
      </c>
      <c r="B874" s="22" t="s">
        <v>942</v>
      </c>
      <c r="C874" s="23" t="s">
        <v>943</v>
      </c>
      <c r="D874" s="35" t="s">
        <v>29</v>
      </c>
      <c r="E874" s="25" t="b">
        <v>0</v>
      </c>
      <c r="F874" s="25" t="b">
        <v>0</v>
      </c>
      <c r="G874" s="25" t="b">
        <v>0</v>
      </c>
      <c r="H874" s="25" t="b">
        <v>0</v>
      </c>
      <c r="I874" s="188" t="s">
        <v>47</v>
      </c>
      <c r="J874" s="188" t="s">
        <v>47</v>
      </c>
      <c r="K874" s="28" t="s">
        <v>47</v>
      </c>
      <c r="L874" s="231" t="s">
        <v>47</v>
      </c>
      <c r="M874" s="38" t="s">
        <v>47</v>
      </c>
      <c r="N874" s="31" t="b">
        <v>0</v>
      </c>
      <c r="O874" s="32" t="b">
        <v>0</v>
      </c>
      <c r="P874" s="32" t="b">
        <v>0</v>
      </c>
      <c r="Q874" s="32" t="b">
        <v>0</v>
      </c>
      <c r="R874" s="32" t="b">
        <v>0</v>
      </c>
      <c r="S874" s="32" t="b">
        <v>0</v>
      </c>
      <c r="T874" s="32" t="b">
        <v>0</v>
      </c>
      <c r="U874" s="32" t="b">
        <v>0</v>
      </c>
      <c r="V874" s="32" t="b">
        <v>0</v>
      </c>
      <c r="W874" s="34"/>
      <c r="X874" s="34"/>
      <c r="Y874" s="34"/>
      <c r="Z874" s="34"/>
    </row>
    <row r="875">
      <c r="A875" s="41">
        <v>31.0</v>
      </c>
      <c r="B875" s="22" t="s">
        <v>944</v>
      </c>
      <c r="C875" s="23" t="s">
        <v>945</v>
      </c>
      <c r="D875" s="35" t="s">
        <v>29</v>
      </c>
      <c r="E875" s="25" t="b">
        <v>0</v>
      </c>
      <c r="F875" s="25" t="b">
        <v>0</v>
      </c>
      <c r="G875" s="25" t="b">
        <v>0</v>
      </c>
      <c r="H875" s="25" t="b">
        <v>0</v>
      </c>
      <c r="I875" s="188" t="s">
        <v>47</v>
      </c>
      <c r="J875" s="188" t="s">
        <v>47</v>
      </c>
      <c r="K875" s="28" t="s">
        <v>47</v>
      </c>
      <c r="L875" s="231" t="s">
        <v>47</v>
      </c>
      <c r="M875" s="38" t="s">
        <v>47</v>
      </c>
      <c r="N875" s="31" t="b">
        <v>0</v>
      </c>
      <c r="O875" s="32" t="b">
        <v>0</v>
      </c>
      <c r="P875" s="32" t="b">
        <v>0</v>
      </c>
      <c r="Q875" s="32" t="b">
        <v>0</v>
      </c>
      <c r="R875" s="32" t="b">
        <v>0</v>
      </c>
      <c r="S875" s="32" t="b">
        <v>0</v>
      </c>
      <c r="T875" s="32" t="b">
        <v>0</v>
      </c>
      <c r="U875" s="32" t="b">
        <v>0</v>
      </c>
      <c r="V875" s="32" t="b">
        <v>0</v>
      </c>
      <c r="W875" s="34"/>
      <c r="X875" s="34"/>
      <c r="Y875" s="34"/>
      <c r="Z875" s="34"/>
    </row>
    <row r="876">
      <c r="A876" s="41">
        <v>32.0</v>
      </c>
      <c r="B876" s="22" t="s">
        <v>946</v>
      </c>
      <c r="C876" s="23" t="s">
        <v>947</v>
      </c>
      <c r="D876" s="35" t="s">
        <v>29</v>
      </c>
      <c r="E876" s="25" t="b">
        <v>0</v>
      </c>
      <c r="F876" s="25" t="b">
        <v>0</v>
      </c>
      <c r="G876" s="25" t="b">
        <v>0</v>
      </c>
      <c r="H876" s="25" t="b">
        <v>0</v>
      </c>
      <c r="I876" s="188" t="s">
        <v>47</v>
      </c>
      <c r="J876" s="188" t="s">
        <v>47</v>
      </c>
      <c r="K876" s="28" t="s">
        <v>47</v>
      </c>
      <c r="L876" s="231" t="s">
        <v>47</v>
      </c>
      <c r="M876" s="38" t="s">
        <v>47</v>
      </c>
      <c r="N876" s="31" t="b">
        <v>0</v>
      </c>
      <c r="O876" s="32" t="b">
        <v>0</v>
      </c>
      <c r="P876" s="32" t="b">
        <v>0</v>
      </c>
      <c r="Q876" s="32" t="b">
        <v>0</v>
      </c>
      <c r="R876" s="32" t="b">
        <v>0</v>
      </c>
      <c r="S876" s="32" t="b">
        <v>0</v>
      </c>
      <c r="T876" s="32" t="b">
        <v>0</v>
      </c>
      <c r="U876" s="32" t="b">
        <v>0</v>
      </c>
      <c r="V876" s="32" t="b">
        <v>0</v>
      </c>
      <c r="W876" s="34"/>
      <c r="X876" s="34"/>
      <c r="Y876" s="34"/>
      <c r="Z876" s="34"/>
    </row>
    <row r="877">
      <c r="A877" s="41">
        <v>33.0</v>
      </c>
      <c r="B877" s="22" t="s">
        <v>948</v>
      </c>
      <c r="C877" s="23" t="s">
        <v>949</v>
      </c>
      <c r="D877" s="35" t="s">
        <v>29</v>
      </c>
      <c r="E877" s="25" t="b">
        <v>0</v>
      </c>
      <c r="F877" s="25" t="b">
        <v>0</v>
      </c>
      <c r="G877" s="25" t="b">
        <v>0</v>
      </c>
      <c r="H877" s="25" t="b">
        <v>0</v>
      </c>
      <c r="I877" s="188" t="s">
        <v>47</v>
      </c>
      <c r="J877" s="188" t="s">
        <v>47</v>
      </c>
      <c r="K877" s="28" t="s">
        <v>47</v>
      </c>
      <c r="L877" s="231" t="s">
        <v>47</v>
      </c>
      <c r="M877" s="38" t="s">
        <v>47</v>
      </c>
      <c r="N877" s="31" t="b">
        <v>0</v>
      </c>
      <c r="O877" s="32" t="b">
        <v>0</v>
      </c>
      <c r="P877" s="32" t="b">
        <v>0</v>
      </c>
      <c r="Q877" s="32" t="b">
        <v>0</v>
      </c>
      <c r="R877" s="32" t="b">
        <v>0</v>
      </c>
      <c r="S877" s="32" t="b">
        <v>0</v>
      </c>
      <c r="T877" s="32" t="b">
        <v>0</v>
      </c>
      <c r="U877" s="32" t="b">
        <v>0</v>
      </c>
      <c r="V877" s="32" t="b">
        <v>0</v>
      </c>
      <c r="W877" s="34"/>
      <c r="X877" s="34"/>
      <c r="Y877" s="34"/>
      <c r="Z877" s="34"/>
    </row>
    <row r="878">
      <c r="A878" s="41">
        <v>34.0</v>
      </c>
      <c r="B878" s="22" t="s">
        <v>950</v>
      </c>
      <c r="C878" s="23" t="s">
        <v>951</v>
      </c>
      <c r="D878" s="35" t="s">
        <v>29</v>
      </c>
      <c r="E878" s="25" t="b">
        <v>0</v>
      </c>
      <c r="F878" s="25" t="b">
        <v>0</v>
      </c>
      <c r="G878" s="25" t="b">
        <v>0</v>
      </c>
      <c r="H878" s="25" t="b">
        <v>0</v>
      </c>
      <c r="I878" s="188" t="s">
        <v>47</v>
      </c>
      <c r="J878" s="188" t="s">
        <v>47</v>
      </c>
      <c r="K878" s="28" t="s">
        <v>47</v>
      </c>
      <c r="L878" s="231" t="s">
        <v>47</v>
      </c>
      <c r="M878" s="38" t="s">
        <v>47</v>
      </c>
      <c r="N878" s="31" t="b">
        <v>0</v>
      </c>
      <c r="O878" s="32" t="b">
        <v>0</v>
      </c>
      <c r="P878" s="32" t="b">
        <v>0</v>
      </c>
      <c r="Q878" s="32" t="b">
        <v>0</v>
      </c>
      <c r="R878" s="32" t="b">
        <v>0</v>
      </c>
      <c r="S878" s="32" t="b">
        <v>0</v>
      </c>
      <c r="T878" s="32" t="b">
        <v>0</v>
      </c>
      <c r="U878" s="32" t="b">
        <v>0</v>
      </c>
      <c r="V878" s="32" t="b">
        <v>0</v>
      </c>
      <c r="W878" s="34"/>
      <c r="X878" s="34"/>
      <c r="Y878" s="34"/>
      <c r="Z878" s="34"/>
    </row>
    <row r="879">
      <c r="A879" s="41">
        <v>35.0</v>
      </c>
      <c r="B879" s="22" t="s">
        <v>952</v>
      </c>
      <c r="C879" s="232" t="s">
        <v>953</v>
      </c>
      <c r="D879" s="18" t="s">
        <v>32</v>
      </c>
      <c r="E879" s="42" t="b">
        <v>0</v>
      </c>
      <c r="F879" s="42" t="b">
        <v>0</v>
      </c>
      <c r="G879" s="42" t="b">
        <v>0</v>
      </c>
      <c r="H879" s="43" t="b">
        <v>1</v>
      </c>
      <c r="I879" s="98">
        <v>45573.0</v>
      </c>
      <c r="J879" s="27" t="s">
        <v>58</v>
      </c>
      <c r="K879" s="28">
        <f>(updateDate!B$1-date(year(I879),month(I879),day(I879)+1))*24</f>
        <v>1992</v>
      </c>
      <c r="L879" s="100" t="s">
        <v>954</v>
      </c>
      <c r="M879" s="96" t="s">
        <v>38</v>
      </c>
      <c r="N879" s="132" t="b">
        <v>1</v>
      </c>
      <c r="O879" s="42" t="b">
        <v>0</v>
      </c>
      <c r="P879" s="42" t="b">
        <v>0</v>
      </c>
      <c r="Q879" s="42" t="b">
        <v>0</v>
      </c>
      <c r="R879" s="42" t="b">
        <v>0</v>
      </c>
      <c r="S879" s="42" t="b">
        <v>0</v>
      </c>
      <c r="T879" s="42" t="b">
        <v>0</v>
      </c>
      <c r="U879" s="42" t="b">
        <v>0</v>
      </c>
      <c r="V879" s="43" t="b">
        <v>1</v>
      </c>
      <c r="W879" s="61" t="s">
        <v>39</v>
      </c>
      <c r="X879" s="54"/>
      <c r="Y879" s="34"/>
      <c r="Z879" s="34"/>
    </row>
    <row r="880">
      <c r="E880" s="42" t="b">
        <v>0</v>
      </c>
      <c r="F880" s="42" t="b">
        <v>0</v>
      </c>
      <c r="G880" s="42" t="b">
        <v>1</v>
      </c>
      <c r="H880" s="42" t="b">
        <v>0</v>
      </c>
      <c r="I880" s="93">
        <v>45513.0</v>
      </c>
      <c r="J880" s="27" t="s">
        <v>58</v>
      </c>
      <c r="K880" s="28">
        <f>(updateDate!B$1-date(year(I880),month(I880),day(I880)+1))*24</f>
        <v>3432</v>
      </c>
      <c r="L880" s="234" t="s">
        <v>955</v>
      </c>
      <c r="M880" s="96" t="s">
        <v>38</v>
      </c>
      <c r="N880" s="48" t="b">
        <v>1</v>
      </c>
      <c r="O880" s="42" t="b">
        <v>0</v>
      </c>
      <c r="P880" s="42" t="b">
        <v>0</v>
      </c>
      <c r="Q880" s="42" t="b">
        <v>0</v>
      </c>
      <c r="R880" s="42" t="b">
        <v>0</v>
      </c>
      <c r="S880" s="42" t="b">
        <v>0</v>
      </c>
      <c r="T880" s="42" t="b">
        <v>0</v>
      </c>
      <c r="U880" s="42" t="b">
        <v>0</v>
      </c>
      <c r="V880" s="42" t="b">
        <v>1</v>
      </c>
      <c r="W880" s="33" t="s">
        <v>39</v>
      </c>
      <c r="X880" s="54"/>
      <c r="Y880" s="34"/>
      <c r="Z880" s="34"/>
    </row>
    <row r="881">
      <c r="E881" s="25" t="b">
        <v>0</v>
      </c>
      <c r="F881" s="25" t="b">
        <v>0</v>
      </c>
      <c r="G881" s="25" t="b">
        <v>1</v>
      </c>
      <c r="H881" s="25" t="b">
        <v>0</v>
      </c>
      <c r="I881" s="27">
        <v>44633.0</v>
      </c>
      <c r="J881" s="27" t="s">
        <v>58</v>
      </c>
      <c r="K881" s="28">
        <f>(updateDate!B$1-date(year(I881),month(I881),day(I881)+1))*24</f>
        <v>24552</v>
      </c>
      <c r="L881" s="29" t="s">
        <v>956</v>
      </c>
      <c r="M881" s="233" t="s">
        <v>38</v>
      </c>
      <c r="N881" s="25" t="b">
        <v>1</v>
      </c>
      <c r="O881" s="25" t="b">
        <v>0</v>
      </c>
      <c r="P881" s="25" t="b">
        <v>0</v>
      </c>
      <c r="Q881" s="25" t="b">
        <v>0</v>
      </c>
      <c r="R881" s="25" t="b">
        <v>1</v>
      </c>
      <c r="S881" s="25" t="b">
        <v>0</v>
      </c>
      <c r="T881" s="25" t="b">
        <v>0</v>
      </c>
      <c r="U881" s="25" t="b">
        <v>0</v>
      </c>
      <c r="V881" s="25" t="b">
        <v>0</v>
      </c>
      <c r="W881" s="33" t="s">
        <v>39</v>
      </c>
      <c r="X881" s="34"/>
      <c r="Y881" s="34"/>
      <c r="Z881" s="34"/>
    </row>
    <row r="882">
      <c r="E882" s="25" t="b">
        <v>0</v>
      </c>
      <c r="F882" s="25" t="b">
        <v>0</v>
      </c>
      <c r="G882" s="25" t="b">
        <v>1</v>
      </c>
      <c r="H882" s="25" t="b">
        <v>0</v>
      </c>
      <c r="I882" s="27">
        <v>44619.0</v>
      </c>
      <c r="J882" s="27" t="s">
        <v>58</v>
      </c>
      <c r="K882" s="28">
        <f>(updateDate!B$1-date(year(I882),month(I882),day(I882)+1))*24</f>
        <v>24888</v>
      </c>
      <c r="L882" s="29" t="s">
        <v>957</v>
      </c>
      <c r="M882" s="233" t="s">
        <v>38</v>
      </c>
      <c r="N882" s="25" t="b">
        <v>1</v>
      </c>
      <c r="O882" s="25" t="b">
        <v>1</v>
      </c>
      <c r="P882" s="25" t="b">
        <v>0</v>
      </c>
      <c r="Q882" s="25" t="b">
        <v>0</v>
      </c>
      <c r="R882" s="25" t="b">
        <v>0</v>
      </c>
      <c r="S882" s="25" t="b">
        <v>0</v>
      </c>
      <c r="T882" s="25" t="b">
        <v>0</v>
      </c>
      <c r="U882" s="25" t="b">
        <v>0</v>
      </c>
      <c r="V882" s="25" t="b">
        <v>0</v>
      </c>
      <c r="W882" s="33" t="s">
        <v>39</v>
      </c>
      <c r="X882" s="34"/>
      <c r="Y882" s="34"/>
      <c r="Z882" s="34"/>
    </row>
    <row r="883">
      <c r="E883" s="25" t="b">
        <v>0</v>
      </c>
      <c r="F883" s="25" t="b">
        <v>0</v>
      </c>
      <c r="G883" s="25" t="b">
        <v>1</v>
      </c>
      <c r="H883" s="25" t="b">
        <v>0</v>
      </c>
      <c r="I883" s="27">
        <v>44618.0</v>
      </c>
      <c r="J883" s="27" t="s">
        <v>58</v>
      </c>
      <c r="K883" s="28">
        <f>(updateDate!B$1-date(year(I883),month(I883),day(I883)+1))*24</f>
        <v>24912</v>
      </c>
      <c r="L883" s="29" t="s">
        <v>958</v>
      </c>
      <c r="M883" s="233" t="s">
        <v>38</v>
      </c>
      <c r="N883" s="25" t="b">
        <v>1</v>
      </c>
      <c r="O883" s="25" t="b">
        <v>0</v>
      </c>
      <c r="P883" s="25" t="b">
        <v>1</v>
      </c>
      <c r="Q883" s="25" t="b">
        <v>0</v>
      </c>
      <c r="R883" s="25" t="b">
        <v>0</v>
      </c>
      <c r="S883" s="25" t="b">
        <v>0</v>
      </c>
      <c r="T883" s="25" t="b">
        <v>0</v>
      </c>
      <c r="U883" s="25" t="b">
        <v>0</v>
      </c>
      <c r="V883" s="25" t="b">
        <v>0</v>
      </c>
      <c r="W883" s="33" t="s">
        <v>39</v>
      </c>
      <c r="X883" s="34"/>
      <c r="Y883" s="34"/>
      <c r="Z883" s="34"/>
    </row>
    <row r="884">
      <c r="E884" s="25" t="b">
        <v>1</v>
      </c>
      <c r="F884" s="25" t="b">
        <v>0</v>
      </c>
      <c r="G884" s="25" t="b">
        <v>0</v>
      </c>
      <c r="H884" s="25" t="b">
        <v>0</v>
      </c>
      <c r="I884" s="27">
        <v>44219.0</v>
      </c>
      <c r="J884" s="27">
        <v>44219.0</v>
      </c>
      <c r="K884" s="28">
        <v>6.0</v>
      </c>
      <c r="L884" s="29" t="s">
        <v>959</v>
      </c>
      <c r="M884" s="233" t="s">
        <v>960</v>
      </c>
      <c r="N884" s="25" t="b">
        <v>0</v>
      </c>
      <c r="O884" s="25" t="b">
        <v>0</v>
      </c>
      <c r="P884" s="25" t="b">
        <v>0</v>
      </c>
      <c r="Q884" s="25" t="b">
        <v>0</v>
      </c>
      <c r="R884" s="25" t="b">
        <v>0</v>
      </c>
      <c r="S884" s="25" t="b">
        <v>0</v>
      </c>
      <c r="T884" s="25" t="b">
        <v>0</v>
      </c>
      <c r="U884" s="25" t="b">
        <v>0</v>
      </c>
      <c r="V884" s="25" t="b">
        <v>0</v>
      </c>
      <c r="W884" s="33" t="s">
        <v>39</v>
      </c>
      <c r="X884" s="34"/>
      <c r="Y884" s="34"/>
      <c r="Z884" s="34"/>
    </row>
    <row r="885">
      <c r="E885" s="25" t="b">
        <v>1</v>
      </c>
      <c r="F885" s="25" t="b">
        <v>0</v>
      </c>
      <c r="G885" s="25" t="b">
        <v>0</v>
      </c>
      <c r="H885" s="25" t="b">
        <v>0</v>
      </c>
      <c r="I885" s="27">
        <v>43680.0</v>
      </c>
      <c r="J885" s="27">
        <v>43680.0</v>
      </c>
      <c r="K885" s="28">
        <v>3.0</v>
      </c>
      <c r="L885" s="29" t="s">
        <v>961</v>
      </c>
      <c r="M885" s="233" t="s">
        <v>962</v>
      </c>
      <c r="N885" s="25" t="b">
        <v>0</v>
      </c>
      <c r="O885" s="25" t="b">
        <v>0</v>
      </c>
      <c r="P885" s="25" t="b">
        <v>0</v>
      </c>
      <c r="Q885" s="25" t="b">
        <v>0</v>
      </c>
      <c r="R885" s="25" t="b">
        <v>0</v>
      </c>
      <c r="S885" s="25" t="b">
        <v>0</v>
      </c>
      <c r="T885" s="25" t="b">
        <v>0</v>
      </c>
      <c r="U885" s="25" t="b">
        <v>0</v>
      </c>
      <c r="V885" s="25" t="b">
        <v>0</v>
      </c>
      <c r="W885" s="33" t="s">
        <v>39</v>
      </c>
      <c r="X885" s="33" t="s">
        <v>963</v>
      </c>
      <c r="Y885" s="33" t="s">
        <v>73</v>
      </c>
      <c r="Z885" s="33"/>
    </row>
    <row r="886">
      <c r="E886" s="25" t="b">
        <v>1</v>
      </c>
      <c r="F886" s="25" t="b">
        <v>0</v>
      </c>
      <c r="G886" s="25" t="b">
        <v>0</v>
      </c>
      <c r="H886" s="25" t="b">
        <v>0</v>
      </c>
      <c r="I886" s="27">
        <v>43550.0</v>
      </c>
      <c r="J886" s="27">
        <v>43556.0</v>
      </c>
      <c r="K886" s="28">
        <v>144.0</v>
      </c>
      <c r="L886" s="29" t="s">
        <v>964</v>
      </c>
      <c r="M886" s="233" t="s">
        <v>965</v>
      </c>
      <c r="N886" s="25" t="b">
        <v>0</v>
      </c>
      <c r="O886" s="25" t="b">
        <v>0</v>
      </c>
      <c r="P886" s="25" t="b">
        <v>0</v>
      </c>
      <c r="Q886" s="25" t="b">
        <v>0</v>
      </c>
      <c r="R886" s="25" t="b">
        <v>0</v>
      </c>
      <c r="S886" s="25" t="b">
        <v>0</v>
      </c>
      <c r="T886" s="25" t="b">
        <v>0</v>
      </c>
      <c r="U886" s="25" t="b">
        <v>0</v>
      </c>
      <c r="V886" s="25" t="b">
        <v>0</v>
      </c>
      <c r="W886" s="33" t="s">
        <v>966</v>
      </c>
      <c r="X886" s="34"/>
      <c r="Y886" s="34"/>
      <c r="Z886" s="34"/>
    </row>
    <row r="887">
      <c r="E887" s="25" t="b">
        <v>1</v>
      </c>
      <c r="F887" s="25" t="b">
        <v>0</v>
      </c>
      <c r="G887" s="25" t="b">
        <v>0</v>
      </c>
      <c r="H887" s="25" t="b">
        <v>0</v>
      </c>
      <c r="I887" s="27">
        <v>43377.0</v>
      </c>
      <c r="J887" s="27">
        <v>43390.0</v>
      </c>
      <c r="K887" s="28">
        <v>312.0</v>
      </c>
      <c r="L887" s="29" t="s">
        <v>967</v>
      </c>
      <c r="M887" s="233" t="s">
        <v>965</v>
      </c>
      <c r="N887" s="25" t="b">
        <v>0</v>
      </c>
      <c r="O887" s="25" t="b">
        <v>0</v>
      </c>
      <c r="P887" s="25" t="b">
        <v>0</v>
      </c>
      <c r="Q887" s="25" t="b">
        <v>0</v>
      </c>
      <c r="R887" s="25" t="b">
        <v>0</v>
      </c>
      <c r="S887" s="25" t="b">
        <v>0</v>
      </c>
      <c r="T887" s="25" t="b">
        <v>0</v>
      </c>
      <c r="U887" s="25" t="b">
        <v>0</v>
      </c>
      <c r="V887" s="25" t="b">
        <v>0</v>
      </c>
      <c r="W887" s="33" t="s">
        <v>968</v>
      </c>
      <c r="X887" s="34"/>
      <c r="Y887" s="34"/>
      <c r="Z887" s="34"/>
    </row>
    <row r="888">
      <c r="E888" s="25" t="b">
        <v>0</v>
      </c>
      <c r="F888" s="25" t="b">
        <v>0</v>
      </c>
      <c r="G888" s="25" t="b">
        <v>0</v>
      </c>
      <c r="H888" s="25" t="b">
        <v>1</v>
      </c>
      <c r="I888" s="27">
        <v>43203.0</v>
      </c>
      <c r="J888" s="27">
        <v>44000.0</v>
      </c>
      <c r="K888" s="28">
        <v>19128.0</v>
      </c>
      <c r="L888" s="29" t="s">
        <v>969</v>
      </c>
      <c r="M888" s="233" t="s">
        <v>38</v>
      </c>
      <c r="N888" s="25" t="b">
        <v>1</v>
      </c>
      <c r="O888" s="25" t="b">
        <v>0</v>
      </c>
      <c r="P888" s="25" t="b">
        <v>0</v>
      </c>
      <c r="Q888" s="25" t="b">
        <v>0</v>
      </c>
      <c r="R888" s="25" t="b">
        <v>0</v>
      </c>
      <c r="S888" s="25" t="b">
        <v>1</v>
      </c>
      <c r="T888" s="25" t="b">
        <v>0</v>
      </c>
      <c r="U888" s="25" t="b">
        <v>0</v>
      </c>
      <c r="V888" s="25" t="b">
        <v>0</v>
      </c>
      <c r="W888" s="33" t="s">
        <v>499</v>
      </c>
      <c r="X888" s="33" t="s">
        <v>98</v>
      </c>
      <c r="Y888" s="34"/>
      <c r="Z888" s="34"/>
    </row>
    <row r="889">
      <c r="E889" s="25" t="b">
        <v>0</v>
      </c>
      <c r="F889" s="25" t="b">
        <v>0</v>
      </c>
      <c r="G889" s="25" t="b">
        <v>0</v>
      </c>
      <c r="H889" s="25" t="b">
        <v>1</v>
      </c>
      <c r="I889" s="27">
        <v>42691.0</v>
      </c>
      <c r="J889" s="27" t="s">
        <v>58</v>
      </c>
      <c r="K889" s="28">
        <f>(updateDate!B$1-date(year(I889),month(I889),day(I889)+1))*24</f>
        <v>71160</v>
      </c>
      <c r="L889" s="29" t="s">
        <v>970</v>
      </c>
      <c r="M889" s="233" t="s">
        <v>38</v>
      </c>
      <c r="N889" s="25" t="b">
        <v>1</v>
      </c>
      <c r="O889" s="25" t="b">
        <v>0</v>
      </c>
      <c r="P889" s="25" t="b">
        <v>0</v>
      </c>
      <c r="Q889" s="25" t="b">
        <v>0</v>
      </c>
      <c r="R889" s="25" t="b">
        <v>0</v>
      </c>
      <c r="S889" s="25" t="b">
        <v>0</v>
      </c>
      <c r="T889" s="25" t="b">
        <v>0</v>
      </c>
      <c r="U889" s="25" t="b">
        <v>1</v>
      </c>
      <c r="V889" s="25" t="b">
        <v>0</v>
      </c>
      <c r="W889" s="33" t="s">
        <v>396</v>
      </c>
      <c r="X889" s="34"/>
      <c r="Y889" s="34"/>
      <c r="Z889" s="34"/>
    </row>
    <row r="890">
      <c r="A890" s="41">
        <v>36.0</v>
      </c>
      <c r="B890" s="22" t="s">
        <v>971</v>
      </c>
      <c r="C890" s="23" t="s">
        <v>972</v>
      </c>
      <c r="D890" s="35" t="s">
        <v>29</v>
      </c>
      <c r="E890" s="25" t="b">
        <v>0</v>
      </c>
      <c r="F890" s="25" t="b">
        <v>0</v>
      </c>
      <c r="G890" s="25" t="b">
        <v>0</v>
      </c>
      <c r="H890" s="25" t="b">
        <v>0</v>
      </c>
      <c r="I890" s="188" t="s">
        <v>47</v>
      </c>
      <c r="J890" s="188" t="s">
        <v>47</v>
      </c>
      <c r="K890" s="28" t="s">
        <v>47</v>
      </c>
      <c r="L890" s="231" t="s">
        <v>47</v>
      </c>
      <c r="M890" s="38" t="s">
        <v>47</v>
      </c>
      <c r="N890" s="31" t="b">
        <v>0</v>
      </c>
      <c r="O890" s="32" t="b">
        <v>0</v>
      </c>
      <c r="P890" s="32" t="b">
        <v>0</v>
      </c>
      <c r="Q890" s="32" t="b">
        <v>0</v>
      </c>
      <c r="R890" s="32" t="b">
        <v>0</v>
      </c>
      <c r="S890" s="32" t="b">
        <v>0</v>
      </c>
      <c r="T890" s="32" t="b">
        <v>0</v>
      </c>
      <c r="U890" s="32" t="b">
        <v>0</v>
      </c>
      <c r="V890" s="32" t="b">
        <v>0</v>
      </c>
      <c r="W890" s="34"/>
      <c r="X890" s="34"/>
      <c r="Y890" s="34"/>
      <c r="Z890" s="34"/>
    </row>
    <row r="891">
      <c r="A891" s="41">
        <v>37.0</v>
      </c>
      <c r="B891" s="22" t="s">
        <v>973</v>
      </c>
      <c r="C891" s="23" t="s">
        <v>974</v>
      </c>
      <c r="D891" s="35" t="s">
        <v>29</v>
      </c>
      <c r="E891" s="25" t="b">
        <v>0</v>
      </c>
      <c r="F891" s="25" t="b">
        <v>0</v>
      </c>
      <c r="G891" s="25" t="b">
        <v>0</v>
      </c>
      <c r="H891" s="25" t="b">
        <v>0</v>
      </c>
      <c r="I891" s="188" t="s">
        <v>47</v>
      </c>
      <c r="J891" s="188" t="s">
        <v>47</v>
      </c>
      <c r="K891" s="28" t="s">
        <v>47</v>
      </c>
      <c r="L891" s="231" t="s">
        <v>47</v>
      </c>
      <c r="M891" s="38" t="s">
        <v>47</v>
      </c>
      <c r="N891" s="31" t="b">
        <v>0</v>
      </c>
      <c r="O891" s="32" t="b">
        <v>0</v>
      </c>
      <c r="P891" s="32" t="b">
        <v>0</v>
      </c>
      <c r="Q891" s="32" t="b">
        <v>0</v>
      </c>
      <c r="R891" s="32" t="b">
        <v>0</v>
      </c>
      <c r="S891" s="32" t="b">
        <v>0</v>
      </c>
      <c r="T891" s="32" t="b">
        <v>0</v>
      </c>
      <c r="U891" s="32" t="b">
        <v>0</v>
      </c>
      <c r="V891" s="32" t="b">
        <v>0</v>
      </c>
      <c r="W891" s="34"/>
      <c r="X891" s="34"/>
      <c r="Y891" s="34"/>
      <c r="Z891" s="34"/>
    </row>
    <row r="892">
      <c r="A892" s="41">
        <v>38.0</v>
      </c>
      <c r="B892" s="22" t="s">
        <v>975</v>
      </c>
      <c r="C892" s="23" t="s">
        <v>976</v>
      </c>
      <c r="D892" s="35" t="s">
        <v>29</v>
      </c>
      <c r="E892" s="25" t="b">
        <v>0</v>
      </c>
      <c r="F892" s="25" t="b">
        <v>0</v>
      </c>
      <c r="G892" s="25" t="b">
        <v>0</v>
      </c>
      <c r="H892" s="25" t="b">
        <v>0</v>
      </c>
      <c r="I892" s="188" t="s">
        <v>47</v>
      </c>
      <c r="J892" s="188" t="s">
        <v>47</v>
      </c>
      <c r="K892" s="28" t="s">
        <v>47</v>
      </c>
      <c r="L892" s="231" t="s">
        <v>47</v>
      </c>
      <c r="M892" s="38" t="s">
        <v>47</v>
      </c>
      <c r="N892" s="31" t="b">
        <v>0</v>
      </c>
      <c r="O892" s="32" t="b">
        <v>0</v>
      </c>
      <c r="P892" s="32" t="b">
        <v>0</v>
      </c>
      <c r="Q892" s="32" t="b">
        <v>0</v>
      </c>
      <c r="R892" s="32" t="b">
        <v>0</v>
      </c>
      <c r="S892" s="32" t="b">
        <v>0</v>
      </c>
      <c r="T892" s="32" t="b">
        <v>0</v>
      </c>
      <c r="U892" s="32" t="b">
        <v>0</v>
      </c>
      <c r="V892" s="32" t="b">
        <v>0</v>
      </c>
      <c r="W892" s="34"/>
      <c r="X892" s="34"/>
      <c r="Y892" s="34"/>
      <c r="Z892" s="34"/>
    </row>
    <row r="893">
      <c r="A893" s="41">
        <v>39.0</v>
      </c>
      <c r="B893" s="22" t="s">
        <v>977</v>
      </c>
      <c r="C893" s="23" t="s">
        <v>978</v>
      </c>
      <c r="D893" s="35" t="s">
        <v>29</v>
      </c>
      <c r="E893" s="25" t="b">
        <v>0</v>
      </c>
      <c r="F893" s="25" t="b">
        <v>0</v>
      </c>
      <c r="G893" s="25" t="b">
        <v>0</v>
      </c>
      <c r="H893" s="25" t="b">
        <v>0</v>
      </c>
      <c r="I893" s="188" t="s">
        <v>47</v>
      </c>
      <c r="J893" s="188" t="s">
        <v>47</v>
      </c>
      <c r="K893" s="28" t="s">
        <v>47</v>
      </c>
      <c r="L893" s="231" t="s">
        <v>47</v>
      </c>
      <c r="M893" s="38" t="s">
        <v>47</v>
      </c>
      <c r="N893" s="31" t="b">
        <v>0</v>
      </c>
      <c r="O893" s="32" t="b">
        <v>0</v>
      </c>
      <c r="P893" s="32" t="b">
        <v>0</v>
      </c>
      <c r="Q893" s="32" t="b">
        <v>0</v>
      </c>
      <c r="R893" s="32" t="b">
        <v>0</v>
      </c>
      <c r="S893" s="32" t="b">
        <v>0</v>
      </c>
      <c r="T893" s="32" t="b">
        <v>0</v>
      </c>
      <c r="U893" s="32" t="b">
        <v>0</v>
      </c>
      <c r="V893" s="32" t="b">
        <v>0</v>
      </c>
      <c r="W893" s="34"/>
      <c r="X893" s="34"/>
      <c r="Y893" s="34"/>
      <c r="Z893" s="34"/>
    </row>
    <row r="894">
      <c r="A894" s="41">
        <v>40.0</v>
      </c>
      <c r="B894" s="22" t="s">
        <v>979</v>
      </c>
      <c r="C894" s="23" t="s">
        <v>980</v>
      </c>
      <c r="D894" s="35" t="s">
        <v>29</v>
      </c>
      <c r="E894" s="25" t="b">
        <v>0</v>
      </c>
      <c r="F894" s="25" t="b">
        <v>0</v>
      </c>
      <c r="G894" s="25" t="b">
        <v>0</v>
      </c>
      <c r="H894" s="25" t="b">
        <v>0</v>
      </c>
      <c r="I894" s="188" t="s">
        <v>47</v>
      </c>
      <c r="J894" s="188" t="s">
        <v>47</v>
      </c>
      <c r="K894" s="28" t="s">
        <v>47</v>
      </c>
      <c r="L894" s="231" t="s">
        <v>47</v>
      </c>
      <c r="M894" s="38" t="s">
        <v>47</v>
      </c>
      <c r="N894" s="31" t="b">
        <v>0</v>
      </c>
      <c r="O894" s="32" t="b">
        <v>0</v>
      </c>
      <c r="P894" s="32" t="b">
        <v>0</v>
      </c>
      <c r="Q894" s="32" t="b">
        <v>0</v>
      </c>
      <c r="R894" s="32" t="b">
        <v>0</v>
      </c>
      <c r="S894" s="32" t="b">
        <v>0</v>
      </c>
      <c r="T894" s="32" t="b">
        <v>0</v>
      </c>
      <c r="U894" s="32" t="b">
        <v>0</v>
      </c>
      <c r="V894" s="32" t="b">
        <v>0</v>
      </c>
      <c r="W894" s="34"/>
      <c r="X894" s="34"/>
      <c r="Y894" s="34"/>
      <c r="Z894" s="34"/>
    </row>
    <row r="895">
      <c r="A895" s="41">
        <v>41.0</v>
      </c>
      <c r="B895" s="22" t="s">
        <v>981</v>
      </c>
      <c r="C895" s="23" t="s">
        <v>982</v>
      </c>
      <c r="D895" s="35" t="s">
        <v>29</v>
      </c>
      <c r="E895" s="25" t="b">
        <v>0</v>
      </c>
      <c r="F895" s="25" t="b">
        <v>0</v>
      </c>
      <c r="G895" s="25" t="b">
        <v>0</v>
      </c>
      <c r="H895" s="25" t="b">
        <v>0</v>
      </c>
      <c r="I895" s="188" t="s">
        <v>47</v>
      </c>
      <c r="J895" s="188" t="s">
        <v>47</v>
      </c>
      <c r="K895" s="28" t="s">
        <v>47</v>
      </c>
      <c r="L895" s="231" t="s">
        <v>47</v>
      </c>
      <c r="M895" s="38" t="s">
        <v>47</v>
      </c>
      <c r="N895" s="31" t="b">
        <v>0</v>
      </c>
      <c r="O895" s="32" t="b">
        <v>0</v>
      </c>
      <c r="P895" s="32" t="b">
        <v>0</v>
      </c>
      <c r="Q895" s="32" t="b">
        <v>0</v>
      </c>
      <c r="R895" s="32" t="b">
        <v>0</v>
      </c>
      <c r="S895" s="32" t="b">
        <v>0</v>
      </c>
      <c r="T895" s="32" t="b">
        <v>0</v>
      </c>
      <c r="U895" s="32" t="b">
        <v>0</v>
      </c>
      <c r="V895" s="32" t="b">
        <v>0</v>
      </c>
      <c r="W895" s="34"/>
      <c r="X895" s="34"/>
      <c r="Y895" s="34"/>
      <c r="Z895" s="34"/>
    </row>
    <row r="896">
      <c r="A896" s="41">
        <v>42.0</v>
      </c>
      <c r="B896" s="22" t="s">
        <v>983</v>
      </c>
      <c r="C896" s="23" t="s">
        <v>984</v>
      </c>
      <c r="D896" s="35" t="s">
        <v>29</v>
      </c>
      <c r="E896" s="25" t="b">
        <v>0</v>
      </c>
      <c r="F896" s="25" t="b">
        <v>0</v>
      </c>
      <c r="G896" s="25" t="b">
        <v>0</v>
      </c>
      <c r="H896" s="25" t="b">
        <v>0</v>
      </c>
      <c r="I896" s="188" t="s">
        <v>47</v>
      </c>
      <c r="J896" s="188" t="s">
        <v>47</v>
      </c>
      <c r="K896" s="28" t="s">
        <v>47</v>
      </c>
      <c r="L896" s="231" t="s">
        <v>47</v>
      </c>
      <c r="M896" s="38" t="s">
        <v>47</v>
      </c>
      <c r="N896" s="31" t="b">
        <v>0</v>
      </c>
      <c r="O896" s="32" t="b">
        <v>0</v>
      </c>
      <c r="P896" s="32" t="b">
        <v>0</v>
      </c>
      <c r="Q896" s="32" t="b">
        <v>0</v>
      </c>
      <c r="R896" s="32" t="b">
        <v>0</v>
      </c>
      <c r="S896" s="32" t="b">
        <v>0</v>
      </c>
      <c r="T896" s="32" t="b">
        <v>0</v>
      </c>
      <c r="U896" s="32" t="b">
        <v>0</v>
      </c>
      <c r="V896" s="32" t="b">
        <v>0</v>
      </c>
      <c r="W896" s="34"/>
      <c r="X896" s="34"/>
      <c r="Y896" s="34"/>
      <c r="Z896" s="34"/>
    </row>
    <row r="897">
      <c r="A897" s="41">
        <v>43.0</v>
      </c>
      <c r="B897" s="22" t="s">
        <v>985</v>
      </c>
      <c r="C897" s="232" t="s">
        <v>986</v>
      </c>
      <c r="D897" s="17" t="s">
        <v>987</v>
      </c>
      <c r="E897" s="25" t="b">
        <v>0</v>
      </c>
      <c r="F897" s="25" t="b">
        <v>0</v>
      </c>
      <c r="G897" s="25" t="b">
        <v>1</v>
      </c>
      <c r="H897" s="25" t="b">
        <v>0</v>
      </c>
      <c r="I897" s="27">
        <v>42856.0</v>
      </c>
      <c r="J897" s="27" t="s">
        <v>58</v>
      </c>
      <c r="K897" s="28">
        <f>(updateDate!B$1-date(year(I897),month(I897),day(I897)+1))*24</f>
        <v>67200</v>
      </c>
      <c r="L897" s="138" t="s">
        <v>988</v>
      </c>
      <c r="M897" s="30" t="s">
        <v>38</v>
      </c>
      <c r="N897" s="31" t="b">
        <v>1</v>
      </c>
      <c r="O897" s="32" t="b">
        <v>0</v>
      </c>
      <c r="P897" s="32" t="b">
        <v>0</v>
      </c>
      <c r="Q897" s="32" t="b">
        <v>0</v>
      </c>
      <c r="R897" s="32" t="b">
        <v>0</v>
      </c>
      <c r="S897" s="32" t="b">
        <v>0</v>
      </c>
      <c r="T897" s="32" t="b">
        <v>0</v>
      </c>
      <c r="U897" s="32" t="b">
        <v>1</v>
      </c>
      <c r="V897" s="63" t="b">
        <v>1</v>
      </c>
      <c r="W897" s="33" t="s">
        <v>989</v>
      </c>
      <c r="X897" s="34"/>
      <c r="Y897" s="34"/>
      <c r="Z897" s="34"/>
    </row>
    <row r="898">
      <c r="A898" s="41">
        <v>44.0</v>
      </c>
      <c r="B898" s="22" t="s">
        <v>990</v>
      </c>
      <c r="C898" s="23" t="s">
        <v>991</v>
      </c>
      <c r="D898" s="35" t="s">
        <v>29</v>
      </c>
      <c r="E898" s="25" t="b">
        <v>0</v>
      </c>
      <c r="F898" s="25" t="b">
        <v>0</v>
      </c>
      <c r="G898" s="25" t="b">
        <v>0</v>
      </c>
      <c r="H898" s="25" t="b">
        <v>0</v>
      </c>
      <c r="I898" s="188" t="s">
        <v>47</v>
      </c>
      <c r="J898" s="188" t="s">
        <v>47</v>
      </c>
      <c r="K898" s="28" t="s">
        <v>47</v>
      </c>
      <c r="L898" s="231" t="s">
        <v>47</v>
      </c>
      <c r="M898" s="38" t="s">
        <v>47</v>
      </c>
      <c r="N898" s="31" t="b">
        <v>0</v>
      </c>
      <c r="O898" s="32" t="b">
        <v>0</v>
      </c>
      <c r="P898" s="32" t="b">
        <v>0</v>
      </c>
      <c r="Q898" s="32" t="b">
        <v>0</v>
      </c>
      <c r="R898" s="32" t="b">
        <v>0</v>
      </c>
      <c r="S898" s="32" t="b">
        <v>0</v>
      </c>
      <c r="T898" s="32" t="b">
        <v>0</v>
      </c>
      <c r="U898" s="32" t="b">
        <v>0</v>
      </c>
      <c r="V898" s="32" t="b">
        <v>0</v>
      </c>
      <c r="W898" s="34"/>
      <c r="X898" s="34"/>
      <c r="Y898" s="34"/>
      <c r="Z898" s="34"/>
    </row>
    <row r="899">
      <c r="A899" s="229"/>
      <c r="B899" s="230" t="s">
        <v>872</v>
      </c>
      <c r="D899" s="230">
        <f>A898- COUNTIF(D842:D898,"No evidence")</f>
        <v>4</v>
      </c>
      <c r="E899" s="235">
        <f t="shared" ref="E899:H899" si="3">COUNTIF(E842:E898,"TRUE")</f>
        <v>6</v>
      </c>
      <c r="F899" s="235">
        <f t="shared" si="3"/>
        <v>3</v>
      </c>
      <c r="G899" s="235">
        <f t="shared" si="3"/>
        <v>5</v>
      </c>
      <c r="H899" s="235">
        <f t="shared" si="3"/>
        <v>3</v>
      </c>
      <c r="I899" s="125"/>
      <c r="N899" s="20"/>
      <c r="Z899" s="20"/>
    </row>
    <row r="900">
      <c r="A900" s="19" t="s">
        <v>992</v>
      </c>
      <c r="N900" s="20"/>
      <c r="Z900" s="20"/>
    </row>
    <row r="901">
      <c r="A901" s="41">
        <v>1.0</v>
      </c>
      <c r="B901" s="57" t="s">
        <v>993</v>
      </c>
      <c r="C901" s="58" t="s">
        <v>994</v>
      </c>
      <c r="D901" s="15" t="s">
        <v>29</v>
      </c>
      <c r="E901" s="25" t="b">
        <v>0</v>
      </c>
      <c r="F901" s="25" t="b">
        <v>0</v>
      </c>
      <c r="G901" s="25" t="b">
        <v>0</v>
      </c>
      <c r="H901" s="25" t="b">
        <v>0</v>
      </c>
      <c r="I901" s="188" t="s">
        <v>47</v>
      </c>
      <c r="J901" s="188" t="s">
        <v>47</v>
      </c>
      <c r="K901" s="28" t="s">
        <v>47</v>
      </c>
      <c r="L901" s="231" t="s">
        <v>47</v>
      </c>
      <c r="M901" s="38" t="s">
        <v>47</v>
      </c>
      <c r="N901" s="31" t="b">
        <v>0</v>
      </c>
      <c r="O901" s="32" t="b">
        <v>0</v>
      </c>
      <c r="P901" s="32" t="b">
        <v>0</v>
      </c>
      <c r="Q901" s="32" t="b">
        <v>0</v>
      </c>
      <c r="R901" s="32" t="b">
        <v>0</v>
      </c>
      <c r="S901" s="32" t="b">
        <v>0</v>
      </c>
      <c r="T901" s="32" t="b">
        <v>0</v>
      </c>
      <c r="U901" s="32" t="b">
        <v>0</v>
      </c>
      <c r="V901" s="32" t="b">
        <v>0</v>
      </c>
      <c r="W901" s="34"/>
      <c r="X901" s="34"/>
      <c r="Y901" s="34"/>
      <c r="Z901" s="34"/>
    </row>
    <row r="902">
      <c r="A902" s="41">
        <v>2.0</v>
      </c>
      <c r="B902" s="57" t="s">
        <v>995</v>
      </c>
      <c r="C902" s="58" t="s">
        <v>996</v>
      </c>
      <c r="D902" s="15" t="s">
        <v>29</v>
      </c>
      <c r="E902" s="25" t="b">
        <v>0</v>
      </c>
      <c r="F902" s="25" t="b">
        <v>0</v>
      </c>
      <c r="G902" s="25" t="b">
        <v>0</v>
      </c>
      <c r="H902" s="25" t="b">
        <v>0</v>
      </c>
      <c r="I902" s="188" t="s">
        <v>47</v>
      </c>
      <c r="J902" s="188" t="s">
        <v>47</v>
      </c>
      <c r="K902" s="28" t="s">
        <v>47</v>
      </c>
      <c r="L902" s="231" t="s">
        <v>47</v>
      </c>
      <c r="M902" s="38" t="s">
        <v>47</v>
      </c>
      <c r="N902" s="31" t="b">
        <v>0</v>
      </c>
      <c r="O902" s="32" t="b">
        <v>0</v>
      </c>
      <c r="P902" s="32" t="b">
        <v>0</v>
      </c>
      <c r="Q902" s="32" t="b">
        <v>0</v>
      </c>
      <c r="R902" s="32" t="b">
        <v>0</v>
      </c>
      <c r="S902" s="32" t="b">
        <v>0</v>
      </c>
      <c r="T902" s="32" t="b">
        <v>0</v>
      </c>
      <c r="U902" s="32" t="b">
        <v>0</v>
      </c>
      <c r="V902" s="32" t="b">
        <v>0</v>
      </c>
      <c r="W902" s="34"/>
      <c r="X902" s="34"/>
      <c r="Y902" s="34"/>
      <c r="Z902" s="34"/>
    </row>
    <row r="903">
      <c r="A903" s="41">
        <v>3.0</v>
      </c>
      <c r="B903" s="57" t="s">
        <v>997</v>
      </c>
      <c r="C903" s="58" t="s">
        <v>998</v>
      </c>
      <c r="D903" s="15" t="s">
        <v>29</v>
      </c>
      <c r="E903" s="25" t="b">
        <v>0</v>
      </c>
      <c r="F903" s="25" t="b">
        <v>0</v>
      </c>
      <c r="G903" s="25" t="b">
        <v>0</v>
      </c>
      <c r="H903" s="25" t="b">
        <v>0</v>
      </c>
      <c r="I903" s="188" t="s">
        <v>47</v>
      </c>
      <c r="J903" s="188" t="s">
        <v>47</v>
      </c>
      <c r="K903" s="28" t="s">
        <v>47</v>
      </c>
      <c r="L903" s="231" t="s">
        <v>47</v>
      </c>
      <c r="M903" s="38" t="s">
        <v>47</v>
      </c>
      <c r="N903" s="31" t="b">
        <v>0</v>
      </c>
      <c r="O903" s="32" t="b">
        <v>0</v>
      </c>
      <c r="P903" s="32" t="b">
        <v>0</v>
      </c>
      <c r="Q903" s="32" t="b">
        <v>0</v>
      </c>
      <c r="R903" s="32" t="b">
        <v>0</v>
      </c>
      <c r="S903" s="32" t="b">
        <v>0</v>
      </c>
      <c r="T903" s="32" t="b">
        <v>0</v>
      </c>
      <c r="U903" s="32" t="b">
        <v>0</v>
      </c>
      <c r="V903" s="32" t="b">
        <v>0</v>
      </c>
      <c r="W903" s="34"/>
      <c r="X903" s="34"/>
      <c r="Y903" s="34"/>
      <c r="Z903" s="34"/>
    </row>
    <row r="904">
      <c r="A904" s="41">
        <v>4.0</v>
      </c>
      <c r="B904" s="57" t="s">
        <v>999</v>
      </c>
      <c r="C904" s="58" t="s">
        <v>1000</v>
      </c>
      <c r="D904" s="15" t="s">
        <v>29</v>
      </c>
      <c r="E904" s="25" t="b">
        <v>0</v>
      </c>
      <c r="F904" s="25" t="b">
        <v>0</v>
      </c>
      <c r="G904" s="25" t="b">
        <v>0</v>
      </c>
      <c r="H904" s="25" t="b">
        <v>0</v>
      </c>
      <c r="I904" s="188" t="s">
        <v>47</v>
      </c>
      <c r="J904" s="188" t="s">
        <v>47</v>
      </c>
      <c r="K904" s="28" t="s">
        <v>47</v>
      </c>
      <c r="L904" s="231" t="s">
        <v>47</v>
      </c>
      <c r="M904" s="38" t="s">
        <v>47</v>
      </c>
      <c r="N904" s="31" t="b">
        <v>0</v>
      </c>
      <c r="O904" s="32" t="b">
        <v>0</v>
      </c>
      <c r="P904" s="32" t="b">
        <v>0</v>
      </c>
      <c r="Q904" s="32" t="b">
        <v>0</v>
      </c>
      <c r="R904" s="32" t="b">
        <v>0</v>
      </c>
      <c r="S904" s="32" t="b">
        <v>0</v>
      </c>
      <c r="T904" s="32" t="b">
        <v>0</v>
      </c>
      <c r="U904" s="32" t="b">
        <v>0</v>
      </c>
      <c r="V904" s="32" t="b">
        <v>0</v>
      </c>
      <c r="W904" s="34"/>
      <c r="X904" s="34"/>
      <c r="Y904" s="34"/>
      <c r="Z904" s="34"/>
    </row>
    <row r="905">
      <c r="A905" s="41">
        <v>5.0</v>
      </c>
      <c r="B905" s="57" t="s">
        <v>1001</v>
      </c>
      <c r="C905" s="58" t="s">
        <v>1002</v>
      </c>
      <c r="D905" s="15" t="s">
        <v>29</v>
      </c>
      <c r="E905" s="25" t="b">
        <v>0</v>
      </c>
      <c r="F905" s="25" t="b">
        <v>0</v>
      </c>
      <c r="G905" s="25" t="b">
        <v>0</v>
      </c>
      <c r="H905" s="25" t="b">
        <v>0</v>
      </c>
      <c r="I905" s="188" t="s">
        <v>47</v>
      </c>
      <c r="J905" s="188" t="s">
        <v>47</v>
      </c>
      <c r="K905" s="28" t="s">
        <v>47</v>
      </c>
      <c r="L905" s="231" t="s">
        <v>47</v>
      </c>
      <c r="M905" s="38" t="s">
        <v>47</v>
      </c>
      <c r="N905" s="31" t="b">
        <v>0</v>
      </c>
      <c r="O905" s="32" t="b">
        <v>0</v>
      </c>
      <c r="P905" s="32" t="b">
        <v>0</v>
      </c>
      <c r="Q905" s="32" t="b">
        <v>0</v>
      </c>
      <c r="R905" s="32" t="b">
        <v>0</v>
      </c>
      <c r="S905" s="32" t="b">
        <v>0</v>
      </c>
      <c r="T905" s="32" t="b">
        <v>0</v>
      </c>
      <c r="U905" s="32" t="b">
        <v>0</v>
      </c>
      <c r="V905" s="32" t="b">
        <v>0</v>
      </c>
      <c r="W905" s="34"/>
      <c r="X905" s="34"/>
      <c r="Y905" s="34"/>
      <c r="Z905" s="34"/>
    </row>
    <row r="906">
      <c r="A906" s="41">
        <v>6.0</v>
      </c>
      <c r="B906" s="57" t="s">
        <v>1003</v>
      </c>
      <c r="C906" s="58" t="s">
        <v>1004</v>
      </c>
      <c r="D906" s="15" t="s">
        <v>29</v>
      </c>
      <c r="E906" s="25" t="b">
        <v>0</v>
      </c>
      <c r="F906" s="25" t="b">
        <v>0</v>
      </c>
      <c r="G906" s="25" t="b">
        <v>0</v>
      </c>
      <c r="H906" s="25" t="b">
        <v>0</v>
      </c>
      <c r="I906" s="188" t="s">
        <v>47</v>
      </c>
      <c r="J906" s="188" t="s">
        <v>47</v>
      </c>
      <c r="K906" s="28" t="s">
        <v>47</v>
      </c>
      <c r="L906" s="231" t="s">
        <v>47</v>
      </c>
      <c r="M906" s="38" t="s">
        <v>47</v>
      </c>
      <c r="N906" s="31" t="b">
        <v>0</v>
      </c>
      <c r="O906" s="32" t="b">
        <v>0</v>
      </c>
      <c r="P906" s="32" t="b">
        <v>0</v>
      </c>
      <c r="Q906" s="32" t="b">
        <v>0</v>
      </c>
      <c r="R906" s="32" t="b">
        <v>0</v>
      </c>
      <c r="S906" s="32" t="b">
        <v>0</v>
      </c>
      <c r="T906" s="32" t="b">
        <v>0</v>
      </c>
      <c r="U906" s="32" t="b">
        <v>0</v>
      </c>
      <c r="V906" s="32" t="b">
        <v>0</v>
      </c>
      <c r="W906" s="34"/>
      <c r="X906" s="34"/>
      <c r="Y906" s="34"/>
      <c r="Z906" s="34"/>
    </row>
    <row r="907">
      <c r="A907" s="41">
        <v>7.0</v>
      </c>
      <c r="B907" s="57" t="s">
        <v>1005</v>
      </c>
      <c r="C907" s="236" t="s">
        <v>1006</v>
      </c>
      <c r="D907" s="24" t="s">
        <v>36</v>
      </c>
      <c r="E907" s="25" t="b">
        <v>1</v>
      </c>
      <c r="F907" s="25" t="b">
        <v>0</v>
      </c>
      <c r="G907" s="25" t="b">
        <v>0</v>
      </c>
      <c r="H907" s="25" t="b">
        <v>0</v>
      </c>
      <c r="I907" s="27">
        <v>45053.0</v>
      </c>
      <c r="J907" s="27">
        <v>45053.0</v>
      </c>
      <c r="K907" s="28">
        <v>2.0</v>
      </c>
      <c r="L907" s="29" t="s">
        <v>1007</v>
      </c>
      <c r="M907" s="30" t="s">
        <v>38</v>
      </c>
      <c r="N907" s="25" t="b">
        <v>0</v>
      </c>
      <c r="O907" s="25" t="b">
        <v>0</v>
      </c>
      <c r="P907" s="25" t="b">
        <v>0</v>
      </c>
      <c r="Q907" s="25" t="b">
        <v>0</v>
      </c>
      <c r="R907" s="25" t="b">
        <v>0</v>
      </c>
      <c r="S907" s="25" t="b">
        <v>0</v>
      </c>
      <c r="T907" s="25" t="b">
        <v>0</v>
      </c>
      <c r="U907" s="25" t="b">
        <v>0</v>
      </c>
      <c r="V907" s="25" t="b">
        <v>0</v>
      </c>
      <c r="W907" s="237" t="s">
        <v>39</v>
      </c>
      <c r="X907" s="200"/>
      <c r="Y907" s="185"/>
      <c r="Z907" s="185"/>
    </row>
    <row r="908">
      <c r="E908" s="25" t="b">
        <v>1</v>
      </c>
      <c r="F908" s="25" t="b">
        <v>0</v>
      </c>
      <c r="G908" s="25" t="b">
        <v>0</v>
      </c>
      <c r="H908" s="25" t="b">
        <v>0</v>
      </c>
      <c r="I908" s="27">
        <v>44835.0</v>
      </c>
      <c r="J908" s="27">
        <v>44835.0</v>
      </c>
      <c r="K908" s="28">
        <v>7.0</v>
      </c>
      <c r="L908" s="29" t="s">
        <v>1008</v>
      </c>
      <c r="M908" s="30" t="s">
        <v>38</v>
      </c>
      <c r="N908" s="25" t="b">
        <v>0</v>
      </c>
      <c r="O908" s="25" t="b">
        <v>0</v>
      </c>
      <c r="P908" s="25" t="b">
        <v>0</v>
      </c>
      <c r="Q908" s="25" t="b">
        <v>0</v>
      </c>
      <c r="R908" s="25" t="b">
        <v>0</v>
      </c>
      <c r="S908" s="25" t="b">
        <v>0</v>
      </c>
      <c r="T908" s="25" t="b">
        <v>0</v>
      </c>
      <c r="U908" s="25" t="b">
        <v>0</v>
      </c>
      <c r="V908" s="25" t="b">
        <v>0</v>
      </c>
      <c r="W908" s="33" t="s">
        <v>39</v>
      </c>
      <c r="X908" s="33" t="s">
        <v>125</v>
      </c>
      <c r="Y908" s="34"/>
      <c r="Z908" s="34"/>
    </row>
    <row r="909">
      <c r="E909" s="25" t="b">
        <v>1</v>
      </c>
      <c r="F909" s="25" t="b">
        <v>0</v>
      </c>
      <c r="G909" s="25" t="b">
        <v>0</v>
      </c>
      <c r="H909" s="25" t="b">
        <v>0</v>
      </c>
      <c r="I909" s="27">
        <v>44834.0</v>
      </c>
      <c r="J909" s="27">
        <v>44834.0</v>
      </c>
      <c r="K909" s="28">
        <v>7.0</v>
      </c>
      <c r="L909" s="29" t="s">
        <v>1009</v>
      </c>
      <c r="M909" s="30" t="s">
        <v>38</v>
      </c>
      <c r="N909" s="25" t="b">
        <v>0</v>
      </c>
      <c r="O909" s="25" t="b">
        <v>0</v>
      </c>
      <c r="P909" s="25" t="b">
        <v>0</v>
      </c>
      <c r="Q909" s="25" t="b">
        <v>0</v>
      </c>
      <c r="R909" s="25" t="b">
        <v>0</v>
      </c>
      <c r="S909" s="25" t="b">
        <v>0</v>
      </c>
      <c r="T909" s="25" t="b">
        <v>0</v>
      </c>
      <c r="U909" s="25" t="b">
        <v>0</v>
      </c>
      <c r="V909" s="25" t="b">
        <v>0</v>
      </c>
      <c r="W909" s="33" t="s">
        <v>39</v>
      </c>
      <c r="X909" s="33"/>
      <c r="Y909" s="34"/>
      <c r="Z909" s="34"/>
    </row>
    <row r="910">
      <c r="E910" s="25" t="b">
        <v>1</v>
      </c>
      <c r="F910" s="25" t="b">
        <v>0</v>
      </c>
      <c r="G910" s="25" t="b">
        <v>0</v>
      </c>
      <c r="H910" s="25" t="b">
        <v>0</v>
      </c>
      <c r="I910" s="27">
        <v>44757.0</v>
      </c>
      <c r="J910" s="27">
        <v>44757.0</v>
      </c>
      <c r="K910" s="28">
        <v>1.0</v>
      </c>
      <c r="L910" s="29" t="s">
        <v>1010</v>
      </c>
      <c r="M910" s="30" t="s">
        <v>38</v>
      </c>
      <c r="N910" s="25" t="b">
        <v>0</v>
      </c>
      <c r="O910" s="25" t="b">
        <v>0</v>
      </c>
      <c r="P910" s="25" t="b">
        <v>0</v>
      </c>
      <c r="Q910" s="25" t="b">
        <v>0</v>
      </c>
      <c r="R910" s="25" t="b">
        <v>0</v>
      </c>
      <c r="S910" s="25" t="b">
        <v>0</v>
      </c>
      <c r="T910" s="25" t="b">
        <v>0</v>
      </c>
      <c r="U910" s="25" t="b">
        <v>0</v>
      </c>
      <c r="V910" s="25" t="b">
        <v>0</v>
      </c>
      <c r="W910" s="33" t="s">
        <v>39</v>
      </c>
      <c r="X910" s="33"/>
      <c r="Y910" s="34"/>
      <c r="Z910" s="34"/>
    </row>
    <row r="911">
      <c r="E911" s="25" t="b">
        <v>1</v>
      </c>
      <c r="F911" s="25" t="b">
        <v>0</v>
      </c>
      <c r="G911" s="25" t="b">
        <v>0</v>
      </c>
      <c r="H911" s="25" t="b">
        <v>0</v>
      </c>
      <c r="I911" s="27">
        <v>44389.0</v>
      </c>
      <c r="J911" s="27">
        <v>44395.0</v>
      </c>
      <c r="K911" s="28">
        <v>144.0</v>
      </c>
      <c r="L911" s="29" t="s">
        <v>1011</v>
      </c>
      <c r="M911" s="30" t="s">
        <v>38</v>
      </c>
      <c r="N911" s="25" t="b">
        <v>1</v>
      </c>
      <c r="O911" s="25" t="b">
        <v>1</v>
      </c>
      <c r="P911" s="25" t="b">
        <v>0</v>
      </c>
      <c r="Q911" s="25" t="b">
        <v>0</v>
      </c>
      <c r="R911" s="25" t="b">
        <v>1</v>
      </c>
      <c r="S911" s="25" t="b">
        <v>1</v>
      </c>
      <c r="T911" s="25" t="b">
        <v>1</v>
      </c>
      <c r="U911" s="25" t="b">
        <v>0</v>
      </c>
      <c r="V911" s="25" t="b">
        <v>0</v>
      </c>
      <c r="W911" s="33" t="s">
        <v>39</v>
      </c>
      <c r="X911" s="33" t="s">
        <v>93</v>
      </c>
      <c r="Y911" s="34"/>
      <c r="Z911" s="34"/>
    </row>
    <row r="912">
      <c r="E912" s="25" t="b">
        <v>1</v>
      </c>
      <c r="F912" s="25" t="b">
        <v>0</v>
      </c>
      <c r="G912" s="25" t="b">
        <v>0</v>
      </c>
      <c r="H912" s="25" t="b">
        <v>0</v>
      </c>
      <c r="I912" s="27">
        <v>44388.0</v>
      </c>
      <c r="J912" s="27">
        <v>44388.0</v>
      </c>
      <c r="K912" s="28">
        <v>2.0</v>
      </c>
      <c r="L912" s="29" t="s">
        <v>1012</v>
      </c>
      <c r="M912" s="30" t="s">
        <v>38</v>
      </c>
      <c r="N912" s="25" t="b">
        <v>0</v>
      </c>
      <c r="O912" s="25" t="b">
        <v>0</v>
      </c>
      <c r="P912" s="25" t="b">
        <v>0</v>
      </c>
      <c r="Q912" s="25" t="b">
        <v>0</v>
      </c>
      <c r="R912" s="25" t="b">
        <v>0</v>
      </c>
      <c r="S912" s="25" t="b">
        <v>0</v>
      </c>
      <c r="T912" s="25" t="b">
        <v>0</v>
      </c>
      <c r="U912" s="25" t="b">
        <v>0</v>
      </c>
      <c r="V912" s="25" t="b">
        <v>0</v>
      </c>
      <c r="W912" s="33" t="s">
        <v>93</v>
      </c>
      <c r="X912" s="33" t="s">
        <v>316</v>
      </c>
      <c r="Y912" s="34"/>
      <c r="Z912" s="34"/>
    </row>
    <row r="913">
      <c r="E913" s="25" t="b">
        <v>1</v>
      </c>
      <c r="F913" s="25" t="b">
        <v>0</v>
      </c>
      <c r="G913" s="25" t="b">
        <v>0</v>
      </c>
      <c r="H913" s="25" t="b">
        <v>0</v>
      </c>
      <c r="I913" s="27">
        <v>44223.0</v>
      </c>
      <c r="J913" s="27">
        <v>44223.0</v>
      </c>
      <c r="K913" s="28">
        <v>2.0</v>
      </c>
      <c r="L913" s="29" t="s">
        <v>1013</v>
      </c>
      <c r="M913" s="30" t="s">
        <v>38</v>
      </c>
      <c r="N913" s="25" t="b">
        <v>0</v>
      </c>
      <c r="O913" s="25" t="b">
        <v>0</v>
      </c>
      <c r="P913" s="25" t="b">
        <v>0</v>
      </c>
      <c r="Q913" s="25" t="b">
        <v>0</v>
      </c>
      <c r="R913" s="25" t="b">
        <v>0</v>
      </c>
      <c r="S913" s="25" t="b">
        <v>0</v>
      </c>
      <c r="T913" s="25" t="b">
        <v>0</v>
      </c>
      <c r="U913" s="25" t="b">
        <v>0</v>
      </c>
      <c r="V913" s="25" t="b">
        <v>0</v>
      </c>
      <c r="W913" s="33" t="s">
        <v>93</v>
      </c>
      <c r="X913" s="33" t="s">
        <v>1014</v>
      </c>
      <c r="Y913" s="33" t="s">
        <v>65</v>
      </c>
      <c r="Z913" s="33"/>
    </row>
    <row r="914">
      <c r="E914" s="25" t="b">
        <v>1</v>
      </c>
      <c r="F914" s="25" t="b">
        <v>0</v>
      </c>
      <c r="G914" s="25" t="b">
        <v>0</v>
      </c>
      <c r="H914" s="25" t="b">
        <v>0</v>
      </c>
      <c r="I914" s="27">
        <v>44162.0</v>
      </c>
      <c r="J914" s="27">
        <v>44165.0</v>
      </c>
      <c r="K914" s="28">
        <v>72.0</v>
      </c>
      <c r="L914" s="29" t="s">
        <v>1015</v>
      </c>
      <c r="M914" s="238" t="s">
        <v>38</v>
      </c>
      <c r="N914" s="26" t="b">
        <v>1</v>
      </c>
      <c r="O914" s="25" t="b">
        <v>1</v>
      </c>
      <c r="P914" s="25" t="b">
        <v>1</v>
      </c>
      <c r="Q914" s="25" t="b">
        <v>1</v>
      </c>
      <c r="R914" s="25" t="b">
        <v>0</v>
      </c>
      <c r="S914" s="25" t="b">
        <v>0</v>
      </c>
      <c r="T914" s="25" t="b">
        <v>1</v>
      </c>
      <c r="U914" s="25" t="b">
        <v>0</v>
      </c>
      <c r="V914" s="25" t="b">
        <v>0</v>
      </c>
      <c r="W914" s="33" t="s">
        <v>39</v>
      </c>
      <c r="X914" s="34"/>
      <c r="Y914" s="34"/>
      <c r="Z914" s="34"/>
    </row>
    <row r="915">
      <c r="A915" s="41">
        <v>8.0</v>
      </c>
      <c r="B915" s="57" t="s">
        <v>1016</v>
      </c>
      <c r="C915" s="58" t="s">
        <v>1017</v>
      </c>
      <c r="D915" s="15" t="s">
        <v>29</v>
      </c>
      <c r="E915" s="25" t="b">
        <v>0</v>
      </c>
      <c r="F915" s="25" t="b">
        <v>0</v>
      </c>
      <c r="G915" s="25" t="b">
        <v>0</v>
      </c>
      <c r="H915" s="25" t="b">
        <v>0</v>
      </c>
      <c r="I915" s="188" t="s">
        <v>47</v>
      </c>
      <c r="J915" s="188" t="s">
        <v>47</v>
      </c>
      <c r="K915" s="28" t="s">
        <v>47</v>
      </c>
      <c r="L915" s="231" t="s">
        <v>47</v>
      </c>
      <c r="M915" s="38" t="s">
        <v>47</v>
      </c>
      <c r="N915" s="31" t="b">
        <v>0</v>
      </c>
      <c r="O915" s="32" t="b">
        <v>0</v>
      </c>
      <c r="P915" s="32" t="b">
        <v>0</v>
      </c>
      <c r="Q915" s="32" t="b">
        <v>0</v>
      </c>
      <c r="R915" s="32" t="b">
        <v>0</v>
      </c>
      <c r="S915" s="32" t="b">
        <v>0</v>
      </c>
      <c r="T915" s="32" t="b">
        <v>0</v>
      </c>
      <c r="U915" s="32" t="b">
        <v>0</v>
      </c>
      <c r="V915" s="32" t="b">
        <v>0</v>
      </c>
      <c r="W915" s="34"/>
      <c r="X915" s="34"/>
      <c r="Y915" s="34"/>
      <c r="Z915" s="34"/>
    </row>
    <row r="916">
      <c r="A916" s="41">
        <v>9.0</v>
      </c>
      <c r="B916" s="57" t="s">
        <v>1018</v>
      </c>
      <c r="C916" s="58" t="s">
        <v>1019</v>
      </c>
      <c r="D916" s="15" t="s">
        <v>29</v>
      </c>
      <c r="E916" s="25" t="b">
        <v>0</v>
      </c>
      <c r="F916" s="25" t="b">
        <v>0</v>
      </c>
      <c r="G916" s="25" t="b">
        <v>0</v>
      </c>
      <c r="H916" s="25" t="b">
        <v>0</v>
      </c>
      <c r="I916" s="188" t="s">
        <v>47</v>
      </c>
      <c r="J916" s="188" t="s">
        <v>47</v>
      </c>
      <c r="K916" s="28" t="s">
        <v>47</v>
      </c>
      <c r="L916" s="231" t="s">
        <v>47</v>
      </c>
      <c r="M916" s="38" t="s">
        <v>47</v>
      </c>
      <c r="N916" s="31" t="b">
        <v>0</v>
      </c>
      <c r="O916" s="32" t="b">
        <v>0</v>
      </c>
      <c r="P916" s="32" t="b">
        <v>0</v>
      </c>
      <c r="Q916" s="32" t="b">
        <v>0</v>
      </c>
      <c r="R916" s="32" t="b">
        <v>0</v>
      </c>
      <c r="S916" s="32" t="b">
        <v>0</v>
      </c>
      <c r="T916" s="32" t="b">
        <v>0</v>
      </c>
      <c r="U916" s="32" t="b">
        <v>0</v>
      </c>
      <c r="V916" s="32" t="b">
        <v>0</v>
      </c>
      <c r="W916" s="34"/>
      <c r="X916" s="34"/>
      <c r="Y916" s="34"/>
      <c r="Z916" s="34"/>
    </row>
    <row r="917">
      <c r="A917" s="41">
        <v>10.0</v>
      </c>
      <c r="B917" s="57" t="s">
        <v>1020</v>
      </c>
      <c r="C917" s="58" t="s">
        <v>1021</v>
      </c>
      <c r="D917" s="24" t="s">
        <v>36</v>
      </c>
      <c r="E917" s="42" t="b">
        <v>0</v>
      </c>
      <c r="F917" s="102" t="b">
        <v>0</v>
      </c>
      <c r="G917" s="102" t="b">
        <v>1</v>
      </c>
      <c r="H917" s="42" t="b">
        <v>0</v>
      </c>
      <c r="I917" s="60">
        <v>45550.0</v>
      </c>
      <c r="J917" s="60">
        <v>45551.0</v>
      </c>
      <c r="K917" s="45">
        <v>24.0</v>
      </c>
      <c r="L917" s="239" t="s">
        <v>1022</v>
      </c>
      <c r="M917" s="145" t="s">
        <v>38</v>
      </c>
      <c r="N917" s="137" t="b">
        <v>1</v>
      </c>
      <c r="O917" s="42" t="b">
        <v>0</v>
      </c>
      <c r="P917" s="42" t="b">
        <v>0</v>
      </c>
      <c r="Q917" s="42" t="b">
        <v>0</v>
      </c>
      <c r="R917" s="42" t="b">
        <v>0</v>
      </c>
      <c r="S917" s="102" t="b">
        <v>1</v>
      </c>
      <c r="T917" s="102" t="b">
        <v>0</v>
      </c>
      <c r="U917" s="42" t="b">
        <v>0</v>
      </c>
      <c r="V917" s="42" t="b">
        <v>0</v>
      </c>
      <c r="W917" s="79" t="s">
        <v>41</v>
      </c>
      <c r="X917" s="79"/>
      <c r="Y917" s="34"/>
      <c r="Z917" s="34"/>
    </row>
    <row r="918">
      <c r="E918" s="25" t="b">
        <v>0</v>
      </c>
      <c r="F918" s="26" t="b">
        <v>0</v>
      </c>
      <c r="G918" s="26" t="b">
        <v>1</v>
      </c>
      <c r="H918" s="25" t="b">
        <v>0</v>
      </c>
      <c r="I918" s="60">
        <v>45444.0</v>
      </c>
      <c r="J918" s="60">
        <v>45445.0</v>
      </c>
      <c r="K918" s="45">
        <v>24.0</v>
      </c>
      <c r="L918" s="240" t="s">
        <v>1023</v>
      </c>
      <c r="M918" s="238" t="s">
        <v>38</v>
      </c>
      <c r="N918" s="65" t="b">
        <v>1</v>
      </c>
      <c r="O918" s="32" t="b">
        <v>0</v>
      </c>
      <c r="P918" s="32" t="b">
        <v>0</v>
      </c>
      <c r="Q918" s="32" t="b">
        <v>0</v>
      </c>
      <c r="R918" s="32" t="b">
        <v>0</v>
      </c>
      <c r="S918" s="63" t="b">
        <v>1</v>
      </c>
      <c r="T918" s="63" t="b">
        <v>0</v>
      </c>
      <c r="U918" s="32" t="b">
        <v>0</v>
      </c>
      <c r="V918" s="32" t="b">
        <v>0</v>
      </c>
      <c r="W918" s="156" t="s">
        <v>41</v>
      </c>
      <c r="X918" s="167"/>
      <c r="Y918" s="34"/>
      <c r="Z918" s="34"/>
    </row>
    <row r="919">
      <c r="A919" s="41">
        <v>11.0</v>
      </c>
      <c r="B919" s="57" t="s">
        <v>1024</v>
      </c>
      <c r="C919" s="58" t="s">
        <v>1025</v>
      </c>
      <c r="D919" s="15" t="s">
        <v>29</v>
      </c>
      <c r="E919" s="25" t="b">
        <v>0</v>
      </c>
      <c r="F919" s="25" t="b">
        <v>0</v>
      </c>
      <c r="G919" s="25" t="b">
        <v>0</v>
      </c>
      <c r="H919" s="25" t="b">
        <v>0</v>
      </c>
      <c r="I919" s="188" t="s">
        <v>47</v>
      </c>
      <c r="J919" s="188" t="s">
        <v>47</v>
      </c>
      <c r="K919" s="28" t="s">
        <v>47</v>
      </c>
      <c r="L919" s="231" t="s">
        <v>47</v>
      </c>
      <c r="M919" s="38" t="s">
        <v>47</v>
      </c>
      <c r="N919" s="31" t="b">
        <v>0</v>
      </c>
      <c r="O919" s="32" t="b">
        <v>0</v>
      </c>
      <c r="P919" s="32" t="b">
        <v>0</v>
      </c>
      <c r="Q919" s="32" t="b">
        <v>0</v>
      </c>
      <c r="R919" s="32" t="b">
        <v>0</v>
      </c>
      <c r="S919" s="32" t="b">
        <v>0</v>
      </c>
      <c r="T919" s="32" t="b">
        <v>0</v>
      </c>
      <c r="U919" s="32" t="b">
        <v>0</v>
      </c>
      <c r="V919" s="32" t="b">
        <v>0</v>
      </c>
      <c r="W919" s="34"/>
      <c r="X919" s="34"/>
      <c r="Y919" s="34"/>
      <c r="Z919" s="34"/>
    </row>
    <row r="920">
      <c r="A920" s="41">
        <v>12.0</v>
      </c>
      <c r="B920" s="57" t="s">
        <v>1026</v>
      </c>
      <c r="C920" s="58" t="s">
        <v>1027</v>
      </c>
      <c r="D920" s="15" t="s">
        <v>29</v>
      </c>
      <c r="E920" s="25" t="b">
        <v>0</v>
      </c>
      <c r="F920" s="25" t="b">
        <v>0</v>
      </c>
      <c r="G920" s="25" t="b">
        <v>0</v>
      </c>
      <c r="H920" s="25" t="b">
        <v>0</v>
      </c>
      <c r="I920" s="188" t="s">
        <v>47</v>
      </c>
      <c r="J920" s="188" t="s">
        <v>47</v>
      </c>
      <c r="K920" s="28" t="s">
        <v>47</v>
      </c>
      <c r="L920" s="231" t="s">
        <v>47</v>
      </c>
      <c r="M920" s="38" t="s">
        <v>47</v>
      </c>
      <c r="N920" s="31" t="b">
        <v>0</v>
      </c>
      <c r="O920" s="32" t="b">
        <v>0</v>
      </c>
      <c r="P920" s="32" t="b">
        <v>0</v>
      </c>
      <c r="Q920" s="32" t="b">
        <v>0</v>
      </c>
      <c r="R920" s="32" t="b">
        <v>0</v>
      </c>
      <c r="S920" s="32" t="b">
        <v>0</v>
      </c>
      <c r="T920" s="32" t="b">
        <v>0</v>
      </c>
      <c r="U920" s="32" t="b">
        <v>0</v>
      </c>
      <c r="V920" s="32" t="b">
        <v>0</v>
      </c>
      <c r="W920" s="34"/>
      <c r="X920" s="34"/>
      <c r="Y920" s="34"/>
      <c r="Z920" s="34"/>
    </row>
    <row r="921">
      <c r="A921" s="41">
        <v>13.0</v>
      </c>
      <c r="B921" s="57" t="s">
        <v>1028</v>
      </c>
      <c r="C921" s="58" t="s">
        <v>1029</v>
      </c>
      <c r="D921" s="15" t="s">
        <v>29</v>
      </c>
      <c r="E921" s="25" t="b">
        <v>0</v>
      </c>
      <c r="F921" s="25" t="b">
        <v>0</v>
      </c>
      <c r="G921" s="25" t="b">
        <v>0</v>
      </c>
      <c r="H921" s="25" t="b">
        <v>0</v>
      </c>
      <c r="I921" s="188" t="s">
        <v>47</v>
      </c>
      <c r="J921" s="188" t="s">
        <v>47</v>
      </c>
      <c r="K921" s="28" t="s">
        <v>47</v>
      </c>
      <c r="L921" s="231" t="s">
        <v>47</v>
      </c>
      <c r="M921" s="38" t="s">
        <v>47</v>
      </c>
      <c r="N921" s="31" t="b">
        <v>0</v>
      </c>
      <c r="O921" s="32" t="b">
        <v>0</v>
      </c>
      <c r="P921" s="32" t="b">
        <v>0</v>
      </c>
      <c r="Q921" s="32" t="b">
        <v>0</v>
      </c>
      <c r="R921" s="32" t="b">
        <v>0</v>
      </c>
      <c r="S921" s="32" t="b">
        <v>0</v>
      </c>
      <c r="T921" s="32" t="b">
        <v>0</v>
      </c>
      <c r="U921" s="32" t="b">
        <v>0</v>
      </c>
      <c r="V921" s="32" t="b">
        <v>0</v>
      </c>
      <c r="W921" s="34"/>
      <c r="X921" s="34"/>
      <c r="Y921" s="34"/>
      <c r="Z921" s="34"/>
    </row>
    <row r="922">
      <c r="A922" s="41">
        <v>14.0</v>
      </c>
      <c r="B922" s="57" t="s">
        <v>1030</v>
      </c>
      <c r="C922" s="58" t="s">
        <v>1031</v>
      </c>
      <c r="D922" s="15" t="s">
        <v>29</v>
      </c>
      <c r="E922" s="25" t="b">
        <v>0</v>
      </c>
      <c r="F922" s="25" t="b">
        <v>0</v>
      </c>
      <c r="G922" s="25" t="b">
        <v>0</v>
      </c>
      <c r="H922" s="25" t="b">
        <v>0</v>
      </c>
      <c r="I922" s="188" t="s">
        <v>47</v>
      </c>
      <c r="J922" s="188" t="s">
        <v>47</v>
      </c>
      <c r="K922" s="28" t="s">
        <v>47</v>
      </c>
      <c r="L922" s="231" t="s">
        <v>47</v>
      </c>
      <c r="M922" s="38" t="s">
        <v>47</v>
      </c>
      <c r="N922" s="31" t="b">
        <v>0</v>
      </c>
      <c r="O922" s="32" t="b">
        <v>0</v>
      </c>
      <c r="P922" s="32" t="b">
        <v>0</v>
      </c>
      <c r="Q922" s="32" t="b">
        <v>0</v>
      </c>
      <c r="R922" s="32" t="b">
        <v>0</v>
      </c>
      <c r="S922" s="32" t="b">
        <v>0</v>
      </c>
      <c r="T922" s="32" t="b">
        <v>0</v>
      </c>
      <c r="U922" s="32" t="b">
        <v>0</v>
      </c>
      <c r="V922" s="32" t="b">
        <v>0</v>
      </c>
      <c r="W922" s="34"/>
      <c r="X922" s="34"/>
      <c r="Y922" s="34"/>
      <c r="Z922" s="34"/>
    </row>
    <row r="923">
      <c r="A923" s="41">
        <v>15.0</v>
      </c>
      <c r="B923" s="57" t="s">
        <v>1032</v>
      </c>
      <c r="C923" s="58" t="s">
        <v>1033</v>
      </c>
      <c r="D923" s="15" t="s">
        <v>29</v>
      </c>
      <c r="E923" s="25" t="b">
        <v>0</v>
      </c>
      <c r="F923" s="25" t="b">
        <v>0</v>
      </c>
      <c r="G923" s="25" t="b">
        <v>0</v>
      </c>
      <c r="H923" s="25" t="b">
        <v>0</v>
      </c>
      <c r="I923" s="188" t="s">
        <v>47</v>
      </c>
      <c r="J923" s="188" t="s">
        <v>47</v>
      </c>
      <c r="K923" s="28" t="s">
        <v>47</v>
      </c>
      <c r="L923" s="231" t="s">
        <v>47</v>
      </c>
      <c r="M923" s="38" t="s">
        <v>47</v>
      </c>
      <c r="N923" s="31" t="b">
        <v>0</v>
      </c>
      <c r="O923" s="32" t="b">
        <v>0</v>
      </c>
      <c r="P923" s="32" t="b">
        <v>0</v>
      </c>
      <c r="Q923" s="32" t="b">
        <v>0</v>
      </c>
      <c r="R923" s="32" t="b">
        <v>0</v>
      </c>
      <c r="S923" s="32" t="b">
        <v>0</v>
      </c>
      <c r="T923" s="32" t="b">
        <v>0</v>
      </c>
      <c r="U923" s="32" t="b">
        <v>0</v>
      </c>
      <c r="V923" s="32" t="b">
        <v>0</v>
      </c>
      <c r="W923" s="34"/>
      <c r="X923" s="34"/>
      <c r="Y923" s="34"/>
      <c r="Z923" s="34"/>
    </row>
    <row r="924">
      <c r="A924" s="41">
        <v>16.0</v>
      </c>
      <c r="B924" s="57" t="s">
        <v>1034</v>
      </c>
      <c r="C924" s="58" t="s">
        <v>1035</v>
      </c>
      <c r="D924" s="15" t="s">
        <v>29</v>
      </c>
      <c r="E924" s="25" t="b">
        <v>0</v>
      </c>
      <c r="F924" s="25" t="b">
        <v>0</v>
      </c>
      <c r="G924" s="25" t="b">
        <v>0</v>
      </c>
      <c r="H924" s="25" t="b">
        <v>0</v>
      </c>
      <c r="I924" s="188" t="s">
        <v>47</v>
      </c>
      <c r="J924" s="188" t="s">
        <v>47</v>
      </c>
      <c r="K924" s="28" t="s">
        <v>47</v>
      </c>
      <c r="L924" s="231" t="s">
        <v>47</v>
      </c>
      <c r="M924" s="38" t="s">
        <v>47</v>
      </c>
      <c r="N924" s="31" t="b">
        <v>0</v>
      </c>
      <c r="O924" s="32" t="b">
        <v>0</v>
      </c>
      <c r="P924" s="32" t="b">
        <v>0</v>
      </c>
      <c r="Q924" s="32" t="b">
        <v>0</v>
      </c>
      <c r="R924" s="32" t="b">
        <v>0</v>
      </c>
      <c r="S924" s="32" t="b">
        <v>0</v>
      </c>
      <c r="T924" s="32" t="b">
        <v>0</v>
      </c>
      <c r="U924" s="32" t="b">
        <v>0</v>
      </c>
      <c r="V924" s="32" t="b">
        <v>0</v>
      </c>
      <c r="W924" s="34"/>
      <c r="X924" s="34"/>
      <c r="Y924" s="34"/>
      <c r="Z924" s="34"/>
    </row>
    <row r="925">
      <c r="A925" s="41">
        <v>17.0</v>
      </c>
      <c r="B925" s="57" t="s">
        <v>1036</v>
      </c>
      <c r="C925" s="236" t="s">
        <v>1037</v>
      </c>
      <c r="D925" s="24" t="s">
        <v>36</v>
      </c>
      <c r="E925" s="25" t="b">
        <v>1</v>
      </c>
      <c r="F925" s="25" t="b">
        <v>0</v>
      </c>
      <c r="G925" s="25" t="b">
        <v>0</v>
      </c>
      <c r="H925" s="25" t="b">
        <v>0</v>
      </c>
      <c r="I925" s="27">
        <v>43299.0</v>
      </c>
      <c r="J925" s="27">
        <v>43299.0</v>
      </c>
      <c r="K925" s="28">
        <v>4.0</v>
      </c>
      <c r="L925" s="29" t="s">
        <v>1038</v>
      </c>
      <c r="M925" s="30" t="s">
        <v>1039</v>
      </c>
      <c r="N925" s="32" t="b">
        <v>0</v>
      </c>
      <c r="O925" s="32" t="b">
        <v>0</v>
      </c>
      <c r="P925" s="32" t="b">
        <v>0</v>
      </c>
      <c r="Q925" s="32" t="b">
        <v>0</v>
      </c>
      <c r="R925" s="32" t="b">
        <v>0</v>
      </c>
      <c r="S925" s="32" t="b">
        <v>0</v>
      </c>
      <c r="T925" s="32" t="b">
        <v>0</v>
      </c>
      <c r="U925" s="32" t="b">
        <v>0</v>
      </c>
      <c r="V925" s="32" t="b">
        <v>0</v>
      </c>
      <c r="W925" s="33" t="s">
        <v>39</v>
      </c>
      <c r="X925" s="34"/>
      <c r="Y925" s="34"/>
      <c r="Z925" s="34"/>
    </row>
    <row r="926">
      <c r="A926" s="41">
        <v>18.0</v>
      </c>
      <c r="B926" s="57" t="s">
        <v>1040</v>
      </c>
      <c r="C926" s="58" t="s">
        <v>1041</v>
      </c>
      <c r="D926" s="15" t="s">
        <v>29</v>
      </c>
      <c r="E926" s="25" t="b">
        <v>0</v>
      </c>
      <c r="F926" s="25" t="b">
        <v>0</v>
      </c>
      <c r="G926" s="25" t="b">
        <v>0</v>
      </c>
      <c r="H926" s="25" t="b">
        <v>0</v>
      </c>
      <c r="I926" s="188" t="s">
        <v>47</v>
      </c>
      <c r="J926" s="188" t="s">
        <v>47</v>
      </c>
      <c r="K926" s="28" t="s">
        <v>47</v>
      </c>
      <c r="L926" s="231" t="s">
        <v>47</v>
      </c>
      <c r="M926" s="38" t="s">
        <v>47</v>
      </c>
      <c r="N926" s="31" t="b">
        <v>0</v>
      </c>
      <c r="O926" s="32" t="b">
        <v>0</v>
      </c>
      <c r="P926" s="32" t="b">
        <v>0</v>
      </c>
      <c r="Q926" s="32" t="b">
        <v>0</v>
      </c>
      <c r="R926" s="32" t="b">
        <v>0</v>
      </c>
      <c r="S926" s="32" t="b">
        <v>0</v>
      </c>
      <c r="T926" s="32" t="b">
        <v>0</v>
      </c>
      <c r="U926" s="32" t="b">
        <v>0</v>
      </c>
      <c r="V926" s="32" t="b">
        <v>0</v>
      </c>
      <c r="W926" s="34"/>
      <c r="X926" s="34"/>
      <c r="Y926" s="34"/>
      <c r="Z926" s="34"/>
    </row>
    <row r="927">
      <c r="A927" s="41">
        <v>19.0</v>
      </c>
      <c r="B927" s="57" t="s">
        <v>1042</v>
      </c>
      <c r="C927" s="58" t="s">
        <v>1043</v>
      </c>
      <c r="D927" s="15" t="s">
        <v>29</v>
      </c>
      <c r="E927" s="25" t="b">
        <v>0</v>
      </c>
      <c r="F927" s="25" t="b">
        <v>0</v>
      </c>
      <c r="G927" s="25" t="b">
        <v>0</v>
      </c>
      <c r="H927" s="25" t="b">
        <v>0</v>
      </c>
      <c r="I927" s="188" t="s">
        <v>47</v>
      </c>
      <c r="J927" s="188" t="s">
        <v>47</v>
      </c>
      <c r="K927" s="28" t="s">
        <v>47</v>
      </c>
      <c r="L927" s="231" t="s">
        <v>47</v>
      </c>
      <c r="M927" s="38" t="s">
        <v>47</v>
      </c>
      <c r="N927" s="31" t="b">
        <v>0</v>
      </c>
      <c r="O927" s="32" t="b">
        <v>0</v>
      </c>
      <c r="P927" s="32" t="b">
        <v>0</v>
      </c>
      <c r="Q927" s="32" t="b">
        <v>0</v>
      </c>
      <c r="R927" s="32" t="b">
        <v>0</v>
      </c>
      <c r="S927" s="32" t="b">
        <v>0</v>
      </c>
      <c r="T927" s="32" t="b">
        <v>0</v>
      </c>
      <c r="U927" s="32" t="b">
        <v>0</v>
      </c>
      <c r="V927" s="32" t="b">
        <v>0</v>
      </c>
      <c r="W927" s="34"/>
      <c r="X927" s="34"/>
      <c r="Y927" s="34"/>
      <c r="Z927" s="34"/>
    </row>
    <row r="928">
      <c r="A928" s="41">
        <v>20.0</v>
      </c>
      <c r="B928" s="57" t="s">
        <v>1044</v>
      </c>
      <c r="C928" s="58" t="s">
        <v>1045</v>
      </c>
      <c r="D928" s="15" t="s">
        <v>29</v>
      </c>
      <c r="E928" s="25" t="b">
        <v>0</v>
      </c>
      <c r="F928" s="25" t="b">
        <v>0</v>
      </c>
      <c r="G928" s="25" t="b">
        <v>0</v>
      </c>
      <c r="H928" s="25" t="b">
        <v>0</v>
      </c>
      <c r="I928" s="188" t="s">
        <v>47</v>
      </c>
      <c r="J928" s="188" t="s">
        <v>47</v>
      </c>
      <c r="K928" s="28" t="s">
        <v>47</v>
      </c>
      <c r="L928" s="231" t="s">
        <v>47</v>
      </c>
      <c r="M928" s="38" t="s">
        <v>47</v>
      </c>
      <c r="N928" s="31" t="b">
        <v>0</v>
      </c>
      <c r="O928" s="32" t="b">
        <v>0</v>
      </c>
      <c r="P928" s="32" t="b">
        <v>0</v>
      </c>
      <c r="Q928" s="32" t="b">
        <v>0</v>
      </c>
      <c r="R928" s="32" t="b">
        <v>0</v>
      </c>
      <c r="S928" s="32" t="b">
        <v>0</v>
      </c>
      <c r="T928" s="32" t="b">
        <v>0</v>
      </c>
      <c r="U928" s="32" t="b">
        <v>0</v>
      </c>
      <c r="V928" s="32" t="b">
        <v>0</v>
      </c>
      <c r="W928" s="34"/>
      <c r="X928" s="34"/>
      <c r="Y928" s="34"/>
      <c r="Z928" s="34"/>
    </row>
    <row r="929">
      <c r="A929" s="41">
        <v>21.0</v>
      </c>
      <c r="B929" s="57" t="s">
        <v>1046</v>
      </c>
      <c r="C929" s="58" t="s">
        <v>1047</v>
      </c>
      <c r="D929" s="15" t="s">
        <v>29</v>
      </c>
      <c r="E929" s="25" t="b">
        <v>0</v>
      </c>
      <c r="F929" s="25" t="b">
        <v>0</v>
      </c>
      <c r="G929" s="25" t="b">
        <v>0</v>
      </c>
      <c r="H929" s="25" t="b">
        <v>0</v>
      </c>
      <c r="I929" s="188" t="s">
        <v>47</v>
      </c>
      <c r="J929" s="188" t="s">
        <v>47</v>
      </c>
      <c r="K929" s="28" t="s">
        <v>47</v>
      </c>
      <c r="L929" s="231" t="s">
        <v>47</v>
      </c>
      <c r="M929" s="38" t="s">
        <v>47</v>
      </c>
      <c r="N929" s="31" t="b">
        <v>0</v>
      </c>
      <c r="O929" s="32" t="b">
        <v>0</v>
      </c>
      <c r="P929" s="32" t="b">
        <v>0</v>
      </c>
      <c r="Q929" s="32" t="b">
        <v>0</v>
      </c>
      <c r="R929" s="32" t="b">
        <v>0</v>
      </c>
      <c r="S929" s="32" t="b">
        <v>0</v>
      </c>
      <c r="T929" s="32" t="b">
        <v>0</v>
      </c>
      <c r="U929" s="32" t="b">
        <v>0</v>
      </c>
      <c r="V929" s="32" t="b">
        <v>0</v>
      </c>
      <c r="W929" s="34"/>
      <c r="X929" s="34"/>
      <c r="Y929" s="34"/>
      <c r="Z929" s="34"/>
    </row>
    <row r="930">
      <c r="A930" s="41">
        <v>22.0</v>
      </c>
      <c r="B930" s="57" t="s">
        <v>1048</v>
      </c>
      <c r="C930" s="58" t="s">
        <v>1049</v>
      </c>
      <c r="D930" s="15" t="s">
        <v>29</v>
      </c>
      <c r="E930" s="25" t="b">
        <v>0</v>
      </c>
      <c r="F930" s="25" t="b">
        <v>0</v>
      </c>
      <c r="G930" s="25" t="b">
        <v>0</v>
      </c>
      <c r="H930" s="25" t="b">
        <v>0</v>
      </c>
      <c r="I930" s="188" t="s">
        <v>47</v>
      </c>
      <c r="J930" s="188" t="s">
        <v>47</v>
      </c>
      <c r="K930" s="28" t="s">
        <v>47</v>
      </c>
      <c r="L930" s="231" t="s">
        <v>47</v>
      </c>
      <c r="M930" s="38" t="s">
        <v>47</v>
      </c>
      <c r="N930" s="31" t="b">
        <v>0</v>
      </c>
      <c r="O930" s="32" t="b">
        <v>0</v>
      </c>
      <c r="P930" s="32" t="b">
        <v>0</v>
      </c>
      <c r="Q930" s="32" t="b">
        <v>0</v>
      </c>
      <c r="R930" s="32" t="b">
        <v>0</v>
      </c>
      <c r="S930" s="32" t="b">
        <v>0</v>
      </c>
      <c r="T930" s="32" t="b">
        <v>0</v>
      </c>
      <c r="U930" s="32" t="b">
        <v>0</v>
      </c>
      <c r="V930" s="32" t="b">
        <v>0</v>
      </c>
      <c r="W930" s="34"/>
      <c r="X930" s="34"/>
      <c r="Y930" s="34"/>
      <c r="Z930" s="34"/>
    </row>
    <row r="931">
      <c r="A931" s="41">
        <v>23.0</v>
      </c>
      <c r="B931" s="57" t="s">
        <v>1050</v>
      </c>
      <c r="C931" s="236" t="s">
        <v>1051</v>
      </c>
      <c r="D931" s="15" t="s">
        <v>29</v>
      </c>
      <c r="E931" s="25" t="b">
        <v>0</v>
      </c>
      <c r="F931" s="25" t="b">
        <v>0</v>
      </c>
      <c r="G931" s="25" t="b">
        <v>0</v>
      </c>
      <c r="H931" s="25" t="b">
        <v>0</v>
      </c>
      <c r="I931" s="27" t="s">
        <v>47</v>
      </c>
      <c r="J931" s="27" t="s">
        <v>47</v>
      </c>
      <c r="K931" s="28" t="s">
        <v>47</v>
      </c>
      <c r="L931" s="112" t="s">
        <v>47</v>
      </c>
      <c r="M931" s="27" t="s">
        <v>47</v>
      </c>
      <c r="N931" s="31" t="b">
        <v>0</v>
      </c>
      <c r="O931" s="32" t="b">
        <v>0</v>
      </c>
      <c r="P931" s="32" t="b">
        <v>0</v>
      </c>
      <c r="Q931" s="32" t="b">
        <v>0</v>
      </c>
      <c r="R931" s="32" t="b">
        <v>0</v>
      </c>
      <c r="S931" s="32" t="b">
        <v>0</v>
      </c>
      <c r="T931" s="32" t="b">
        <v>0</v>
      </c>
      <c r="U931" s="32" t="b">
        <v>0</v>
      </c>
      <c r="V931" s="32" t="b">
        <v>0</v>
      </c>
      <c r="W931" s="34"/>
      <c r="X931" s="34"/>
      <c r="Y931" s="34"/>
      <c r="Z931" s="34"/>
    </row>
    <row r="932">
      <c r="A932" s="229"/>
      <c r="B932" s="230" t="s">
        <v>872</v>
      </c>
      <c r="D932" s="230">
        <f>A931-COUNTIF(D901:D931,"No evidence")</f>
        <v>3</v>
      </c>
      <c r="E932" s="235">
        <f t="shared" ref="E932:H932" si="4">COUNTIF(E902:E931,"TRUE")</f>
        <v>9</v>
      </c>
      <c r="F932" s="235">
        <f t="shared" si="4"/>
        <v>0</v>
      </c>
      <c r="G932" s="235">
        <f t="shared" si="4"/>
        <v>2</v>
      </c>
      <c r="H932" s="235">
        <f t="shared" si="4"/>
        <v>0</v>
      </c>
      <c r="I932" s="125"/>
      <c r="N932" s="20"/>
      <c r="Z932" s="20"/>
    </row>
    <row r="933">
      <c r="A933" s="19" t="s">
        <v>1052</v>
      </c>
      <c r="N933" s="20"/>
      <c r="Z933" s="20"/>
    </row>
    <row r="934">
      <c r="A934" s="41">
        <v>1.0</v>
      </c>
      <c r="B934" s="22" t="s">
        <v>1053</v>
      </c>
      <c r="C934" s="23" t="s">
        <v>1054</v>
      </c>
      <c r="D934" s="15" t="s">
        <v>29</v>
      </c>
      <c r="E934" s="25" t="b">
        <v>0</v>
      </c>
      <c r="F934" s="25" t="b">
        <v>0</v>
      </c>
      <c r="G934" s="25" t="b">
        <v>0</v>
      </c>
      <c r="H934" s="25" t="b">
        <v>0</v>
      </c>
      <c r="I934" s="188" t="s">
        <v>47</v>
      </c>
      <c r="J934" s="188" t="s">
        <v>47</v>
      </c>
      <c r="K934" s="28" t="s">
        <v>47</v>
      </c>
      <c r="L934" s="231" t="s">
        <v>47</v>
      </c>
      <c r="M934" s="38" t="s">
        <v>47</v>
      </c>
      <c r="N934" s="31" t="b">
        <v>0</v>
      </c>
      <c r="O934" s="32" t="b">
        <v>0</v>
      </c>
      <c r="P934" s="32" t="b">
        <v>0</v>
      </c>
      <c r="Q934" s="32" t="b">
        <v>0</v>
      </c>
      <c r="R934" s="32" t="b">
        <v>0</v>
      </c>
      <c r="S934" s="32" t="b">
        <v>0</v>
      </c>
      <c r="T934" s="32" t="b">
        <v>0</v>
      </c>
      <c r="U934" s="32" t="b">
        <v>0</v>
      </c>
      <c r="V934" s="32" t="b">
        <v>0</v>
      </c>
      <c r="W934" s="34"/>
      <c r="X934" s="34"/>
      <c r="Y934" s="34"/>
      <c r="Z934" s="34"/>
    </row>
    <row r="935">
      <c r="A935" s="41">
        <v>2.0</v>
      </c>
      <c r="B935" s="22" t="s">
        <v>1055</v>
      </c>
      <c r="C935" s="23" t="s">
        <v>1056</v>
      </c>
      <c r="D935" s="15" t="s">
        <v>29</v>
      </c>
      <c r="E935" s="25" t="b">
        <v>0</v>
      </c>
      <c r="F935" s="25" t="b">
        <v>0</v>
      </c>
      <c r="G935" s="25" t="b">
        <v>0</v>
      </c>
      <c r="H935" s="25" t="b">
        <v>0</v>
      </c>
      <c r="I935" s="188" t="s">
        <v>47</v>
      </c>
      <c r="J935" s="188" t="s">
        <v>47</v>
      </c>
      <c r="K935" s="28" t="s">
        <v>47</v>
      </c>
      <c r="L935" s="231" t="s">
        <v>47</v>
      </c>
      <c r="M935" s="38" t="s">
        <v>47</v>
      </c>
      <c r="N935" s="31" t="b">
        <v>0</v>
      </c>
      <c r="O935" s="32" t="b">
        <v>0</v>
      </c>
      <c r="P935" s="32" t="b">
        <v>0</v>
      </c>
      <c r="Q935" s="32" t="b">
        <v>0</v>
      </c>
      <c r="R935" s="32" t="b">
        <v>0</v>
      </c>
      <c r="S935" s="32" t="b">
        <v>0</v>
      </c>
      <c r="T935" s="32" t="b">
        <v>0</v>
      </c>
      <c r="U935" s="32" t="b">
        <v>0</v>
      </c>
      <c r="V935" s="32" t="b">
        <v>0</v>
      </c>
      <c r="W935" s="34"/>
      <c r="X935" s="34"/>
      <c r="Y935" s="34"/>
      <c r="Z935" s="34"/>
    </row>
    <row r="936">
      <c r="A936" s="41">
        <v>3.0</v>
      </c>
      <c r="B936" s="22" t="s">
        <v>1057</v>
      </c>
      <c r="C936" s="232" t="s">
        <v>1058</v>
      </c>
      <c r="D936" s="16" t="s">
        <v>30</v>
      </c>
      <c r="E936" s="42" t="b">
        <v>0</v>
      </c>
      <c r="F936" s="42" t="b">
        <v>0</v>
      </c>
      <c r="G936" s="42" t="b">
        <v>0</v>
      </c>
      <c r="H936" s="42" t="b">
        <v>1</v>
      </c>
      <c r="I936" s="159">
        <v>45535.0</v>
      </c>
      <c r="J936" s="148">
        <v>45573.0</v>
      </c>
      <c r="K936" s="45">
        <v>912.0</v>
      </c>
      <c r="L936" s="100" t="s">
        <v>1059</v>
      </c>
      <c r="M936" s="25" t="s">
        <v>38</v>
      </c>
      <c r="N936" s="48" t="b">
        <v>1</v>
      </c>
      <c r="O936" s="42" t="b">
        <v>0</v>
      </c>
      <c r="P936" s="42" t="b">
        <v>1</v>
      </c>
      <c r="Q936" s="42" t="b">
        <v>0</v>
      </c>
      <c r="R936" s="42" t="b">
        <v>0</v>
      </c>
      <c r="S936" s="42" t="b">
        <v>0</v>
      </c>
      <c r="T936" s="42" t="b">
        <v>0</v>
      </c>
      <c r="U936" s="42" t="b">
        <v>0</v>
      </c>
      <c r="V936" s="42" t="b">
        <v>0</v>
      </c>
      <c r="W936" s="33" t="s">
        <v>41</v>
      </c>
      <c r="X936" s="61" t="s">
        <v>1060</v>
      </c>
      <c r="Y936" s="185"/>
      <c r="Z936" s="185"/>
    </row>
    <row r="937">
      <c r="E937" s="25" t="b">
        <v>0</v>
      </c>
      <c r="F937" s="25" t="b">
        <v>0</v>
      </c>
      <c r="G937" s="25" t="b">
        <v>0</v>
      </c>
      <c r="H937" s="25" t="b">
        <v>1</v>
      </c>
      <c r="I937" s="159">
        <v>45042.0</v>
      </c>
      <c r="J937" s="159">
        <v>45045.0</v>
      </c>
      <c r="K937" s="28">
        <v>72.0</v>
      </c>
      <c r="L937" s="29" t="s">
        <v>1061</v>
      </c>
      <c r="M937" s="25" t="s">
        <v>38</v>
      </c>
      <c r="N937" s="25" t="b">
        <v>1</v>
      </c>
      <c r="O937" s="25" t="b">
        <v>0</v>
      </c>
      <c r="P937" s="25" t="b">
        <v>0</v>
      </c>
      <c r="Q937" s="25" t="b">
        <v>0</v>
      </c>
      <c r="R937" s="25" t="b">
        <v>0</v>
      </c>
      <c r="S937" s="25" t="b">
        <v>1</v>
      </c>
      <c r="T937" s="25" t="b">
        <v>0</v>
      </c>
      <c r="U937" s="25" t="b">
        <v>0</v>
      </c>
      <c r="V937" s="25" t="b">
        <v>0</v>
      </c>
      <c r="W937" s="33" t="s">
        <v>98</v>
      </c>
      <c r="X937" s="33" t="s">
        <v>98</v>
      </c>
      <c r="Y937" s="185"/>
      <c r="Z937" s="185"/>
    </row>
    <row r="938">
      <c r="E938" s="25" t="b">
        <v>0</v>
      </c>
      <c r="F938" s="25" t="b">
        <v>0</v>
      </c>
      <c r="G938" s="25" t="b">
        <v>1</v>
      </c>
      <c r="H938" s="25" t="b">
        <v>0</v>
      </c>
      <c r="I938" s="27">
        <v>44638.0</v>
      </c>
      <c r="J938" s="27">
        <v>44640.0</v>
      </c>
      <c r="K938" s="28">
        <v>48.0</v>
      </c>
      <c r="L938" s="29" t="s">
        <v>1062</v>
      </c>
      <c r="M938" s="30" t="s">
        <v>38</v>
      </c>
      <c r="N938" s="32" t="b">
        <v>1</v>
      </c>
      <c r="O938" s="32" t="b">
        <v>0</v>
      </c>
      <c r="P938" s="32" t="b">
        <v>0</v>
      </c>
      <c r="Q938" s="32" t="b">
        <v>0</v>
      </c>
      <c r="R938" s="32" t="b">
        <v>0</v>
      </c>
      <c r="S938" s="32" t="b">
        <v>1</v>
      </c>
      <c r="T938" s="32" t="b">
        <v>0</v>
      </c>
      <c r="U938" s="32" t="b">
        <v>0</v>
      </c>
      <c r="V938" s="32" t="b">
        <v>0</v>
      </c>
      <c r="W938" s="33" t="s">
        <v>1063</v>
      </c>
      <c r="X938" s="33" t="s">
        <v>764</v>
      </c>
      <c r="Y938" s="34"/>
      <c r="Z938" s="34"/>
    </row>
    <row r="939">
      <c r="E939" s="25" t="b">
        <v>0</v>
      </c>
      <c r="F939" s="25" t="b">
        <v>0</v>
      </c>
      <c r="G939" s="26" t="b">
        <v>0</v>
      </c>
      <c r="H939" s="26" t="b">
        <v>1</v>
      </c>
      <c r="I939" s="27">
        <v>42570.0</v>
      </c>
      <c r="J939" s="27">
        <v>42570.0</v>
      </c>
      <c r="K939" s="28">
        <v>6.0</v>
      </c>
      <c r="L939" s="29" t="s">
        <v>1064</v>
      </c>
      <c r="M939" s="30" t="s">
        <v>38</v>
      </c>
      <c r="N939" s="32" t="b">
        <v>1</v>
      </c>
      <c r="O939" s="32" t="b">
        <v>0</v>
      </c>
      <c r="P939" s="32" t="b">
        <v>0</v>
      </c>
      <c r="Q939" s="32" t="b">
        <v>0</v>
      </c>
      <c r="R939" s="32" t="b">
        <v>0</v>
      </c>
      <c r="S939" s="32" t="b">
        <v>0</v>
      </c>
      <c r="T939" s="32" t="b">
        <v>1</v>
      </c>
      <c r="U939" s="32" t="b">
        <v>0</v>
      </c>
      <c r="V939" s="32" t="b">
        <v>0</v>
      </c>
      <c r="W939" s="33" t="s">
        <v>73</v>
      </c>
      <c r="X939" s="33" t="s">
        <v>1065</v>
      </c>
      <c r="Y939" s="34"/>
      <c r="Z939" s="34"/>
    </row>
    <row r="940">
      <c r="E940" s="25" t="b">
        <v>0</v>
      </c>
      <c r="F940" s="25" t="b">
        <v>0</v>
      </c>
      <c r="G940" s="26" t="b">
        <v>0</v>
      </c>
      <c r="H940" s="26" t="b">
        <v>1</v>
      </c>
      <c r="I940" s="27">
        <v>42492.0</v>
      </c>
      <c r="J940" s="27">
        <v>42493.0</v>
      </c>
      <c r="K940" s="28">
        <v>24.0</v>
      </c>
      <c r="L940" s="29" t="s">
        <v>1066</v>
      </c>
      <c r="M940" s="30" t="s">
        <v>38</v>
      </c>
      <c r="N940" s="32" t="b">
        <v>1</v>
      </c>
      <c r="O940" s="32" t="b">
        <v>0</v>
      </c>
      <c r="P940" s="32" t="b">
        <v>0</v>
      </c>
      <c r="Q940" s="32" t="b">
        <v>0</v>
      </c>
      <c r="R940" s="32" t="b">
        <v>0</v>
      </c>
      <c r="S940" s="32" t="b">
        <v>0</v>
      </c>
      <c r="T940" s="32" t="b">
        <v>1</v>
      </c>
      <c r="U940" s="32" t="b">
        <v>0</v>
      </c>
      <c r="V940" s="32" t="b">
        <v>0</v>
      </c>
      <c r="W940" s="33" t="s">
        <v>1067</v>
      </c>
      <c r="X940" s="33" t="s">
        <v>724</v>
      </c>
      <c r="Y940" s="33" t="s">
        <v>85</v>
      </c>
      <c r="Z940" s="33"/>
    </row>
    <row r="941">
      <c r="E941" s="25" t="b">
        <v>0</v>
      </c>
      <c r="F941" s="25" t="b">
        <v>0</v>
      </c>
      <c r="G941" s="26" t="b">
        <v>0</v>
      </c>
      <c r="H941" s="26" t="b">
        <v>1</v>
      </c>
      <c r="I941" s="27">
        <v>42354.0</v>
      </c>
      <c r="J941" s="27">
        <v>42355.0</v>
      </c>
      <c r="K941" s="28">
        <v>12.0</v>
      </c>
      <c r="L941" s="29" t="s">
        <v>1068</v>
      </c>
      <c r="M941" s="30" t="s">
        <v>38</v>
      </c>
      <c r="N941" s="32" t="b">
        <v>1</v>
      </c>
      <c r="O941" s="32" t="b">
        <v>0</v>
      </c>
      <c r="P941" s="32" t="b">
        <v>0</v>
      </c>
      <c r="Q941" s="32" t="b">
        <v>0</v>
      </c>
      <c r="R941" s="32" t="b">
        <v>0</v>
      </c>
      <c r="S941" s="32" t="b">
        <v>0</v>
      </c>
      <c r="T941" s="32" t="b">
        <v>1</v>
      </c>
      <c r="U941" s="32" t="b">
        <v>0</v>
      </c>
      <c r="V941" s="32" t="b">
        <v>0</v>
      </c>
      <c r="W941" s="33" t="s">
        <v>93</v>
      </c>
      <c r="X941" s="33" t="s">
        <v>1069</v>
      </c>
      <c r="Y941" s="34"/>
      <c r="Z941" s="34"/>
    </row>
    <row r="942">
      <c r="A942" s="41">
        <v>4.0</v>
      </c>
      <c r="B942" s="22" t="s">
        <v>1070</v>
      </c>
      <c r="C942" s="23" t="s">
        <v>1071</v>
      </c>
      <c r="D942" s="15" t="s">
        <v>29</v>
      </c>
      <c r="E942" s="25" t="b">
        <v>0</v>
      </c>
      <c r="F942" s="25" t="b">
        <v>0</v>
      </c>
      <c r="G942" s="25" t="b">
        <v>0</v>
      </c>
      <c r="H942" s="25" t="b">
        <v>0</v>
      </c>
      <c r="I942" s="188" t="s">
        <v>47</v>
      </c>
      <c r="J942" s="188" t="s">
        <v>47</v>
      </c>
      <c r="K942" s="28" t="s">
        <v>47</v>
      </c>
      <c r="L942" s="231" t="s">
        <v>47</v>
      </c>
      <c r="M942" s="38" t="s">
        <v>47</v>
      </c>
      <c r="N942" s="31" t="b">
        <v>0</v>
      </c>
      <c r="O942" s="32" t="b">
        <v>0</v>
      </c>
      <c r="P942" s="32" t="b">
        <v>0</v>
      </c>
      <c r="Q942" s="32" t="b">
        <v>0</v>
      </c>
      <c r="R942" s="32" t="b">
        <v>0</v>
      </c>
      <c r="S942" s="32" t="b">
        <v>0</v>
      </c>
      <c r="T942" s="32" t="b">
        <v>0</v>
      </c>
      <c r="U942" s="32" t="b">
        <v>0</v>
      </c>
      <c r="V942" s="32" t="b">
        <v>0</v>
      </c>
      <c r="W942" s="34"/>
      <c r="X942" s="34"/>
      <c r="Y942" s="34"/>
      <c r="Z942" s="34"/>
    </row>
    <row r="943">
      <c r="A943" s="41">
        <v>5.0</v>
      </c>
      <c r="B943" s="22" t="s">
        <v>1072</v>
      </c>
      <c r="C943" s="232" t="s">
        <v>1073</v>
      </c>
      <c r="D943" s="24" t="s">
        <v>36</v>
      </c>
      <c r="E943" s="25" t="b">
        <v>1</v>
      </c>
      <c r="F943" s="25" t="b">
        <v>0</v>
      </c>
      <c r="G943" s="25" t="b">
        <v>0</v>
      </c>
      <c r="H943" s="25" t="b">
        <v>0</v>
      </c>
      <c r="I943" s="27">
        <v>44320.0</v>
      </c>
      <c r="J943" s="27">
        <v>44321.0</v>
      </c>
      <c r="K943" s="28">
        <v>12.0</v>
      </c>
      <c r="L943" s="29" t="s">
        <v>1074</v>
      </c>
      <c r="M943" s="30" t="s">
        <v>1075</v>
      </c>
      <c r="N943" s="32" t="b">
        <v>0</v>
      </c>
      <c r="O943" s="32" t="b">
        <v>0</v>
      </c>
      <c r="P943" s="32" t="b">
        <v>0</v>
      </c>
      <c r="Q943" s="32" t="b">
        <v>0</v>
      </c>
      <c r="R943" s="32" t="b">
        <v>0</v>
      </c>
      <c r="S943" s="32" t="b">
        <v>0</v>
      </c>
      <c r="T943" s="32" t="b">
        <v>0</v>
      </c>
      <c r="U943" s="32" t="b">
        <v>0</v>
      </c>
      <c r="V943" s="32" t="b">
        <v>0</v>
      </c>
      <c r="W943" s="33" t="s">
        <v>39</v>
      </c>
      <c r="X943" s="34"/>
      <c r="Y943" s="34"/>
      <c r="Z943" s="34"/>
    </row>
    <row r="944">
      <c r="A944" s="41">
        <v>6.0</v>
      </c>
      <c r="B944" s="22" t="s">
        <v>1076</v>
      </c>
      <c r="C944" s="232" t="s">
        <v>1077</v>
      </c>
      <c r="D944" s="24" t="s">
        <v>36</v>
      </c>
      <c r="E944" s="25" t="b">
        <v>1</v>
      </c>
      <c r="F944" s="25" t="b">
        <v>0</v>
      </c>
      <c r="G944" s="25" t="b">
        <v>0</v>
      </c>
      <c r="H944" s="25" t="b">
        <v>0</v>
      </c>
      <c r="I944" s="27">
        <v>43750.0</v>
      </c>
      <c r="J944" s="27">
        <v>43750.0</v>
      </c>
      <c r="K944" s="28">
        <v>4.0</v>
      </c>
      <c r="L944" s="29" t="s">
        <v>1078</v>
      </c>
      <c r="M944" s="30" t="s">
        <v>1079</v>
      </c>
      <c r="N944" s="32" t="b">
        <v>0</v>
      </c>
      <c r="O944" s="32" t="b">
        <v>0</v>
      </c>
      <c r="P944" s="32" t="b">
        <v>0</v>
      </c>
      <c r="Q944" s="32" t="b">
        <v>0</v>
      </c>
      <c r="R944" s="32" t="b">
        <v>0</v>
      </c>
      <c r="S944" s="32" t="b">
        <v>0</v>
      </c>
      <c r="T944" s="32" t="b">
        <v>0</v>
      </c>
      <c r="U944" s="32" t="b">
        <v>0</v>
      </c>
      <c r="V944" s="32" t="b">
        <v>0</v>
      </c>
      <c r="W944" s="33" t="s">
        <v>39</v>
      </c>
      <c r="X944" s="34"/>
      <c r="Y944" s="34"/>
      <c r="Z944" s="34"/>
    </row>
    <row r="945">
      <c r="E945" s="25" t="b">
        <v>1</v>
      </c>
      <c r="F945" s="25" t="b">
        <v>0</v>
      </c>
      <c r="G945" s="25" t="b">
        <v>0</v>
      </c>
      <c r="H945" s="25" t="b">
        <v>0</v>
      </c>
      <c r="I945" s="27">
        <v>43744.0</v>
      </c>
      <c r="J945" s="27">
        <v>43745.0</v>
      </c>
      <c r="K945" s="28">
        <v>14.0</v>
      </c>
      <c r="L945" s="29" t="s">
        <v>1080</v>
      </c>
      <c r="M945" s="30" t="s">
        <v>38</v>
      </c>
      <c r="N945" s="32" t="b">
        <v>1</v>
      </c>
      <c r="O945" s="32" t="b">
        <v>1</v>
      </c>
      <c r="P945" s="32" t="b">
        <v>0</v>
      </c>
      <c r="Q945" s="32" t="b">
        <v>0</v>
      </c>
      <c r="R945" s="32" t="b">
        <v>1</v>
      </c>
      <c r="S945" s="32" t="b">
        <v>0</v>
      </c>
      <c r="T945" s="32" t="b">
        <v>1</v>
      </c>
      <c r="U945" s="32" t="b">
        <v>0</v>
      </c>
      <c r="V945" s="32" t="b">
        <v>0</v>
      </c>
      <c r="W945" s="33" t="s">
        <v>39</v>
      </c>
      <c r="X945" s="34"/>
      <c r="Y945" s="34"/>
      <c r="Z945" s="34"/>
    </row>
    <row r="946">
      <c r="A946" s="41">
        <v>7.0</v>
      </c>
      <c r="B946" s="22" t="s">
        <v>1081</v>
      </c>
      <c r="C946" s="23" t="s">
        <v>1082</v>
      </c>
      <c r="D946" s="15" t="s">
        <v>29</v>
      </c>
      <c r="E946" s="25" t="b">
        <v>0</v>
      </c>
      <c r="F946" s="25" t="b">
        <v>0</v>
      </c>
      <c r="G946" s="25" t="b">
        <v>0</v>
      </c>
      <c r="H946" s="25" t="b">
        <v>0</v>
      </c>
      <c r="I946" s="188" t="s">
        <v>47</v>
      </c>
      <c r="J946" s="188" t="s">
        <v>47</v>
      </c>
      <c r="K946" s="28" t="s">
        <v>47</v>
      </c>
      <c r="L946" s="231" t="s">
        <v>47</v>
      </c>
      <c r="M946" s="38" t="s">
        <v>47</v>
      </c>
      <c r="N946" s="31" t="b">
        <v>0</v>
      </c>
      <c r="O946" s="32" t="b">
        <v>0</v>
      </c>
      <c r="P946" s="32" t="b">
        <v>0</v>
      </c>
      <c r="Q946" s="32" t="b">
        <v>0</v>
      </c>
      <c r="R946" s="32" t="b">
        <v>0</v>
      </c>
      <c r="S946" s="32" t="b">
        <v>0</v>
      </c>
      <c r="T946" s="32" t="b">
        <v>0</v>
      </c>
      <c r="U946" s="32" t="b">
        <v>0</v>
      </c>
      <c r="V946" s="32" t="b">
        <v>0</v>
      </c>
      <c r="W946" s="34"/>
      <c r="X946" s="34"/>
      <c r="Y946" s="34"/>
      <c r="Z946" s="34"/>
    </row>
    <row r="947">
      <c r="A947" s="41">
        <v>8.0</v>
      </c>
      <c r="B947" s="22" t="s">
        <v>1083</v>
      </c>
      <c r="C947" s="23" t="s">
        <v>1084</v>
      </c>
      <c r="D947" s="15" t="s">
        <v>29</v>
      </c>
      <c r="E947" s="25" t="b">
        <v>0</v>
      </c>
      <c r="F947" s="25" t="b">
        <v>0</v>
      </c>
      <c r="G947" s="25" t="b">
        <v>0</v>
      </c>
      <c r="H947" s="25" t="b">
        <v>0</v>
      </c>
      <c r="I947" s="188" t="s">
        <v>47</v>
      </c>
      <c r="J947" s="188" t="s">
        <v>47</v>
      </c>
      <c r="K947" s="28" t="s">
        <v>47</v>
      </c>
      <c r="L947" s="231" t="s">
        <v>47</v>
      </c>
      <c r="M947" s="38" t="s">
        <v>47</v>
      </c>
      <c r="N947" s="31" t="b">
        <v>0</v>
      </c>
      <c r="O947" s="32" t="b">
        <v>0</v>
      </c>
      <c r="P947" s="32" t="b">
        <v>0</v>
      </c>
      <c r="Q947" s="32" t="b">
        <v>0</v>
      </c>
      <c r="R947" s="32" t="b">
        <v>0</v>
      </c>
      <c r="S947" s="32" t="b">
        <v>0</v>
      </c>
      <c r="T947" s="32" t="b">
        <v>0</v>
      </c>
      <c r="U947" s="32" t="b">
        <v>0</v>
      </c>
      <c r="V947" s="32" t="b">
        <v>0</v>
      </c>
      <c r="W947" s="34"/>
      <c r="X947" s="34"/>
      <c r="Y947" s="34"/>
      <c r="Z947" s="34"/>
    </row>
    <row r="948">
      <c r="A948" s="41">
        <v>9.0</v>
      </c>
      <c r="B948" s="22" t="s">
        <v>1085</v>
      </c>
      <c r="C948" s="23" t="s">
        <v>1086</v>
      </c>
      <c r="D948" s="15" t="s">
        <v>29</v>
      </c>
      <c r="E948" s="25" t="b">
        <v>0</v>
      </c>
      <c r="F948" s="25" t="b">
        <v>0</v>
      </c>
      <c r="G948" s="25" t="b">
        <v>0</v>
      </c>
      <c r="H948" s="25" t="b">
        <v>0</v>
      </c>
      <c r="I948" s="188" t="s">
        <v>47</v>
      </c>
      <c r="J948" s="188" t="s">
        <v>47</v>
      </c>
      <c r="K948" s="28" t="s">
        <v>47</v>
      </c>
      <c r="L948" s="231" t="s">
        <v>47</v>
      </c>
      <c r="M948" s="38" t="s">
        <v>47</v>
      </c>
      <c r="N948" s="31" t="b">
        <v>0</v>
      </c>
      <c r="O948" s="32" t="b">
        <v>0</v>
      </c>
      <c r="P948" s="32" t="b">
        <v>0</v>
      </c>
      <c r="Q948" s="32" t="b">
        <v>0</v>
      </c>
      <c r="R948" s="32" t="b">
        <v>0</v>
      </c>
      <c r="S948" s="32" t="b">
        <v>0</v>
      </c>
      <c r="T948" s="32" t="b">
        <v>0</v>
      </c>
      <c r="U948" s="32" t="b">
        <v>0</v>
      </c>
      <c r="V948" s="32" t="b">
        <v>0</v>
      </c>
      <c r="W948" s="34"/>
      <c r="X948" s="34"/>
      <c r="Y948" s="34"/>
      <c r="Z948" s="34"/>
    </row>
    <row r="949">
      <c r="A949" s="41">
        <v>10.0</v>
      </c>
      <c r="B949" s="22" t="s">
        <v>1087</v>
      </c>
      <c r="C949" s="23" t="s">
        <v>1088</v>
      </c>
      <c r="D949" s="24" t="s">
        <v>36</v>
      </c>
      <c r="E949" s="26" t="b">
        <v>1</v>
      </c>
      <c r="F949" s="25" t="b">
        <v>0</v>
      </c>
      <c r="G949" s="25" t="b">
        <v>0</v>
      </c>
      <c r="H949" s="25" t="b">
        <v>0</v>
      </c>
      <c r="I949" s="60">
        <v>44974.0</v>
      </c>
      <c r="J949" s="60">
        <v>44975.0</v>
      </c>
      <c r="K949" s="28">
        <v>12.0</v>
      </c>
      <c r="L949" s="81" t="s">
        <v>1089</v>
      </c>
      <c r="M949" s="30" t="s">
        <v>38</v>
      </c>
      <c r="N949" s="65" t="b">
        <v>1</v>
      </c>
      <c r="O949" s="63" t="b">
        <v>1</v>
      </c>
      <c r="P949" s="32" t="b">
        <v>0</v>
      </c>
      <c r="Q949" s="32" t="b">
        <v>0</v>
      </c>
      <c r="R949" s="63" t="b">
        <v>1</v>
      </c>
      <c r="S949" s="32" t="b">
        <v>0</v>
      </c>
      <c r="T949" s="63" t="b">
        <v>1</v>
      </c>
      <c r="U949" s="32" t="b">
        <v>0</v>
      </c>
      <c r="V949" s="32" t="b">
        <v>0</v>
      </c>
      <c r="W949" s="61" t="s">
        <v>41</v>
      </c>
      <c r="X949" s="34"/>
      <c r="Y949" s="34"/>
      <c r="Z949" s="34"/>
    </row>
    <row r="950">
      <c r="A950" s="41">
        <v>11.0</v>
      </c>
      <c r="B950" s="22" t="s">
        <v>1090</v>
      </c>
      <c r="C950" s="23" t="s">
        <v>1091</v>
      </c>
      <c r="D950" s="15" t="s">
        <v>29</v>
      </c>
      <c r="E950" s="25" t="b">
        <v>0</v>
      </c>
      <c r="F950" s="25" t="b">
        <v>0</v>
      </c>
      <c r="G950" s="25" t="b">
        <v>0</v>
      </c>
      <c r="H950" s="25" t="b">
        <v>0</v>
      </c>
      <c r="I950" s="188" t="s">
        <v>47</v>
      </c>
      <c r="J950" s="188" t="s">
        <v>47</v>
      </c>
      <c r="K950" s="28" t="s">
        <v>47</v>
      </c>
      <c r="L950" s="231" t="s">
        <v>47</v>
      </c>
      <c r="M950" s="38" t="s">
        <v>47</v>
      </c>
      <c r="N950" s="31" t="b">
        <v>0</v>
      </c>
      <c r="O950" s="32" t="b">
        <v>0</v>
      </c>
      <c r="P950" s="32" t="b">
        <v>0</v>
      </c>
      <c r="Q950" s="32" t="b">
        <v>0</v>
      </c>
      <c r="R950" s="32" t="b">
        <v>0</v>
      </c>
      <c r="S950" s="32" t="b">
        <v>0</v>
      </c>
      <c r="T950" s="32" t="b">
        <v>0</v>
      </c>
      <c r="U950" s="32" t="b">
        <v>0</v>
      </c>
      <c r="V950" s="32" t="b">
        <v>0</v>
      </c>
      <c r="W950" s="34"/>
      <c r="X950" s="34"/>
      <c r="Y950" s="34"/>
      <c r="Z950" s="34"/>
    </row>
    <row r="951">
      <c r="A951" s="139">
        <v>12.0</v>
      </c>
      <c r="B951" s="22" t="s">
        <v>1092</v>
      </c>
      <c r="C951" s="23" t="s">
        <v>1093</v>
      </c>
      <c r="D951" s="24" t="s">
        <v>36</v>
      </c>
      <c r="E951" s="42" t="b">
        <v>0</v>
      </c>
      <c r="F951" s="42" t="b">
        <v>0</v>
      </c>
      <c r="G951" s="42" t="b">
        <v>1</v>
      </c>
      <c r="H951" s="42" t="b">
        <v>0</v>
      </c>
      <c r="I951" s="93">
        <v>45513.0</v>
      </c>
      <c r="J951" s="93">
        <v>45523.0</v>
      </c>
      <c r="K951" s="134">
        <v>240.0</v>
      </c>
      <c r="L951" s="207" t="s">
        <v>1094</v>
      </c>
      <c r="M951" s="208" t="s">
        <v>38</v>
      </c>
      <c r="N951" s="48" t="b">
        <v>1</v>
      </c>
      <c r="O951" s="42" t="b">
        <v>0</v>
      </c>
      <c r="P951" s="42" t="b">
        <v>1</v>
      </c>
      <c r="Q951" s="42" t="b">
        <v>0</v>
      </c>
      <c r="R951" s="42" t="b">
        <v>0</v>
      </c>
      <c r="S951" s="42" t="b">
        <v>0</v>
      </c>
      <c r="T951" s="42" t="b">
        <v>0</v>
      </c>
      <c r="U951" s="42" t="b">
        <v>0</v>
      </c>
      <c r="V951" s="42" t="b">
        <v>0</v>
      </c>
      <c r="W951" s="54" t="s">
        <v>39</v>
      </c>
      <c r="X951" s="50"/>
      <c r="Y951" s="51"/>
      <c r="Z951" s="51"/>
    </row>
    <row r="952">
      <c r="E952" s="42" t="b">
        <v>0</v>
      </c>
      <c r="F952" s="42" t="b">
        <v>1</v>
      </c>
      <c r="G952" s="42" t="b">
        <v>0</v>
      </c>
      <c r="H952" s="42" t="b">
        <v>0</v>
      </c>
      <c r="I952" s="52">
        <v>45222.0</v>
      </c>
      <c r="J952" s="52">
        <v>45222.0</v>
      </c>
      <c r="K952" s="28">
        <v>2.0</v>
      </c>
      <c r="L952" s="182" t="s">
        <v>1095</v>
      </c>
      <c r="M952" s="47" t="s">
        <v>38</v>
      </c>
      <c r="N952" s="48" t="b">
        <v>0</v>
      </c>
      <c r="O952" s="42" t="b">
        <v>0</v>
      </c>
      <c r="P952" s="42" t="b">
        <v>0</v>
      </c>
      <c r="Q952" s="42" t="b">
        <v>0</v>
      </c>
      <c r="R952" s="42" t="b">
        <v>0</v>
      </c>
      <c r="S952" s="42" t="b">
        <v>0</v>
      </c>
      <c r="T952" s="42" t="b">
        <v>0</v>
      </c>
      <c r="U952" s="42" t="b">
        <v>0</v>
      </c>
      <c r="V952" s="42" t="b">
        <v>0</v>
      </c>
      <c r="W952" s="54" t="s">
        <v>41</v>
      </c>
      <c r="X952" s="50"/>
      <c r="Y952" s="51"/>
      <c r="Z952" s="51"/>
    </row>
    <row r="953">
      <c r="E953" s="25" t="b">
        <v>0</v>
      </c>
      <c r="F953" s="25" t="b">
        <v>0</v>
      </c>
      <c r="G953" s="25" t="b">
        <v>1</v>
      </c>
      <c r="H953" s="25" t="b">
        <v>0</v>
      </c>
      <c r="I953" s="27">
        <v>43835.0</v>
      </c>
      <c r="J953" s="27">
        <v>43835.0</v>
      </c>
      <c r="K953" s="28">
        <v>3.0</v>
      </c>
      <c r="L953" s="29" t="s">
        <v>1096</v>
      </c>
      <c r="M953" s="30" t="s">
        <v>38</v>
      </c>
      <c r="N953" s="32" t="b">
        <v>1</v>
      </c>
      <c r="O953" s="32" t="b">
        <v>1</v>
      </c>
      <c r="P953" s="32" t="b">
        <v>1</v>
      </c>
      <c r="Q953" s="32" t="b">
        <v>1</v>
      </c>
      <c r="R953" s="32" t="b">
        <v>1</v>
      </c>
      <c r="S953" s="32" t="b">
        <v>0</v>
      </c>
      <c r="T953" s="32" t="b">
        <v>0</v>
      </c>
      <c r="U953" s="32" t="b">
        <v>0</v>
      </c>
      <c r="V953" s="32" t="b">
        <v>0</v>
      </c>
      <c r="W953" s="33" t="s">
        <v>39</v>
      </c>
      <c r="X953" s="34"/>
      <c r="Y953" s="34"/>
      <c r="Z953" s="34"/>
    </row>
    <row r="954">
      <c r="E954" s="25" t="b">
        <v>0</v>
      </c>
      <c r="F954" s="25" t="b">
        <v>0</v>
      </c>
      <c r="G954" s="25" t="b">
        <v>0</v>
      </c>
      <c r="H954" s="25" t="b">
        <v>0</v>
      </c>
      <c r="I954" s="27"/>
      <c r="J954" s="27"/>
      <c r="K954" s="28"/>
      <c r="L954" s="29"/>
      <c r="M954" s="30"/>
      <c r="N954" s="32" t="b">
        <v>0</v>
      </c>
      <c r="O954" s="32" t="b">
        <v>0</v>
      </c>
      <c r="P954" s="32" t="b">
        <v>0</v>
      </c>
      <c r="Q954" s="32" t="b">
        <v>0</v>
      </c>
      <c r="R954" s="32" t="b">
        <v>0</v>
      </c>
      <c r="S954" s="32" t="b">
        <v>0</v>
      </c>
      <c r="T954" s="32" t="b">
        <v>0</v>
      </c>
      <c r="U954" s="32" t="b">
        <v>0</v>
      </c>
      <c r="V954" s="32" t="b">
        <v>0</v>
      </c>
      <c r="W954" s="33"/>
      <c r="X954" s="34"/>
      <c r="Y954" s="34"/>
      <c r="Z954" s="34"/>
    </row>
    <row r="955">
      <c r="E955" s="25" t="b">
        <v>1</v>
      </c>
      <c r="F955" s="25" t="b">
        <v>0</v>
      </c>
      <c r="G955" s="25" t="b">
        <v>0</v>
      </c>
      <c r="H955" s="25" t="b">
        <v>0</v>
      </c>
      <c r="I955" s="27">
        <v>43785.0</v>
      </c>
      <c r="J955" s="27">
        <v>43785.0</v>
      </c>
      <c r="K955" s="28">
        <v>1.0</v>
      </c>
      <c r="L955" s="29" t="s">
        <v>1097</v>
      </c>
      <c r="M955" s="30" t="s">
        <v>38</v>
      </c>
      <c r="N955" s="32" t="b">
        <v>1</v>
      </c>
      <c r="O955" s="32" t="b">
        <v>1</v>
      </c>
      <c r="P955" s="32" t="b">
        <v>1</v>
      </c>
      <c r="Q955" s="32" t="b">
        <v>1</v>
      </c>
      <c r="R955" s="32" t="b">
        <v>1</v>
      </c>
      <c r="S955" s="32" t="b">
        <v>0</v>
      </c>
      <c r="T955" s="32" t="b">
        <v>0</v>
      </c>
      <c r="U955" s="32" t="b">
        <v>0</v>
      </c>
      <c r="V955" s="32" t="b">
        <v>0</v>
      </c>
      <c r="W955" s="33" t="s">
        <v>41</v>
      </c>
      <c r="X955" s="34"/>
      <c r="Y955" s="34"/>
      <c r="Z955" s="34"/>
    </row>
    <row r="956">
      <c r="E956" s="25" t="b">
        <v>0</v>
      </c>
      <c r="F956" s="25" t="b">
        <v>0</v>
      </c>
      <c r="G956" s="25" t="b">
        <v>1</v>
      </c>
      <c r="H956" s="25" t="b">
        <v>0</v>
      </c>
      <c r="I956" s="27">
        <v>43634.0</v>
      </c>
      <c r="J956" s="27">
        <v>43634.0</v>
      </c>
      <c r="K956" s="28">
        <v>2.0</v>
      </c>
      <c r="L956" s="29" t="s">
        <v>1098</v>
      </c>
      <c r="M956" s="30" t="s">
        <v>38</v>
      </c>
      <c r="N956" s="32" t="b">
        <v>1</v>
      </c>
      <c r="O956" s="32" t="b">
        <v>0</v>
      </c>
      <c r="P956" s="32" t="b">
        <v>1</v>
      </c>
      <c r="Q956" s="32" t="b">
        <v>0</v>
      </c>
      <c r="R956" s="32" t="b">
        <v>1</v>
      </c>
      <c r="S956" s="32" t="b">
        <v>0</v>
      </c>
      <c r="T956" s="32" t="b">
        <v>0</v>
      </c>
      <c r="U956" s="32" t="b">
        <v>0</v>
      </c>
      <c r="V956" s="32" t="b">
        <v>0</v>
      </c>
      <c r="W956" s="33" t="s">
        <v>39</v>
      </c>
      <c r="X956" s="34"/>
      <c r="Y956" s="34"/>
      <c r="Z956" s="34"/>
    </row>
    <row r="957">
      <c r="E957" s="25" t="b">
        <v>0</v>
      </c>
      <c r="F957" s="25" t="b">
        <v>0</v>
      </c>
      <c r="G957" s="25" t="b">
        <v>1</v>
      </c>
      <c r="H957" s="25" t="b">
        <v>0</v>
      </c>
      <c r="I957" s="27">
        <v>43633.0</v>
      </c>
      <c r="J957" s="27">
        <v>43633.0</v>
      </c>
      <c r="K957" s="28">
        <v>1.0</v>
      </c>
      <c r="L957" s="29" t="s">
        <v>1099</v>
      </c>
      <c r="M957" s="30" t="s">
        <v>38</v>
      </c>
      <c r="N957" s="32" t="b">
        <v>1</v>
      </c>
      <c r="O957" s="32" t="b">
        <v>0</v>
      </c>
      <c r="P957" s="32" t="b">
        <v>0</v>
      </c>
      <c r="Q957" s="32" t="b">
        <v>1</v>
      </c>
      <c r="R957" s="32" t="b">
        <v>0</v>
      </c>
      <c r="S957" s="32" t="b">
        <v>0</v>
      </c>
      <c r="T957" s="32" t="b">
        <v>0</v>
      </c>
      <c r="U957" s="32" t="b">
        <v>0</v>
      </c>
      <c r="V957" s="32" t="b">
        <v>0</v>
      </c>
      <c r="W957" s="33" t="s">
        <v>39</v>
      </c>
      <c r="X957" s="34"/>
      <c r="Y957" s="34"/>
      <c r="Z957" s="34"/>
    </row>
    <row r="958">
      <c r="E958" s="25" t="b">
        <v>0</v>
      </c>
      <c r="F958" s="25" t="b">
        <v>0</v>
      </c>
      <c r="G958" s="25" t="b">
        <v>1</v>
      </c>
      <c r="H958" s="25" t="b">
        <v>0</v>
      </c>
      <c r="I958" s="27">
        <v>43609.0</v>
      </c>
      <c r="J958" s="27">
        <v>43609.0</v>
      </c>
      <c r="K958" s="28">
        <v>1.0</v>
      </c>
      <c r="L958" s="29" t="s">
        <v>1100</v>
      </c>
      <c r="M958" s="30" t="s">
        <v>38</v>
      </c>
      <c r="N958" s="32" t="b">
        <v>1</v>
      </c>
      <c r="O958" s="32" t="b">
        <v>0</v>
      </c>
      <c r="P958" s="32" t="b">
        <v>0</v>
      </c>
      <c r="Q958" s="32" t="b">
        <v>1</v>
      </c>
      <c r="R958" s="32" t="b">
        <v>0</v>
      </c>
      <c r="S958" s="32" t="b">
        <v>0</v>
      </c>
      <c r="T958" s="32" t="b">
        <v>0</v>
      </c>
      <c r="U958" s="32" t="b">
        <v>0</v>
      </c>
      <c r="V958" s="32" t="b">
        <v>0</v>
      </c>
      <c r="W958" s="33" t="s">
        <v>39</v>
      </c>
      <c r="X958" s="34"/>
      <c r="Y958" s="34"/>
      <c r="Z958" s="34"/>
    </row>
    <row r="959">
      <c r="E959" s="25" t="b">
        <v>0</v>
      </c>
      <c r="F959" s="25" t="b">
        <v>0</v>
      </c>
      <c r="G959" s="25" t="b">
        <v>1</v>
      </c>
      <c r="H959" s="25" t="b">
        <v>0</v>
      </c>
      <c r="I959" s="27">
        <v>43608.0</v>
      </c>
      <c r="J959" s="27">
        <v>43608.0</v>
      </c>
      <c r="K959" s="28">
        <v>1.0</v>
      </c>
      <c r="L959" s="29" t="s">
        <v>1101</v>
      </c>
      <c r="M959" s="30" t="s">
        <v>38</v>
      </c>
      <c r="N959" s="32" t="b">
        <v>1</v>
      </c>
      <c r="O959" s="32" t="b">
        <v>0</v>
      </c>
      <c r="P959" s="32" t="b">
        <v>0</v>
      </c>
      <c r="Q959" s="32" t="b">
        <v>1</v>
      </c>
      <c r="R959" s="32" t="b">
        <v>0</v>
      </c>
      <c r="S959" s="32" t="b">
        <v>0</v>
      </c>
      <c r="T959" s="32" t="b">
        <v>0</v>
      </c>
      <c r="U959" s="32" t="b">
        <v>0</v>
      </c>
      <c r="V959" s="32" t="b">
        <v>0</v>
      </c>
      <c r="W959" s="33" t="s">
        <v>39</v>
      </c>
      <c r="X959" s="34"/>
      <c r="Y959" s="34"/>
      <c r="Z959" s="34"/>
    </row>
    <row r="960">
      <c r="E960" s="25" t="b">
        <v>0</v>
      </c>
      <c r="F960" s="25" t="b">
        <v>0</v>
      </c>
      <c r="G960" s="25" t="b">
        <v>1</v>
      </c>
      <c r="H960" s="25" t="b">
        <v>0</v>
      </c>
      <c r="I960" s="27">
        <v>43606.0</v>
      </c>
      <c r="J960" s="27">
        <v>43606.0</v>
      </c>
      <c r="K960" s="28">
        <v>3.0</v>
      </c>
      <c r="L960" s="29" t="s">
        <v>1102</v>
      </c>
      <c r="M960" s="30" t="s">
        <v>38</v>
      </c>
      <c r="N960" s="32" t="b">
        <v>1</v>
      </c>
      <c r="O960" s="32" t="b">
        <v>0</v>
      </c>
      <c r="P960" s="32" t="b">
        <v>0</v>
      </c>
      <c r="Q960" s="32" t="b">
        <v>1</v>
      </c>
      <c r="R960" s="32" t="b">
        <v>0</v>
      </c>
      <c r="S960" s="32" t="b">
        <v>0</v>
      </c>
      <c r="T960" s="32" t="b">
        <v>0</v>
      </c>
      <c r="U960" s="32" t="b">
        <v>0</v>
      </c>
      <c r="V960" s="32" t="b">
        <v>0</v>
      </c>
      <c r="W960" s="33" t="s">
        <v>39</v>
      </c>
      <c r="X960" s="34"/>
      <c r="Y960" s="34"/>
      <c r="Z960" s="34"/>
    </row>
    <row r="961">
      <c r="E961" s="25" t="b">
        <v>0</v>
      </c>
      <c r="F961" s="25" t="b">
        <v>0</v>
      </c>
      <c r="G961" s="25" t="b">
        <v>1</v>
      </c>
      <c r="H961" s="25" t="b">
        <v>0</v>
      </c>
      <c r="I961" s="27">
        <v>43603.0</v>
      </c>
      <c r="J961" s="27">
        <v>43603.0</v>
      </c>
      <c r="K961" s="28">
        <v>1.0</v>
      </c>
      <c r="L961" s="29" t="s">
        <v>1103</v>
      </c>
      <c r="M961" s="30" t="s">
        <v>38</v>
      </c>
      <c r="N961" s="32" t="b">
        <v>1</v>
      </c>
      <c r="O961" s="32" t="b">
        <v>0</v>
      </c>
      <c r="P961" s="32" t="b">
        <v>0</v>
      </c>
      <c r="Q961" s="32" t="b">
        <v>1</v>
      </c>
      <c r="R961" s="32" t="b">
        <v>0</v>
      </c>
      <c r="S961" s="32" t="b">
        <v>0</v>
      </c>
      <c r="T961" s="32" t="b">
        <v>0</v>
      </c>
      <c r="U961" s="32" t="b">
        <v>0</v>
      </c>
      <c r="V961" s="32" t="b">
        <v>0</v>
      </c>
      <c r="W961" s="33" t="s">
        <v>39</v>
      </c>
      <c r="X961" s="34"/>
      <c r="Y961" s="34"/>
      <c r="Z961" s="34"/>
    </row>
    <row r="962">
      <c r="E962" s="25" t="b">
        <v>0</v>
      </c>
      <c r="F962" s="25" t="b">
        <v>0</v>
      </c>
      <c r="G962" s="25" t="b">
        <v>1</v>
      </c>
      <c r="H962" s="25" t="b">
        <v>0</v>
      </c>
      <c r="I962" s="27">
        <v>43601.0</v>
      </c>
      <c r="J962" s="27">
        <v>43601.0</v>
      </c>
      <c r="K962" s="28">
        <v>3.0</v>
      </c>
      <c r="L962" s="29" t="s">
        <v>1104</v>
      </c>
      <c r="M962" s="30" t="s">
        <v>38</v>
      </c>
      <c r="N962" s="32" t="b">
        <v>1</v>
      </c>
      <c r="O962" s="32" t="b">
        <v>0</v>
      </c>
      <c r="P962" s="32" t="b">
        <v>0</v>
      </c>
      <c r="Q962" s="32" t="b">
        <v>1</v>
      </c>
      <c r="R962" s="32" t="b">
        <v>0</v>
      </c>
      <c r="S962" s="32" t="b">
        <v>0</v>
      </c>
      <c r="T962" s="32" t="b">
        <v>0</v>
      </c>
      <c r="U962" s="32" t="b">
        <v>0</v>
      </c>
      <c r="V962" s="32" t="b">
        <v>0</v>
      </c>
      <c r="W962" s="33" t="s">
        <v>39</v>
      </c>
      <c r="X962" s="34"/>
      <c r="Y962" s="34"/>
      <c r="Z962" s="34"/>
    </row>
    <row r="963">
      <c r="E963" s="25" t="b">
        <v>0</v>
      </c>
      <c r="F963" s="25" t="b">
        <v>0</v>
      </c>
      <c r="G963" s="25" t="b">
        <v>1</v>
      </c>
      <c r="H963" s="25" t="b">
        <v>0</v>
      </c>
      <c r="I963" s="27">
        <v>43599.0</v>
      </c>
      <c r="J963" s="27">
        <v>43599.0</v>
      </c>
      <c r="K963" s="28">
        <v>2.0</v>
      </c>
      <c r="L963" s="29" t="s">
        <v>1105</v>
      </c>
      <c r="M963" s="30" t="s">
        <v>38</v>
      </c>
      <c r="N963" s="32" t="b">
        <v>1</v>
      </c>
      <c r="O963" s="32" t="b">
        <v>0</v>
      </c>
      <c r="P963" s="32" t="b">
        <v>0</v>
      </c>
      <c r="Q963" s="32" t="b">
        <v>1</v>
      </c>
      <c r="R963" s="32" t="b">
        <v>0</v>
      </c>
      <c r="S963" s="32" t="b">
        <v>0</v>
      </c>
      <c r="T963" s="32" t="b">
        <v>0</v>
      </c>
      <c r="U963" s="32" t="b">
        <v>0</v>
      </c>
      <c r="V963" s="32" t="b">
        <v>0</v>
      </c>
      <c r="W963" s="33" t="s">
        <v>39</v>
      </c>
      <c r="X963" s="34"/>
      <c r="Y963" s="34"/>
      <c r="Z963" s="34"/>
    </row>
    <row r="964">
      <c r="E964" s="25" t="b">
        <v>0</v>
      </c>
      <c r="F964" s="25" t="b">
        <v>0</v>
      </c>
      <c r="G964" s="25" t="b">
        <v>1</v>
      </c>
      <c r="H964" s="25" t="b">
        <v>0</v>
      </c>
      <c r="I964" s="27">
        <v>43596.0</v>
      </c>
      <c r="J964" s="27">
        <v>43596.0</v>
      </c>
      <c r="K964" s="28">
        <v>2.0</v>
      </c>
      <c r="L964" s="29" t="s">
        <v>1106</v>
      </c>
      <c r="M964" s="30" t="s">
        <v>38</v>
      </c>
      <c r="N964" s="32" t="b">
        <v>1</v>
      </c>
      <c r="O964" s="32" t="b">
        <v>0</v>
      </c>
      <c r="P964" s="32" t="b">
        <v>0</v>
      </c>
      <c r="Q964" s="32" t="b">
        <v>1</v>
      </c>
      <c r="R964" s="32" t="b">
        <v>0</v>
      </c>
      <c r="S964" s="32" t="b">
        <v>0</v>
      </c>
      <c r="T964" s="32" t="b">
        <v>0</v>
      </c>
      <c r="U964" s="32" t="b">
        <v>0</v>
      </c>
      <c r="V964" s="32" t="b">
        <v>0</v>
      </c>
      <c r="W964" s="33" t="s">
        <v>39</v>
      </c>
      <c r="X964" s="34"/>
      <c r="Y964" s="34"/>
      <c r="Z964" s="34"/>
    </row>
    <row r="965">
      <c r="E965" s="25" t="b">
        <v>0</v>
      </c>
      <c r="F965" s="25" t="b">
        <v>0</v>
      </c>
      <c r="G965" s="25" t="b">
        <v>1</v>
      </c>
      <c r="H965" s="25" t="b">
        <v>0</v>
      </c>
      <c r="I965" s="27">
        <v>43594.0</v>
      </c>
      <c r="J965" s="27">
        <v>43594.0</v>
      </c>
      <c r="K965" s="28">
        <v>1.0</v>
      </c>
      <c r="L965" s="29" t="s">
        <v>1107</v>
      </c>
      <c r="M965" s="30" t="s">
        <v>38</v>
      </c>
      <c r="N965" s="32" t="b">
        <v>1</v>
      </c>
      <c r="O965" s="32" t="b">
        <v>0</v>
      </c>
      <c r="P965" s="32" t="b">
        <v>0</v>
      </c>
      <c r="Q965" s="32" t="b">
        <v>1</v>
      </c>
      <c r="R965" s="32" t="b">
        <v>0</v>
      </c>
      <c r="S965" s="32" t="b">
        <v>0</v>
      </c>
      <c r="T965" s="32" t="b">
        <v>0</v>
      </c>
      <c r="U965" s="32" t="b">
        <v>0</v>
      </c>
      <c r="V965" s="32" t="b">
        <v>0</v>
      </c>
      <c r="W965" s="33" t="s">
        <v>39</v>
      </c>
      <c r="X965" s="34"/>
      <c r="Y965" s="34"/>
      <c r="Z965" s="34"/>
    </row>
    <row r="966">
      <c r="E966" s="25" t="b">
        <v>0</v>
      </c>
      <c r="F966" s="25" t="b">
        <v>0</v>
      </c>
      <c r="G966" s="25" t="b">
        <v>1</v>
      </c>
      <c r="H966" s="25" t="b">
        <v>0</v>
      </c>
      <c r="I966" s="27">
        <v>43592.0</v>
      </c>
      <c r="J966" s="27">
        <v>43592.0</v>
      </c>
      <c r="K966" s="28">
        <v>2.0</v>
      </c>
      <c r="L966" s="29" t="s">
        <v>1108</v>
      </c>
      <c r="M966" s="30" t="s">
        <v>38</v>
      </c>
      <c r="N966" s="32" t="b">
        <v>1</v>
      </c>
      <c r="O966" s="32" t="b">
        <v>0</v>
      </c>
      <c r="P966" s="32" t="b">
        <v>0</v>
      </c>
      <c r="Q966" s="32" t="b">
        <v>1</v>
      </c>
      <c r="R966" s="32" t="b">
        <v>0</v>
      </c>
      <c r="S966" s="32" t="b">
        <v>0</v>
      </c>
      <c r="T966" s="32" t="b">
        <v>0</v>
      </c>
      <c r="U966" s="32" t="b">
        <v>0</v>
      </c>
      <c r="V966" s="32" t="b">
        <v>0</v>
      </c>
      <c r="W966" s="33" t="s">
        <v>39</v>
      </c>
      <c r="X966" s="34"/>
      <c r="Y966" s="34"/>
      <c r="Z966" s="34"/>
    </row>
    <row r="967">
      <c r="E967" s="25" t="b">
        <v>0</v>
      </c>
      <c r="F967" s="25" t="b">
        <v>0</v>
      </c>
      <c r="G967" s="25" t="b">
        <v>1</v>
      </c>
      <c r="H967" s="25" t="b">
        <v>0</v>
      </c>
      <c r="I967" s="27">
        <v>43588.0</v>
      </c>
      <c r="J967" s="27">
        <v>43588.0</v>
      </c>
      <c r="K967" s="28">
        <v>3.0</v>
      </c>
      <c r="L967" s="29" t="s">
        <v>1109</v>
      </c>
      <c r="M967" s="30" t="s">
        <v>38</v>
      </c>
      <c r="N967" s="32" t="b">
        <v>1</v>
      </c>
      <c r="O967" s="32" t="b">
        <v>1</v>
      </c>
      <c r="P967" s="32" t="b">
        <v>0</v>
      </c>
      <c r="Q967" s="32" t="b">
        <v>1</v>
      </c>
      <c r="R967" s="32" t="b">
        <v>0</v>
      </c>
      <c r="S967" s="32" t="b">
        <v>0</v>
      </c>
      <c r="T967" s="32" t="b">
        <v>0</v>
      </c>
      <c r="U967" s="32" t="b">
        <v>0</v>
      </c>
      <c r="V967" s="32" t="b">
        <v>0</v>
      </c>
      <c r="W967" s="33" t="s">
        <v>39</v>
      </c>
      <c r="X967" s="34"/>
      <c r="Y967" s="34"/>
      <c r="Z967" s="34"/>
    </row>
    <row r="968">
      <c r="E968" s="25" t="b">
        <v>1</v>
      </c>
      <c r="F968" s="25" t="b">
        <v>0</v>
      </c>
      <c r="G968" s="25" t="b">
        <v>0</v>
      </c>
      <c r="H968" s="25" t="b">
        <v>0</v>
      </c>
      <c r="I968" s="27">
        <v>43586.0</v>
      </c>
      <c r="J968" s="27">
        <v>43586.0</v>
      </c>
      <c r="K968" s="28">
        <v>1.0</v>
      </c>
      <c r="L968" s="29" t="s">
        <v>1110</v>
      </c>
      <c r="M968" s="30" t="s">
        <v>38</v>
      </c>
      <c r="N968" s="32" t="b">
        <v>1</v>
      </c>
      <c r="O968" s="32" t="b">
        <v>0</v>
      </c>
      <c r="P968" s="32" t="b">
        <v>0</v>
      </c>
      <c r="Q968" s="32" t="b">
        <v>1</v>
      </c>
      <c r="R968" s="32" t="b">
        <v>0</v>
      </c>
      <c r="S968" s="32" t="b">
        <v>0</v>
      </c>
      <c r="T968" s="32" t="b">
        <v>0</v>
      </c>
      <c r="U968" s="32" t="b">
        <v>0</v>
      </c>
      <c r="V968" s="32" t="b">
        <v>0</v>
      </c>
      <c r="W968" s="33" t="s">
        <v>39</v>
      </c>
      <c r="X968" s="34"/>
      <c r="Y968" s="34"/>
      <c r="Z968" s="34"/>
    </row>
    <row r="969">
      <c r="E969" s="25" t="b">
        <v>0</v>
      </c>
      <c r="F969" s="25" t="b">
        <v>0</v>
      </c>
      <c r="G969" s="25" t="b">
        <v>1</v>
      </c>
      <c r="H969" s="25" t="b">
        <v>0</v>
      </c>
      <c r="I969" s="27">
        <v>43585.0</v>
      </c>
      <c r="J969" s="27">
        <v>43585.0</v>
      </c>
      <c r="K969" s="28">
        <v>4.0</v>
      </c>
      <c r="L969" s="29" t="s">
        <v>1111</v>
      </c>
      <c r="M969" s="30" t="s">
        <v>38</v>
      </c>
      <c r="N969" s="32" t="b">
        <v>1</v>
      </c>
      <c r="O969" s="32" t="b">
        <v>1</v>
      </c>
      <c r="P969" s="32" t="b">
        <v>1</v>
      </c>
      <c r="Q969" s="32" t="b">
        <v>1</v>
      </c>
      <c r="R969" s="32" t="b">
        <v>1</v>
      </c>
      <c r="S969" s="32" t="b">
        <v>1</v>
      </c>
      <c r="T969" s="32" t="b">
        <v>1</v>
      </c>
      <c r="U969" s="32" t="b">
        <v>0</v>
      </c>
      <c r="V969" s="32" t="b">
        <v>0</v>
      </c>
      <c r="W969" s="33" t="s">
        <v>39</v>
      </c>
      <c r="X969" s="34"/>
      <c r="Y969" s="34"/>
      <c r="Z969" s="34"/>
    </row>
    <row r="970">
      <c r="E970" s="25" t="b">
        <v>0</v>
      </c>
      <c r="F970" s="25" t="b">
        <v>0</v>
      </c>
      <c r="G970" s="25" t="b">
        <v>1</v>
      </c>
      <c r="H970" s="25" t="b">
        <v>0</v>
      </c>
      <c r="I970" s="27">
        <v>43582.0</v>
      </c>
      <c r="J970" s="27">
        <v>43582.0</v>
      </c>
      <c r="K970" s="28">
        <v>1.0</v>
      </c>
      <c r="L970" s="29" t="s">
        <v>1112</v>
      </c>
      <c r="M970" s="30" t="s">
        <v>38</v>
      </c>
      <c r="N970" s="32" t="b">
        <v>1</v>
      </c>
      <c r="O970" s="32" t="b">
        <v>0</v>
      </c>
      <c r="P970" s="32" t="b">
        <v>0</v>
      </c>
      <c r="Q970" s="32" t="b">
        <v>0</v>
      </c>
      <c r="R970" s="32" t="b">
        <v>1</v>
      </c>
      <c r="S970" s="32" t="b">
        <v>0</v>
      </c>
      <c r="T970" s="32" t="b">
        <v>0</v>
      </c>
      <c r="U970" s="32" t="b">
        <v>0</v>
      </c>
      <c r="V970" s="32" t="b">
        <v>0</v>
      </c>
      <c r="W970" s="33" t="s">
        <v>39</v>
      </c>
      <c r="X970" s="34"/>
      <c r="Y970" s="34"/>
      <c r="Z970" s="34"/>
    </row>
    <row r="971">
      <c r="E971" s="25" t="b">
        <v>0</v>
      </c>
      <c r="F971" s="25" t="b">
        <v>0</v>
      </c>
      <c r="G971" s="25" t="b">
        <v>1</v>
      </c>
      <c r="H971" s="25" t="b">
        <v>0</v>
      </c>
      <c r="I971" s="27">
        <v>43574.0</v>
      </c>
      <c r="J971" s="27">
        <v>43574.0</v>
      </c>
      <c r="K971" s="28">
        <v>1.0</v>
      </c>
      <c r="L971" s="29" t="s">
        <v>1113</v>
      </c>
      <c r="M971" s="30" t="s">
        <v>38</v>
      </c>
      <c r="N971" s="32" t="b">
        <v>1</v>
      </c>
      <c r="O971" s="32" t="b">
        <v>0</v>
      </c>
      <c r="P971" s="32" t="b">
        <v>0</v>
      </c>
      <c r="Q971" s="32" t="b">
        <v>1</v>
      </c>
      <c r="R971" s="32" t="b">
        <v>0</v>
      </c>
      <c r="S971" s="32" t="b">
        <v>0</v>
      </c>
      <c r="T971" s="32" t="b">
        <v>0</v>
      </c>
      <c r="U971" s="32" t="b">
        <v>0</v>
      </c>
      <c r="V971" s="32" t="b">
        <v>0</v>
      </c>
      <c r="W971" s="33" t="s">
        <v>39</v>
      </c>
      <c r="X971" s="34"/>
      <c r="Y971" s="34"/>
      <c r="Z971" s="34"/>
    </row>
    <row r="972">
      <c r="E972" s="25" t="b">
        <v>0</v>
      </c>
      <c r="F972" s="25" t="b">
        <v>0</v>
      </c>
      <c r="G972" s="25" t="b">
        <v>1</v>
      </c>
      <c r="H972" s="25" t="b">
        <v>0</v>
      </c>
      <c r="I972" s="27">
        <v>43570.0</v>
      </c>
      <c r="J972" s="27">
        <v>43570.0</v>
      </c>
      <c r="K972" s="28">
        <v>1.0</v>
      </c>
      <c r="L972" s="29" t="s">
        <v>1114</v>
      </c>
      <c r="M972" s="30" t="s">
        <v>38</v>
      </c>
      <c r="N972" s="32" t="b">
        <v>1</v>
      </c>
      <c r="O972" s="32" t="b">
        <v>0</v>
      </c>
      <c r="P972" s="32" t="b">
        <v>0</v>
      </c>
      <c r="Q972" s="32" t="b">
        <v>1</v>
      </c>
      <c r="R972" s="32" t="b">
        <v>0</v>
      </c>
      <c r="S972" s="32" t="b">
        <v>0</v>
      </c>
      <c r="T972" s="32" t="b">
        <v>0</v>
      </c>
      <c r="U972" s="32" t="b">
        <v>0</v>
      </c>
      <c r="V972" s="32" t="b">
        <v>0</v>
      </c>
      <c r="W972" s="33" t="s">
        <v>39</v>
      </c>
      <c r="X972" s="34"/>
      <c r="Y972" s="34"/>
      <c r="Z972" s="34"/>
    </row>
    <row r="973">
      <c r="E973" s="25" t="b">
        <v>0</v>
      </c>
      <c r="F973" s="25" t="b">
        <v>0</v>
      </c>
      <c r="G973" s="25" t="b">
        <v>1</v>
      </c>
      <c r="H973" s="25" t="b">
        <v>0</v>
      </c>
      <c r="I973" s="27">
        <v>43551.0</v>
      </c>
      <c r="J973" s="27">
        <v>43551.0</v>
      </c>
      <c r="K973" s="28">
        <v>4.0</v>
      </c>
      <c r="L973" s="29" t="s">
        <v>1115</v>
      </c>
      <c r="M973" s="30" t="s">
        <v>38</v>
      </c>
      <c r="N973" s="32" t="b">
        <v>1</v>
      </c>
      <c r="O973" s="32" t="b">
        <v>0</v>
      </c>
      <c r="P973" s="32" t="b">
        <v>0</v>
      </c>
      <c r="Q973" s="32" t="b">
        <v>1</v>
      </c>
      <c r="R973" s="32" t="b">
        <v>0</v>
      </c>
      <c r="S973" s="32" t="b">
        <v>0</v>
      </c>
      <c r="T973" s="32" t="b">
        <v>0</v>
      </c>
      <c r="U973" s="32" t="b">
        <v>0</v>
      </c>
      <c r="V973" s="32" t="b">
        <v>0</v>
      </c>
      <c r="W973" s="33" t="s">
        <v>39</v>
      </c>
      <c r="X973" s="34"/>
      <c r="Y973" s="34"/>
      <c r="Z973" s="34"/>
    </row>
    <row r="974">
      <c r="E974" s="25" t="b">
        <v>0</v>
      </c>
      <c r="F974" s="25" t="b">
        <v>0</v>
      </c>
      <c r="G974" s="25" t="b">
        <v>1</v>
      </c>
      <c r="H974" s="25" t="b">
        <v>0</v>
      </c>
      <c r="I974" s="27">
        <v>43530.0</v>
      </c>
      <c r="J974" s="27">
        <v>43531.0</v>
      </c>
      <c r="K974" s="28">
        <v>20.0</v>
      </c>
      <c r="L974" s="29" t="s">
        <v>1116</v>
      </c>
      <c r="M974" s="30" t="s">
        <v>38</v>
      </c>
      <c r="N974" s="32" t="b">
        <v>1</v>
      </c>
      <c r="O974" s="32" t="b">
        <v>0</v>
      </c>
      <c r="P974" s="32" t="b">
        <v>0</v>
      </c>
      <c r="Q974" s="32" t="b">
        <v>1</v>
      </c>
      <c r="R974" s="32" t="b">
        <v>0</v>
      </c>
      <c r="S974" s="32" t="b">
        <v>0</v>
      </c>
      <c r="T974" s="32" t="b">
        <v>0</v>
      </c>
      <c r="U974" s="32" t="b">
        <v>0</v>
      </c>
      <c r="V974" s="32" t="b">
        <v>0</v>
      </c>
      <c r="W974" s="33" t="s">
        <v>39</v>
      </c>
      <c r="X974" s="34"/>
      <c r="Y974" s="34"/>
      <c r="Z974" s="34"/>
    </row>
    <row r="975">
      <c r="E975" s="25" t="b">
        <v>0</v>
      </c>
      <c r="F975" s="25" t="b">
        <v>0</v>
      </c>
      <c r="G975" s="25" t="b">
        <v>1</v>
      </c>
      <c r="H975" s="25" t="b">
        <v>0</v>
      </c>
      <c r="I975" s="27">
        <v>43528.0</v>
      </c>
      <c r="J975" s="27">
        <v>43528.0</v>
      </c>
      <c r="K975" s="28">
        <v>1.0</v>
      </c>
      <c r="L975" s="29" t="s">
        <v>1117</v>
      </c>
      <c r="M975" s="30" t="s">
        <v>38</v>
      </c>
      <c r="N975" s="32" t="b">
        <v>1</v>
      </c>
      <c r="O975" s="32" t="b">
        <v>0</v>
      </c>
      <c r="P975" s="32" t="b">
        <v>1</v>
      </c>
      <c r="Q975" s="32" t="b">
        <v>0</v>
      </c>
      <c r="R975" s="32" t="b">
        <v>0</v>
      </c>
      <c r="S975" s="32" t="b">
        <v>0</v>
      </c>
      <c r="T975" s="32" t="b">
        <v>0</v>
      </c>
      <c r="U975" s="32" t="b">
        <v>0</v>
      </c>
      <c r="V975" s="32" t="b">
        <v>0</v>
      </c>
      <c r="W975" s="33" t="s">
        <v>39</v>
      </c>
      <c r="X975" s="34"/>
      <c r="Y975" s="34"/>
      <c r="Z975" s="34"/>
    </row>
    <row r="976">
      <c r="E976" s="25" t="b">
        <v>0</v>
      </c>
      <c r="F976" s="25" t="b">
        <v>0</v>
      </c>
      <c r="G976" s="25" t="b">
        <v>1</v>
      </c>
      <c r="H976" s="25" t="b">
        <v>0</v>
      </c>
      <c r="I976" s="27">
        <v>43523.0</v>
      </c>
      <c r="J976" s="27">
        <v>43523.0</v>
      </c>
      <c r="K976" s="28">
        <v>1.0</v>
      </c>
      <c r="L976" s="29" t="s">
        <v>1118</v>
      </c>
      <c r="M976" s="30" t="s">
        <v>38</v>
      </c>
      <c r="N976" s="32" t="b">
        <v>1</v>
      </c>
      <c r="O976" s="32" t="b">
        <v>0</v>
      </c>
      <c r="P976" s="32" t="b">
        <v>0</v>
      </c>
      <c r="Q976" s="32" t="b">
        <v>1</v>
      </c>
      <c r="R976" s="32" t="b">
        <v>0</v>
      </c>
      <c r="S976" s="32" t="b">
        <v>0</v>
      </c>
      <c r="T976" s="32" t="b">
        <v>0</v>
      </c>
      <c r="U976" s="32" t="b">
        <v>0</v>
      </c>
      <c r="V976" s="32" t="b">
        <v>0</v>
      </c>
      <c r="W976" s="33" t="s">
        <v>39</v>
      </c>
      <c r="X976" s="34"/>
      <c r="Y976" s="34"/>
      <c r="Z976" s="34"/>
    </row>
    <row r="977">
      <c r="E977" s="25" t="b">
        <v>0</v>
      </c>
      <c r="F977" s="25" t="b">
        <v>0</v>
      </c>
      <c r="G977" s="25" t="b">
        <v>1</v>
      </c>
      <c r="H977" s="25" t="b">
        <v>0</v>
      </c>
      <c r="I977" s="27">
        <v>43523.0</v>
      </c>
      <c r="J977" s="27">
        <v>43523.0</v>
      </c>
      <c r="K977" s="28">
        <v>1.0</v>
      </c>
      <c r="L977" s="29" t="s">
        <v>1119</v>
      </c>
      <c r="M977" s="30" t="s">
        <v>38</v>
      </c>
      <c r="N977" s="32" t="b">
        <v>1</v>
      </c>
      <c r="O977" s="32" t="b">
        <v>0</v>
      </c>
      <c r="P977" s="32" t="b">
        <v>1</v>
      </c>
      <c r="Q977" s="32" t="b">
        <v>0</v>
      </c>
      <c r="R977" s="32" t="b">
        <v>0</v>
      </c>
      <c r="S977" s="32" t="b">
        <v>0</v>
      </c>
      <c r="T977" s="32" t="b">
        <v>0</v>
      </c>
      <c r="U977" s="32" t="b">
        <v>0</v>
      </c>
      <c r="V977" s="32" t="b">
        <v>0</v>
      </c>
      <c r="W977" s="33" t="s">
        <v>39</v>
      </c>
      <c r="X977" s="34"/>
      <c r="Y977" s="34"/>
      <c r="Z977" s="34"/>
    </row>
    <row r="978">
      <c r="E978" s="25" t="b">
        <v>0</v>
      </c>
      <c r="F978" s="25" t="b">
        <v>0</v>
      </c>
      <c r="G978" s="25" t="b">
        <v>1</v>
      </c>
      <c r="H978" s="25" t="b">
        <v>0</v>
      </c>
      <c r="I978" s="27">
        <v>43519.0</v>
      </c>
      <c r="J978" s="27">
        <v>43521.0</v>
      </c>
      <c r="K978" s="28">
        <v>48.0</v>
      </c>
      <c r="L978" s="29" t="s">
        <v>1120</v>
      </c>
      <c r="M978" s="30" t="s">
        <v>38</v>
      </c>
      <c r="N978" s="32" t="b">
        <v>1</v>
      </c>
      <c r="O978" s="32" t="b">
        <v>0</v>
      </c>
      <c r="P978" s="32" t="b">
        <v>0</v>
      </c>
      <c r="Q978" s="32" t="b">
        <v>1</v>
      </c>
      <c r="R978" s="32" t="b">
        <v>0</v>
      </c>
      <c r="S978" s="32" t="b">
        <v>0</v>
      </c>
      <c r="T978" s="32" t="b">
        <v>0</v>
      </c>
      <c r="U978" s="32" t="b">
        <v>0</v>
      </c>
      <c r="V978" s="32" t="b">
        <v>0</v>
      </c>
      <c r="W978" s="33" t="s">
        <v>39</v>
      </c>
      <c r="X978" s="34"/>
      <c r="Y978" s="34"/>
      <c r="Z978" s="34"/>
    </row>
    <row r="979">
      <c r="E979" s="25" t="b">
        <v>0</v>
      </c>
      <c r="F979" s="25" t="b">
        <v>0</v>
      </c>
      <c r="G979" s="25" t="b">
        <v>1</v>
      </c>
      <c r="H979" s="25" t="b">
        <v>0</v>
      </c>
      <c r="I979" s="27">
        <v>43518.0</v>
      </c>
      <c r="J979" s="27">
        <v>43518.0</v>
      </c>
      <c r="K979" s="28">
        <v>5.0</v>
      </c>
      <c r="L979" s="29" t="s">
        <v>1121</v>
      </c>
      <c r="M979" s="30" t="s">
        <v>38</v>
      </c>
      <c r="N979" s="32" t="b">
        <v>1</v>
      </c>
      <c r="O979" s="32" t="b">
        <v>0</v>
      </c>
      <c r="P979" s="32" t="b">
        <v>0</v>
      </c>
      <c r="Q979" s="32" t="b">
        <v>1</v>
      </c>
      <c r="R979" s="32" t="b">
        <v>0</v>
      </c>
      <c r="S979" s="32" t="b">
        <v>0</v>
      </c>
      <c r="T979" s="32" t="b">
        <v>0</v>
      </c>
      <c r="U979" s="32" t="b">
        <v>0</v>
      </c>
      <c r="V979" s="32" t="b">
        <v>0</v>
      </c>
      <c r="W979" s="33" t="s">
        <v>39</v>
      </c>
      <c r="X979" s="34"/>
      <c r="Y979" s="34"/>
      <c r="Z979" s="34"/>
    </row>
    <row r="980">
      <c r="E980" s="25" t="b">
        <v>0</v>
      </c>
      <c r="F980" s="25" t="b">
        <v>0</v>
      </c>
      <c r="G980" s="25" t="b">
        <v>1</v>
      </c>
      <c r="H980" s="25" t="b">
        <v>0</v>
      </c>
      <c r="I980" s="27">
        <v>43514.0</v>
      </c>
      <c r="J980" s="27">
        <v>43514.0</v>
      </c>
      <c r="K980" s="28">
        <v>1.0</v>
      </c>
      <c r="L980" s="29" t="s">
        <v>1122</v>
      </c>
      <c r="M980" s="30" t="s">
        <v>38</v>
      </c>
      <c r="N980" s="32" t="b">
        <v>1</v>
      </c>
      <c r="O980" s="32" t="b">
        <v>0</v>
      </c>
      <c r="P980" s="32" t="b">
        <v>0</v>
      </c>
      <c r="Q980" s="32" t="b">
        <v>1</v>
      </c>
      <c r="R980" s="32" t="b">
        <v>0</v>
      </c>
      <c r="S980" s="32" t="b">
        <v>0</v>
      </c>
      <c r="T980" s="32" t="b">
        <v>0</v>
      </c>
      <c r="U980" s="32" t="b">
        <v>0</v>
      </c>
      <c r="V980" s="32" t="b">
        <v>0</v>
      </c>
      <c r="W980" s="33" t="s">
        <v>1123</v>
      </c>
      <c r="X980" s="34"/>
      <c r="Y980" s="34"/>
      <c r="Z980" s="34"/>
    </row>
    <row r="981">
      <c r="E981" s="25" t="b">
        <v>0</v>
      </c>
      <c r="F981" s="25" t="b">
        <v>0</v>
      </c>
      <c r="G981" s="25" t="b">
        <v>1</v>
      </c>
      <c r="H981" s="25" t="b">
        <v>0</v>
      </c>
      <c r="I981" s="27">
        <v>43508.0</v>
      </c>
      <c r="J981" s="27">
        <v>43508.0</v>
      </c>
      <c r="K981" s="28">
        <v>2.0</v>
      </c>
      <c r="L981" s="29" t="s">
        <v>1124</v>
      </c>
      <c r="M981" s="30" t="s">
        <v>38</v>
      </c>
      <c r="N981" s="32" t="b">
        <v>1</v>
      </c>
      <c r="O981" s="32" t="b">
        <v>0</v>
      </c>
      <c r="P981" s="32" t="b">
        <v>0</v>
      </c>
      <c r="Q981" s="32" t="b">
        <v>1</v>
      </c>
      <c r="R981" s="32" t="b">
        <v>0</v>
      </c>
      <c r="S981" s="32" t="b">
        <v>0</v>
      </c>
      <c r="T981" s="32" t="b">
        <v>0</v>
      </c>
      <c r="U981" s="32" t="b">
        <v>0</v>
      </c>
      <c r="V981" s="32" t="b">
        <v>0</v>
      </c>
      <c r="W981" s="33" t="s">
        <v>1125</v>
      </c>
      <c r="X981" s="34"/>
      <c r="Y981" s="34"/>
      <c r="Z981" s="34"/>
    </row>
    <row r="982">
      <c r="E982" s="25" t="b">
        <v>0</v>
      </c>
      <c r="F982" s="25" t="b">
        <v>0</v>
      </c>
      <c r="G982" s="25" t="b">
        <v>1</v>
      </c>
      <c r="H982" s="25" t="b">
        <v>0</v>
      </c>
      <c r="I982" s="27">
        <v>43499.0</v>
      </c>
      <c r="J982" s="27">
        <v>43500.0</v>
      </c>
      <c r="K982" s="28">
        <v>28.0</v>
      </c>
      <c r="L982" s="29" t="s">
        <v>1126</v>
      </c>
      <c r="M982" s="30" t="s">
        <v>1127</v>
      </c>
      <c r="N982" s="32" t="b">
        <v>0</v>
      </c>
      <c r="O982" s="32" t="b">
        <v>0</v>
      </c>
      <c r="P982" s="32" t="b">
        <v>0</v>
      </c>
      <c r="Q982" s="32" t="b">
        <v>0</v>
      </c>
      <c r="R982" s="32" t="b">
        <v>0</v>
      </c>
      <c r="S982" s="32" t="b">
        <v>0</v>
      </c>
      <c r="T982" s="32" t="b">
        <v>0</v>
      </c>
      <c r="U982" s="32" t="b">
        <v>0</v>
      </c>
      <c r="V982" s="32" t="b">
        <v>0</v>
      </c>
      <c r="W982" s="33" t="s">
        <v>39</v>
      </c>
      <c r="X982" s="34"/>
      <c r="Y982" s="34"/>
      <c r="Z982" s="34"/>
    </row>
    <row r="983">
      <c r="E983" s="25" t="b">
        <v>0</v>
      </c>
      <c r="F983" s="25" t="b">
        <v>0</v>
      </c>
      <c r="G983" s="25" t="b">
        <v>1</v>
      </c>
      <c r="H983" s="25" t="b">
        <v>0</v>
      </c>
      <c r="I983" s="27">
        <v>43494.0</v>
      </c>
      <c r="J983" s="27">
        <v>43494.0</v>
      </c>
      <c r="K983" s="28">
        <v>2.0</v>
      </c>
      <c r="L983" s="29" t="s">
        <v>1128</v>
      </c>
      <c r="M983" s="30" t="s">
        <v>38</v>
      </c>
      <c r="N983" s="32" t="b">
        <v>1</v>
      </c>
      <c r="O983" s="32" t="b">
        <v>0</v>
      </c>
      <c r="P983" s="32" t="b">
        <v>0</v>
      </c>
      <c r="Q983" s="32" t="b">
        <v>1</v>
      </c>
      <c r="R983" s="32" t="b">
        <v>0</v>
      </c>
      <c r="S983" s="32" t="b">
        <v>0</v>
      </c>
      <c r="T983" s="32" t="b">
        <v>0</v>
      </c>
      <c r="U983" s="32" t="b">
        <v>0</v>
      </c>
      <c r="V983" s="32" t="b">
        <v>0</v>
      </c>
      <c r="W983" s="33" t="s">
        <v>39</v>
      </c>
      <c r="X983" s="34"/>
      <c r="Y983" s="34"/>
      <c r="Z983" s="34"/>
    </row>
    <row r="984">
      <c r="E984" s="25" t="b">
        <v>0</v>
      </c>
      <c r="F984" s="25" t="b">
        <v>0</v>
      </c>
      <c r="G984" s="25" t="b">
        <v>1</v>
      </c>
      <c r="H984" s="25" t="b">
        <v>0</v>
      </c>
      <c r="I984" s="27">
        <v>43492.0</v>
      </c>
      <c r="J984" s="27">
        <v>43492.0</v>
      </c>
      <c r="K984" s="28">
        <v>1.0</v>
      </c>
      <c r="L984" s="29" t="s">
        <v>1129</v>
      </c>
      <c r="M984" s="30" t="s">
        <v>38</v>
      </c>
      <c r="N984" s="32" t="b">
        <v>1</v>
      </c>
      <c r="O984" s="32" t="b">
        <v>1</v>
      </c>
      <c r="P984" s="32" t="b">
        <v>0</v>
      </c>
      <c r="Q984" s="32" t="b">
        <v>1</v>
      </c>
      <c r="R984" s="32" t="b">
        <v>1</v>
      </c>
      <c r="S984" s="32" t="b">
        <v>0</v>
      </c>
      <c r="T984" s="32" t="b">
        <v>0</v>
      </c>
      <c r="U984" s="32" t="b">
        <v>0</v>
      </c>
      <c r="V984" s="32" t="b">
        <v>0</v>
      </c>
      <c r="W984" s="33" t="s">
        <v>39</v>
      </c>
      <c r="X984" s="34"/>
      <c r="Y984" s="34"/>
      <c r="Z984" s="34"/>
    </row>
    <row r="985">
      <c r="E985" s="25" t="b">
        <v>0</v>
      </c>
      <c r="F985" s="25" t="b">
        <v>0</v>
      </c>
      <c r="G985" s="25" t="b">
        <v>1</v>
      </c>
      <c r="H985" s="25" t="b">
        <v>0</v>
      </c>
      <c r="I985" s="27">
        <v>43491.0</v>
      </c>
      <c r="J985" s="27">
        <v>43492.0</v>
      </c>
      <c r="K985" s="28">
        <v>28.0</v>
      </c>
      <c r="L985" s="29" t="s">
        <v>1130</v>
      </c>
      <c r="M985" s="30" t="s">
        <v>1131</v>
      </c>
      <c r="N985" s="32" t="b">
        <v>0</v>
      </c>
      <c r="O985" s="32" t="b">
        <v>0</v>
      </c>
      <c r="P985" s="32" t="b">
        <v>0</v>
      </c>
      <c r="Q985" s="32" t="b">
        <v>0</v>
      </c>
      <c r="R985" s="32" t="b">
        <v>0</v>
      </c>
      <c r="S985" s="32" t="b">
        <v>0</v>
      </c>
      <c r="T985" s="32" t="b">
        <v>0</v>
      </c>
      <c r="U985" s="32" t="b">
        <v>0</v>
      </c>
      <c r="V985" s="32" t="b">
        <v>0</v>
      </c>
      <c r="W985" s="33" t="s">
        <v>39</v>
      </c>
      <c r="X985" s="34"/>
      <c r="Y985" s="34"/>
      <c r="Z985" s="34"/>
    </row>
    <row r="986">
      <c r="E986" s="25" t="b">
        <v>1</v>
      </c>
      <c r="F986" s="25" t="b">
        <v>0</v>
      </c>
      <c r="G986" s="25" t="b">
        <v>0</v>
      </c>
      <c r="H986" s="25" t="b">
        <v>0</v>
      </c>
      <c r="I986" s="27">
        <v>43488.0</v>
      </c>
      <c r="J986" s="27">
        <v>43488.0</v>
      </c>
      <c r="K986" s="28">
        <v>24.0</v>
      </c>
      <c r="L986" s="29" t="s">
        <v>1132</v>
      </c>
      <c r="M986" s="30" t="s">
        <v>38</v>
      </c>
      <c r="N986" s="32" t="b">
        <v>1</v>
      </c>
      <c r="O986" s="32" t="b">
        <v>1</v>
      </c>
      <c r="P986" s="32" t="b">
        <v>0</v>
      </c>
      <c r="Q986" s="32" t="b">
        <v>1</v>
      </c>
      <c r="R986" s="32" t="b">
        <v>1</v>
      </c>
      <c r="S986" s="32" t="b">
        <v>0</v>
      </c>
      <c r="T986" s="32" t="b">
        <v>0</v>
      </c>
      <c r="U986" s="32" t="b">
        <v>0</v>
      </c>
      <c r="V986" s="32" t="b">
        <v>0</v>
      </c>
      <c r="W986" s="33" t="s">
        <v>39</v>
      </c>
      <c r="X986" s="34"/>
      <c r="Y986" s="34"/>
      <c r="Z986" s="34"/>
    </row>
    <row r="987">
      <c r="E987" s="25" t="b">
        <v>0</v>
      </c>
      <c r="F987" s="25" t="b">
        <v>0</v>
      </c>
      <c r="G987" s="25" t="b">
        <v>1</v>
      </c>
      <c r="H987" s="25" t="b">
        <v>0</v>
      </c>
      <c r="I987" s="27">
        <v>43486.0</v>
      </c>
      <c r="J987" s="27">
        <v>43486.0</v>
      </c>
      <c r="K987" s="28">
        <v>2.0</v>
      </c>
      <c r="L987" s="29" t="s">
        <v>1133</v>
      </c>
      <c r="M987" s="30" t="s">
        <v>38</v>
      </c>
      <c r="N987" s="32" t="b">
        <v>1</v>
      </c>
      <c r="O987" s="32" t="b">
        <v>0</v>
      </c>
      <c r="P987" s="32" t="b">
        <v>1</v>
      </c>
      <c r="Q987" s="32" t="b">
        <v>1</v>
      </c>
      <c r="R987" s="32" t="b">
        <v>1</v>
      </c>
      <c r="S987" s="32" t="b">
        <v>0</v>
      </c>
      <c r="T987" s="32" t="b">
        <v>0</v>
      </c>
      <c r="U987" s="32" t="b">
        <v>0</v>
      </c>
      <c r="V987" s="32" t="b">
        <v>0</v>
      </c>
      <c r="W987" s="33" t="s">
        <v>39</v>
      </c>
      <c r="X987" s="34"/>
      <c r="Y987" s="34"/>
      <c r="Z987" s="34"/>
    </row>
    <row r="988">
      <c r="A988" s="229"/>
      <c r="B988" s="230" t="s">
        <v>872</v>
      </c>
      <c r="D988" s="230">
        <f>A953-COUNTIF(D934:D987,"No evidence")</f>
        <v>-7</v>
      </c>
      <c r="E988" s="235">
        <f t="shared" ref="E988:H988" si="5">COUNTIF(E934:E987,"TRUE")</f>
        <v>7</v>
      </c>
      <c r="F988" s="235">
        <f t="shared" si="5"/>
        <v>1</v>
      </c>
      <c r="G988" s="235">
        <f t="shared" si="5"/>
        <v>33</v>
      </c>
      <c r="H988" s="235">
        <f t="shared" si="5"/>
        <v>5</v>
      </c>
      <c r="I988" s="125"/>
      <c r="N988" s="20"/>
      <c r="Z988" s="20"/>
    </row>
    <row r="989">
      <c r="A989" s="19" t="s">
        <v>1134</v>
      </c>
      <c r="N989" s="20"/>
      <c r="Z989" s="20"/>
    </row>
    <row r="990">
      <c r="A990" s="41">
        <v>1.0</v>
      </c>
      <c r="B990" s="22" t="s">
        <v>1135</v>
      </c>
      <c r="C990" s="23" t="s">
        <v>1136</v>
      </c>
      <c r="D990" s="15" t="s">
        <v>29</v>
      </c>
      <c r="E990" s="25" t="b">
        <v>0</v>
      </c>
      <c r="F990" s="25" t="b">
        <v>0</v>
      </c>
      <c r="G990" s="25" t="b">
        <v>0</v>
      </c>
      <c r="H990" s="25" t="b">
        <v>0</v>
      </c>
      <c r="I990" s="36" t="s">
        <v>47</v>
      </c>
      <c r="J990" s="36" t="s">
        <v>47</v>
      </c>
      <c r="K990" s="28" t="s">
        <v>47</v>
      </c>
      <c r="L990" s="37" t="s">
        <v>47</v>
      </c>
      <c r="M990" s="27" t="s">
        <v>47</v>
      </c>
      <c r="N990" s="31" t="b">
        <v>0</v>
      </c>
      <c r="O990" s="32" t="b">
        <v>0</v>
      </c>
      <c r="P990" s="32" t="b">
        <v>0</v>
      </c>
      <c r="Q990" s="32" t="b">
        <v>0</v>
      </c>
      <c r="R990" s="32" t="b">
        <v>0</v>
      </c>
      <c r="S990" s="32" t="b">
        <v>0</v>
      </c>
      <c r="T990" s="32" t="b">
        <v>0</v>
      </c>
      <c r="U990" s="32" t="b">
        <v>0</v>
      </c>
      <c r="V990" s="32" t="b">
        <v>0</v>
      </c>
      <c r="W990" s="34"/>
      <c r="X990" s="34"/>
      <c r="Y990" s="34"/>
      <c r="Z990" s="34"/>
    </row>
    <row r="991">
      <c r="A991" s="41">
        <v>2.0</v>
      </c>
      <c r="B991" s="22" t="s">
        <v>1137</v>
      </c>
      <c r="C991" s="23" t="s">
        <v>1138</v>
      </c>
      <c r="D991" s="15" t="s">
        <v>29</v>
      </c>
      <c r="E991" s="25" t="b">
        <v>0</v>
      </c>
      <c r="F991" s="25" t="b">
        <v>0</v>
      </c>
      <c r="G991" s="25" t="b">
        <v>0</v>
      </c>
      <c r="H991" s="25" t="b">
        <v>0</v>
      </c>
      <c r="I991" s="36" t="s">
        <v>47</v>
      </c>
      <c r="J991" s="36" t="s">
        <v>47</v>
      </c>
      <c r="K991" s="28" t="s">
        <v>47</v>
      </c>
      <c r="L991" s="37" t="s">
        <v>47</v>
      </c>
      <c r="M991" s="27" t="s">
        <v>47</v>
      </c>
      <c r="N991" s="31" t="b">
        <v>0</v>
      </c>
      <c r="O991" s="32" t="b">
        <v>0</v>
      </c>
      <c r="P991" s="32" t="b">
        <v>0</v>
      </c>
      <c r="Q991" s="32" t="b">
        <v>0</v>
      </c>
      <c r="R991" s="32" t="b">
        <v>0</v>
      </c>
      <c r="S991" s="32" t="b">
        <v>0</v>
      </c>
      <c r="T991" s="32" t="b">
        <v>0</v>
      </c>
      <c r="U991" s="32" t="b">
        <v>0</v>
      </c>
      <c r="V991" s="32" t="b">
        <v>0</v>
      </c>
      <c r="W991" s="34"/>
      <c r="X991" s="34"/>
      <c r="Y991" s="34"/>
      <c r="Z991" s="34"/>
    </row>
    <row r="992">
      <c r="A992" s="41">
        <v>3.0</v>
      </c>
      <c r="B992" s="22" t="s">
        <v>1139</v>
      </c>
      <c r="C992" s="23" t="s">
        <v>1140</v>
      </c>
      <c r="D992" s="15" t="s">
        <v>29</v>
      </c>
      <c r="E992" s="25" t="b">
        <v>0</v>
      </c>
      <c r="F992" s="25" t="b">
        <v>0</v>
      </c>
      <c r="G992" s="25" t="b">
        <v>0</v>
      </c>
      <c r="H992" s="25" t="b">
        <v>0</v>
      </c>
      <c r="I992" s="36" t="s">
        <v>47</v>
      </c>
      <c r="J992" s="36" t="s">
        <v>47</v>
      </c>
      <c r="K992" s="28" t="s">
        <v>47</v>
      </c>
      <c r="L992" s="37" t="s">
        <v>47</v>
      </c>
      <c r="M992" s="27" t="s">
        <v>47</v>
      </c>
      <c r="N992" s="31" t="b">
        <v>0</v>
      </c>
      <c r="O992" s="32" t="b">
        <v>0</v>
      </c>
      <c r="P992" s="32" t="b">
        <v>0</v>
      </c>
      <c r="Q992" s="32" t="b">
        <v>0</v>
      </c>
      <c r="R992" s="32" t="b">
        <v>0</v>
      </c>
      <c r="S992" s="32" t="b">
        <v>0</v>
      </c>
      <c r="T992" s="32" t="b">
        <v>0</v>
      </c>
      <c r="U992" s="32" t="b">
        <v>0</v>
      </c>
      <c r="V992" s="32" t="b">
        <v>0</v>
      </c>
      <c r="W992" s="34"/>
      <c r="X992" s="34"/>
      <c r="Y992" s="34"/>
      <c r="Z992" s="34"/>
    </row>
    <row r="993">
      <c r="A993" s="41">
        <v>4.0</v>
      </c>
      <c r="B993" s="22" t="s">
        <v>1141</v>
      </c>
      <c r="C993" s="23" t="s">
        <v>1142</v>
      </c>
      <c r="D993" s="15" t="s">
        <v>29</v>
      </c>
      <c r="E993" s="25" t="b">
        <v>0</v>
      </c>
      <c r="F993" s="25" t="b">
        <v>0</v>
      </c>
      <c r="G993" s="25" t="b">
        <v>0</v>
      </c>
      <c r="H993" s="25" t="b">
        <v>0</v>
      </c>
      <c r="I993" s="36" t="s">
        <v>47</v>
      </c>
      <c r="J993" s="36" t="s">
        <v>47</v>
      </c>
      <c r="K993" s="28" t="s">
        <v>47</v>
      </c>
      <c r="L993" s="37" t="s">
        <v>47</v>
      </c>
      <c r="M993" s="27" t="s">
        <v>47</v>
      </c>
      <c r="N993" s="31" t="b">
        <v>0</v>
      </c>
      <c r="O993" s="32" t="b">
        <v>0</v>
      </c>
      <c r="P993" s="32" t="b">
        <v>0</v>
      </c>
      <c r="Q993" s="32" t="b">
        <v>0</v>
      </c>
      <c r="R993" s="32" t="b">
        <v>0</v>
      </c>
      <c r="S993" s="32" t="b">
        <v>0</v>
      </c>
      <c r="T993" s="32" t="b">
        <v>0</v>
      </c>
      <c r="U993" s="32" t="b">
        <v>0</v>
      </c>
      <c r="V993" s="32" t="b">
        <v>0</v>
      </c>
      <c r="W993" s="34"/>
      <c r="X993" s="34"/>
      <c r="Y993" s="34"/>
      <c r="Z993" s="34"/>
    </row>
    <row r="994">
      <c r="A994" s="41">
        <v>5.0</v>
      </c>
      <c r="B994" s="22" t="s">
        <v>1143</v>
      </c>
      <c r="C994" s="23" t="s">
        <v>1144</v>
      </c>
      <c r="D994" s="15" t="s">
        <v>29</v>
      </c>
      <c r="E994" s="25" t="b">
        <v>0</v>
      </c>
      <c r="F994" s="25" t="b">
        <v>0</v>
      </c>
      <c r="G994" s="25" t="b">
        <v>0</v>
      </c>
      <c r="H994" s="25" t="b">
        <v>0</v>
      </c>
      <c r="I994" s="36" t="s">
        <v>47</v>
      </c>
      <c r="J994" s="36" t="s">
        <v>47</v>
      </c>
      <c r="K994" s="28" t="s">
        <v>47</v>
      </c>
      <c r="L994" s="37" t="s">
        <v>47</v>
      </c>
      <c r="M994" s="27" t="s">
        <v>47</v>
      </c>
      <c r="N994" s="31" t="b">
        <v>0</v>
      </c>
      <c r="O994" s="32" t="b">
        <v>0</v>
      </c>
      <c r="P994" s="32" t="b">
        <v>0</v>
      </c>
      <c r="Q994" s="32" t="b">
        <v>0</v>
      </c>
      <c r="R994" s="32" t="b">
        <v>0</v>
      </c>
      <c r="S994" s="32" t="b">
        <v>0</v>
      </c>
      <c r="T994" s="32" t="b">
        <v>0</v>
      </c>
      <c r="U994" s="32" t="b">
        <v>0</v>
      </c>
      <c r="V994" s="32" t="b">
        <v>0</v>
      </c>
      <c r="W994" s="34"/>
      <c r="X994" s="34"/>
      <c r="Y994" s="34"/>
      <c r="Z994" s="34"/>
    </row>
    <row r="995">
      <c r="A995" s="41">
        <v>6.0</v>
      </c>
      <c r="B995" s="22" t="s">
        <v>1145</v>
      </c>
      <c r="C995" s="23" t="s">
        <v>1146</v>
      </c>
      <c r="D995" s="15" t="s">
        <v>29</v>
      </c>
      <c r="E995" s="25" t="b">
        <v>0</v>
      </c>
      <c r="F995" s="25" t="b">
        <v>0</v>
      </c>
      <c r="G995" s="25" t="b">
        <v>0</v>
      </c>
      <c r="H995" s="25" t="b">
        <v>0</v>
      </c>
      <c r="I995" s="36" t="s">
        <v>47</v>
      </c>
      <c r="J995" s="36" t="s">
        <v>47</v>
      </c>
      <c r="K995" s="28" t="s">
        <v>47</v>
      </c>
      <c r="L995" s="37" t="s">
        <v>47</v>
      </c>
      <c r="M995" s="27" t="s">
        <v>47</v>
      </c>
      <c r="N995" s="31" t="b">
        <v>0</v>
      </c>
      <c r="O995" s="32" t="b">
        <v>0</v>
      </c>
      <c r="P995" s="32" t="b">
        <v>0</v>
      </c>
      <c r="Q995" s="32" t="b">
        <v>0</v>
      </c>
      <c r="R995" s="32" t="b">
        <v>0</v>
      </c>
      <c r="S995" s="32" t="b">
        <v>0</v>
      </c>
      <c r="T995" s="32" t="b">
        <v>0</v>
      </c>
      <c r="U995" s="32" t="b">
        <v>0</v>
      </c>
      <c r="V995" s="32" t="b">
        <v>0</v>
      </c>
      <c r="W995" s="34"/>
      <c r="X995" s="34"/>
      <c r="Y995" s="34"/>
      <c r="Z995" s="34"/>
    </row>
    <row r="996">
      <c r="A996" s="41">
        <v>7.0</v>
      </c>
      <c r="B996" s="22" t="s">
        <v>1147</v>
      </c>
      <c r="C996" s="23" t="s">
        <v>1148</v>
      </c>
      <c r="D996" s="15" t="s">
        <v>29</v>
      </c>
      <c r="E996" s="25" t="b">
        <v>0</v>
      </c>
      <c r="F996" s="25" t="b">
        <v>0</v>
      </c>
      <c r="G996" s="25" t="b">
        <v>0</v>
      </c>
      <c r="H996" s="25" t="b">
        <v>0</v>
      </c>
      <c r="I996" s="36" t="s">
        <v>47</v>
      </c>
      <c r="J996" s="36" t="s">
        <v>47</v>
      </c>
      <c r="K996" s="28" t="s">
        <v>47</v>
      </c>
      <c r="L996" s="37" t="s">
        <v>47</v>
      </c>
      <c r="M996" s="27" t="s">
        <v>47</v>
      </c>
      <c r="N996" s="31" t="b">
        <v>0</v>
      </c>
      <c r="O996" s="32" t="b">
        <v>0</v>
      </c>
      <c r="P996" s="32" t="b">
        <v>0</v>
      </c>
      <c r="Q996" s="32" t="b">
        <v>0</v>
      </c>
      <c r="R996" s="32" t="b">
        <v>0</v>
      </c>
      <c r="S996" s="32" t="b">
        <v>0</v>
      </c>
      <c r="T996" s="32" t="b">
        <v>0</v>
      </c>
      <c r="U996" s="32" t="b">
        <v>0</v>
      </c>
      <c r="V996" s="32" t="b">
        <v>0</v>
      </c>
      <c r="W996" s="34"/>
      <c r="X996" s="34"/>
      <c r="Y996" s="34"/>
      <c r="Z996" s="34"/>
    </row>
    <row r="997">
      <c r="A997" s="41">
        <v>8.0</v>
      </c>
      <c r="B997" s="22" t="s">
        <v>1149</v>
      </c>
      <c r="C997" s="23" t="s">
        <v>1150</v>
      </c>
      <c r="D997" s="15" t="s">
        <v>29</v>
      </c>
      <c r="E997" s="25" t="b">
        <v>0</v>
      </c>
      <c r="F997" s="25" t="b">
        <v>0</v>
      </c>
      <c r="G997" s="25" t="b">
        <v>0</v>
      </c>
      <c r="H997" s="25" t="b">
        <v>0</v>
      </c>
      <c r="I997" s="36" t="s">
        <v>47</v>
      </c>
      <c r="J997" s="36" t="s">
        <v>47</v>
      </c>
      <c r="K997" s="28" t="s">
        <v>47</v>
      </c>
      <c r="L997" s="37" t="s">
        <v>47</v>
      </c>
      <c r="M997" s="27" t="s">
        <v>47</v>
      </c>
      <c r="N997" s="31" t="b">
        <v>0</v>
      </c>
      <c r="O997" s="32" t="b">
        <v>0</v>
      </c>
      <c r="P997" s="32" t="b">
        <v>0</v>
      </c>
      <c r="Q997" s="32" t="b">
        <v>0</v>
      </c>
      <c r="R997" s="32" t="b">
        <v>0</v>
      </c>
      <c r="S997" s="32" t="b">
        <v>0</v>
      </c>
      <c r="T997" s="32" t="b">
        <v>0</v>
      </c>
      <c r="U997" s="32" t="b">
        <v>0</v>
      </c>
      <c r="V997" s="32" t="b">
        <v>0</v>
      </c>
      <c r="W997" s="34"/>
      <c r="X997" s="34"/>
      <c r="Y997" s="34"/>
      <c r="Z997" s="34"/>
    </row>
    <row r="998">
      <c r="A998" s="41">
        <v>9.0</v>
      </c>
      <c r="B998" s="22" t="s">
        <v>1151</v>
      </c>
      <c r="C998" s="23" t="s">
        <v>1152</v>
      </c>
      <c r="D998" s="15" t="s">
        <v>29</v>
      </c>
      <c r="E998" s="25" t="b">
        <v>0</v>
      </c>
      <c r="F998" s="25" t="b">
        <v>0</v>
      </c>
      <c r="G998" s="25" t="b">
        <v>0</v>
      </c>
      <c r="H998" s="25" t="b">
        <v>0</v>
      </c>
      <c r="I998" s="36" t="s">
        <v>47</v>
      </c>
      <c r="J998" s="36" t="s">
        <v>47</v>
      </c>
      <c r="K998" s="28" t="s">
        <v>47</v>
      </c>
      <c r="L998" s="37" t="s">
        <v>47</v>
      </c>
      <c r="M998" s="27" t="s">
        <v>47</v>
      </c>
      <c r="N998" s="31" t="b">
        <v>0</v>
      </c>
      <c r="O998" s="32" t="b">
        <v>0</v>
      </c>
      <c r="P998" s="32" t="b">
        <v>0</v>
      </c>
      <c r="Q998" s="32" t="b">
        <v>0</v>
      </c>
      <c r="R998" s="32" t="b">
        <v>0</v>
      </c>
      <c r="S998" s="32" t="b">
        <v>0</v>
      </c>
      <c r="T998" s="32" t="b">
        <v>0</v>
      </c>
      <c r="U998" s="32" t="b">
        <v>0</v>
      </c>
      <c r="V998" s="32" t="b">
        <v>0</v>
      </c>
      <c r="W998" s="34"/>
      <c r="X998" s="34"/>
      <c r="Y998" s="34"/>
      <c r="Z998" s="34"/>
    </row>
    <row r="999">
      <c r="A999" s="41">
        <v>10.0</v>
      </c>
      <c r="B999" s="22" t="s">
        <v>1153</v>
      </c>
      <c r="C999" s="23" t="s">
        <v>1154</v>
      </c>
      <c r="D999" s="15" t="s">
        <v>29</v>
      </c>
      <c r="E999" s="25" t="b">
        <v>0</v>
      </c>
      <c r="F999" s="25" t="b">
        <v>0</v>
      </c>
      <c r="G999" s="25" t="b">
        <v>0</v>
      </c>
      <c r="H999" s="25" t="b">
        <v>0</v>
      </c>
      <c r="I999" s="36" t="s">
        <v>47</v>
      </c>
      <c r="J999" s="36" t="s">
        <v>47</v>
      </c>
      <c r="K999" s="28" t="s">
        <v>47</v>
      </c>
      <c r="L999" s="37" t="s">
        <v>47</v>
      </c>
      <c r="M999" s="27" t="s">
        <v>47</v>
      </c>
      <c r="N999" s="31" t="b">
        <v>0</v>
      </c>
      <c r="O999" s="32" t="b">
        <v>0</v>
      </c>
      <c r="P999" s="32" t="b">
        <v>0</v>
      </c>
      <c r="Q999" s="32" t="b">
        <v>0</v>
      </c>
      <c r="R999" s="32" t="b">
        <v>0</v>
      </c>
      <c r="S999" s="32" t="b">
        <v>0</v>
      </c>
      <c r="T999" s="32" t="b">
        <v>0</v>
      </c>
      <c r="U999" s="32" t="b">
        <v>0</v>
      </c>
      <c r="V999" s="32" t="b">
        <v>0</v>
      </c>
      <c r="W999" s="34"/>
      <c r="X999" s="34"/>
      <c r="Y999" s="34"/>
      <c r="Z999" s="34"/>
    </row>
    <row r="1000">
      <c r="A1000" s="41">
        <v>11.0</v>
      </c>
      <c r="B1000" s="22" t="s">
        <v>1155</v>
      </c>
      <c r="C1000" s="23" t="s">
        <v>1156</v>
      </c>
      <c r="D1000" s="15" t="s">
        <v>29</v>
      </c>
      <c r="E1000" s="25" t="b">
        <v>0</v>
      </c>
      <c r="F1000" s="25" t="b">
        <v>0</v>
      </c>
      <c r="G1000" s="25" t="b">
        <v>0</v>
      </c>
      <c r="H1000" s="25" t="b">
        <v>0</v>
      </c>
      <c r="I1000" s="36" t="s">
        <v>47</v>
      </c>
      <c r="J1000" s="36" t="s">
        <v>47</v>
      </c>
      <c r="K1000" s="28" t="s">
        <v>47</v>
      </c>
      <c r="L1000" s="37" t="s">
        <v>47</v>
      </c>
      <c r="M1000" s="27" t="s">
        <v>47</v>
      </c>
      <c r="N1000" s="31" t="b">
        <v>0</v>
      </c>
      <c r="O1000" s="32" t="b">
        <v>0</v>
      </c>
      <c r="P1000" s="32" t="b">
        <v>0</v>
      </c>
      <c r="Q1000" s="32" t="b">
        <v>0</v>
      </c>
      <c r="R1000" s="32" t="b">
        <v>0</v>
      </c>
      <c r="S1000" s="32" t="b">
        <v>0</v>
      </c>
      <c r="T1000" s="32" t="b">
        <v>0</v>
      </c>
      <c r="U1000" s="32" t="b">
        <v>0</v>
      </c>
      <c r="V1000" s="32" t="b">
        <v>0</v>
      </c>
      <c r="W1000" s="34"/>
      <c r="X1000" s="34"/>
      <c r="Y1000" s="34"/>
      <c r="Z1000" s="34"/>
    </row>
    <row r="1001">
      <c r="A1001" s="41">
        <v>12.0</v>
      </c>
      <c r="B1001" s="22" t="s">
        <v>1157</v>
      </c>
      <c r="C1001" s="23" t="s">
        <v>1158</v>
      </c>
      <c r="D1001" s="15" t="s">
        <v>29</v>
      </c>
      <c r="E1001" s="25" t="b">
        <v>0</v>
      </c>
      <c r="F1001" s="25" t="b">
        <v>0</v>
      </c>
      <c r="G1001" s="26" t="b">
        <v>0</v>
      </c>
      <c r="H1001" s="25" t="b">
        <v>0</v>
      </c>
      <c r="I1001" s="36" t="s">
        <v>47</v>
      </c>
      <c r="J1001" s="36" t="s">
        <v>47</v>
      </c>
      <c r="K1001" s="28" t="s">
        <v>47</v>
      </c>
      <c r="L1001" s="37" t="s">
        <v>47</v>
      </c>
      <c r="M1001" s="27" t="s">
        <v>47</v>
      </c>
      <c r="N1001" s="31" t="b">
        <v>0</v>
      </c>
      <c r="O1001" s="32" t="b">
        <v>0</v>
      </c>
      <c r="P1001" s="32" t="b">
        <v>0</v>
      </c>
      <c r="Q1001" s="32" t="b">
        <v>0</v>
      </c>
      <c r="R1001" s="32" t="b">
        <v>0</v>
      </c>
      <c r="S1001" s="32" t="b">
        <v>0</v>
      </c>
      <c r="T1001" s="32" t="b">
        <v>0</v>
      </c>
      <c r="U1001" s="32" t="b">
        <v>0</v>
      </c>
      <c r="V1001" s="32" t="b">
        <v>0</v>
      </c>
      <c r="W1001" s="34"/>
      <c r="X1001" s="34"/>
      <c r="Y1001" s="34"/>
      <c r="Z1001" s="34"/>
    </row>
    <row r="1002">
      <c r="A1002" s="41">
        <v>13.0</v>
      </c>
      <c r="B1002" s="22" t="s">
        <v>1159</v>
      </c>
      <c r="C1002" s="23" t="s">
        <v>1160</v>
      </c>
      <c r="D1002" s="15" t="s">
        <v>29</v>
      </c>
      <c r="E1002" s="25" t="b">
        <v>0</v>
      </c>
      <c r="F1002" s="25" t="b">
        <v>0</v>
      </c>
      <c r="G1002" s="25" t="b">
        <v>0</v>
      </c>
      <c r="H1002" s="25" t="b">
        <v>0</v>
      </c>
      <c r="I1002" s="36" t="s">
        <v>47</v>
      </c>
      <c r="J1002" s="36" t="s">
        <v>47</v>
      </c>
      <c r="K1002" s="28" t="s">
        <v>47</v>
      </c>
      <c r="L1002" s="37" t="s">
        <v>47</v>
      </c>
      <c r="M1002" s="27" t="s">
        <v>47</v>
      </c>
      <c r="N1002" s="31" t="b">
        <v>0</v>
      </c>
      <c r="O1002" s="32" t="b">
        <v>0</v>
      </c>
      <c r="P1002" s="32" t="b">
        <v>0</v>
      </c>
      <c r="Q1002" s="32" t="b">
        <v>0</v>
      </c>
      <c r="R1002" s="32" t="b">
        <v>0</v>
      </c>
      <c r="S1002" s="32" t="b">
        <v>0</v>
      </c>
      <c r="T1002" s="32" t="b">
        <v>0</v>
      </c>
      <c r="U1002" s="32" t="b">
        <v>0</v>
      </c>
      <c r="V1002" s="32" t="b">
        <v>0</v>
      </c>
      <c r="W1002" s="34"/>
      <c r="X1002" s="34"/>
      <c r="Y1002" s="34"/>
      <c r="Z1002" s="34"/>
    </row>
    <row r="1003">
      <c r="A1003" s="41">
        <v>14.0</v>
      </c>
      <c r="B1003" s="22" t="s">
        <v>1161</v>
      </c>
      <c r="C1003" s="23" t="s">
        <v>1162</v>
      </c>
      <c r="D1003" s="15" t="s">
        <v>29</v>
      </c>
      <c r="E1003" s="25" t="b">
        <v>0</v>
      </c>
      <c r="F1003" s="25" t="b">
        <v>0</v>
      </c>
      <c r="G1003" s="25" t="b">
        <v>0</v>
      </c>
      <c r="H1003" s="25" t="b">
        <v>0</v>
      </c>
      <c r="I1003" s="36" t="s">
        <v>47</v>
      </c>
      <c r="J1003" s="36" t="s">
        <v>47</v>
      </c>
      <c r="K1003" s="28" t="s">
        <v>47</v>
      </c>
      <c r="L1003" s="37" t="s">
        <v>47</v>
      </c>
      <c r="M1003" s="27" t="s">
        <v>47</v>
      </c>
      <c r="N1003" s="31" t="b">
        <v>0</v>
      </c>
      <c r="O1003" s="32" t="b">
        <v>0</v>
      </c>
      <c r="P1003" s="32" t="b">
        <v>0</v>
      </c>
      <c r="Q1003" s="32" t="b">
        <v>0</v>
      </c>
      <c r="R1003" s="32" t="b">
        <v>0</v>
      </c>
      <c r="S1003" s="32" t="b">
        <v>0</v>
      </c>
      <c r="T1003" s="32" t="b">
        <v>0</v>
      </c>
      <c r="U1003" s="32" t="b">
        <v>0</v>
      </c>
      <c r="V1003" s="32" t="b">
        <v>0</v>
      </c>
      <c r="W1003" s="34"/>
      <c r="X1003" s="34"/>
      <c r="Y1003" s="34"/>
      <c r="Z1003" s="34"/>
    </row>
    <row r="1004">
      <c r="A1004" s="241"/>
      <c r="B1004" s="242" t="s">
        <v>872</v>
      </c>
      <c r="D1004" s="243">
        <f>A1003-COUNTIF(D990:D1003,"No evidence")</f>
        <v>0</v>
      </c>
      <c r="E1004" s="230">
        <f t="shared" ref="E1004:H1004" si="6">COUNTIF(E990:E1003,"TRUE")</f>
        <v>0</v>
      </c>
      <c r="F1004" s="230">
        <f t="shared" si="6"/>
        <v>0</v>
      </c>
      <c r="G1004" s="230">
        <f t="shared" si="6"/>
        <v>0</v>
      </c>
      <c r="H1004" s="230">
        <f t="shared" si="6"/>
        <v>0</v>
      </c>
      <c r="I1004" s="125"/>
      <c r="N1004" s="20"/>
      <c r="Z1004" s="20"/>
    </row>
  </sheetData>
  <mergeCells count="282">
    <mergeCell ref="B747:B752"/>
    <mergeCell ref="C747:C752"/>
    <mergeCell ref="B754:B756"/>
    <mergeCell ref="C754:C756"/>
    <mergeCell ref="D754:D756"/>
    <mergeCell ref="A747:A752"/>
    <mergeCell ref="A754:A756"/>
    <mergeCell ref="A757:A780"/>
    <mergeCell ref="B757:B780"/>
    <mergeCell ref="C757:C780"/>
    <mergeCell ref="D757:D780"/>
    <mergeCell ref="A781:A783"/>
    <mergeCell ref="D781:D783"/>
    <mergeCell ref="B788:B792"/>
    <mergeCell ref="C788:C792"/>
    <mergeCell ref="B781:B783"/>
    <mergeCell ref="C781:C783"/>
    <mergeCell ref="A786:A787"/>
    <mergeCell ref="B786:B787"/>
    <mergeCell ref="C786:C787"/>
    <mergeCell ref="D786:D787"/>
    <mergeCell ref="D788:D792"/>
    <mergeCell ref="C797:C800"/>
    <mergeCell ref="D797:D800"/>
    <mergeCell ref="A788:A792"/>
    <mergeCell ref="A794:A796"/>
    <mergeCell ref="B794:B796"/>
    <mergeCell ref="C794:C796"/>
    <mergeCell ref="D794:D796"/>
    <mergeCell ref="A797:A800"/>
    <mergeCell ref="B797:B800"/>
    <mergeCell ref="A803:A818"/>
    <mergeCell ref="B803:B818"/>
    <mergeCell ref="C803:C818"/>
    <mergeCell ref="D803:D818"/>
    <mergeCell ref="B819:B822"/>
    <mergeCell ref="C819:C822"/>
    <mergeCell ref="D819:D822"/>
    <mergeCell ref="I840:M840"/>
    <mergeCell ref="N840:Y840"/>
    <mergeCell ref="A841:M841"/>
    <mergeCell ref="N841:Y841"/>
    <mergeCell ref="A819:A822"/>
    <mergeCell ref="A823:A824"/>
    <mergeCell ref="B823:B824"/>
    <mergeCell ref="C823:C824"/>
    <mergeCell ref="D823:D824"/>
    <mergeCell ref="A826:A831"/>
    <mergeCell ref="B826:B831"/>
    <mergeCell ref="C826:C831"/>
    <mergeCell ref="D826:D831"/>
    <mergeCell ref="A832:A833"/>
    <mergeCell ref="B832:B833"/>
    <mergeCell ref="C832:C833"/>
    <mergeCell ref="D832:D833"/>
    <mergeCell ref="A834:A839"/>
    <mergeCell ref="D834:D839"/>
    <mergeCell ref="I899:M899"/>
    <mergeCell ref="N899:Y899"/>
    <mergeCell ref="A900:M900"/>
    <mergeCell ref="N900:Y900"/>
    <mergeCell ref="B834:B839"/>
    <mergeCell ref="C834:C839"/>
    <mergeCell ref="B840:C840"/>
    <mergeCell ref="A845:A848"/>
    <mergeCell ref="B845:B848"/>
    <mergeCell ref="C845:C848"/>
    <mergeCell ref="D845:D848"/>
    <mergeCell ref="C907:C914"/>
    <mergeCell ref="D907:D914"/>
    <mergeCell ref="I932:M932"/>
    <mergeCell ref="N932:Y932"/>
    <mergeCell ref="A933:M933"/>
    <mergeCell ref="N933:Y933"/>
    <mergeCell ref="A879:A889"/>
    <mergeCell ref="B879:B889"/>
    <mergeCell ref="C879:C889"/>
    <mergeCell ref="D879:D889"/>
    <mergeCell ref="B899:C899"/>
    <mergeCell ref="A907:A914"/>
    <mergeCell ref="B907:B914"/>
    <mergeCell ref="C936:C941"/>
    <mergeCell ref="D936:D941"/>
    <mergeCell ref="I988:M988"/>
    <mergeCell ref="N988:Y988"/>
    <mergeCell ref="A989:M989"/>
    <mergeCell ref="N989:Y989"/>
    <mergeCell ref="I1004:M1004"/>
    <mergeCell ref="N1004:Y1004"/>
    <mergeCell ref="A917:A918"/>
    <mergeCell ref="B917:B918"/>
    <mergeCell ref="C917:C918"/>
    <mergeCell ref="D917:D918"/>
    <mergeCell ref="B932:C932"/>
    <mergeCell ref="A936:A941"/>
    <mergeCell ref="B936:B941"/>
    <mergeCell ref="C192:C327"/>
    <mergeCell ref="D192:D327"/>
    <mergeCell ref="A186:A188"/>
    <mergeCell ref="A189:A190"/>
    <mergeCell ref="B189:B190"/>
    <mergeCell ref="C189:C190"/>
    <mergeCell ref="D189:D190"/>
    <mergeCell ref="A192:A327"/>
    <mergeCell ref="B192:B327"/>
    <mergeCell ref="B388:B394"/>
    <mergeCell ref="C388:C394"/>
    <mergeCell ref="D388:D394"/>
    <mergeCell ref="A328:A330"/>
    <mergeCell ref="B328:B330"/>
    <mergeCell ref="C328:C330"/>
    <mergeCell ref="D328:D330"/>
    <mergeCell ref="B331:B387"/>
    <mergeCell ref="C331:C387"/>
    <mergeCell ref="D331:D387"/>
    <mergeCell ref="A331:A387"/>
    <mergeCell ref="A388:A394"/>
    <mergeCell ref="A396:A725"/>
    <mergeCell ref="B396:B725"/>
    <mergeCell ref="C396:C725"/>
    <mergeCell ref="D396:D725"/>
    <mergeCell ref="A727:A731"/>
    <mergeCell ref="D727:D731"/>
    <mergeCell ref="B727:B731"/>
    <mergeCell ref="C727:C731"/>
    <mergeCell ref="A732:A739"/>
    <mergeCell ref="B732:B739"/>
    <mergeCell ref="C732:C739"/>
    <mergeCell ref="D732:D739"/>
    <mergeCell ref="D747:D752"/>
    <mergeCell ref="C951:C987"/>
    <mergeCell ref="B988:C988"/>
    <mergeCell ref="B1004:C1004"/>
    <mergeCell ref="A944:A945"/>
    <mergeCell ref="B944:B945"/>
    <mergeCell ref="C944:C945"/>
    <mergeCell ref="D944:D945"/>
    <mergeCell ref="A951:A987"/>
    <mergeCell ref="B951:B987"/>
    <mergeCell ref="D951:D987"/>
    <mergeCell ref="W1:Y1"/>
    <mergeCell ref="A2:B2"/>
    <mergeCell ref="W2:Y6"/>
    <mergeCell ref="A3:B3"/>
    <mergeCell ref="A4:B4"/>
    <mergeCell ref="A5:B5"/>
    <mergeCell ref="N7:Y7"/>
    <mergeCell ref="C14:C15"/>
    <mergeCell ref="D14:D15"/>
    <mergeCell ref="A6:B6"/>
    <mergeCell ref="A8:A12"/>
    <mergeCell ref="B8:B12"/>
    <mergeCell ref="C8:C12"/>
    <mergeCell ref="D8:D12"/>
    <mergeCell ref="A14:A15"/>
    <mergeCell ref="B14:B15"/>
    <mergeCell ref="A17:A20"/>
    <mergeCell ref="B17:B20"/>
    <mergeCell ref="C17:C20"/>
    <mergeCell ref="D17:D20"/>
    <mergeCell ref="B22:B24"/>
    <mergeCell ref="C22:C24"/>
    <mergeCell ref="D22:D24"/>
    <mergeCell ref="C35:C37"/>
    <mergeCell ref="D35:D37"/>
    <mergeCell ref="A22:A24"/>
    <mergeCell ref="A27:A33"/>
    <mergeCell ref="B27:B33"/>
    <mergeCell ref="C27:C33"/>
    <mergeCell ref="D27:D33"/>
    <mergeCell ref="A35:A37"/>
    <mergeCell ref="B35:B37"/>
    <mergeCell ref="C51:C52"/>
    <mergeCell ref="D51:D52"/>
    <mergeCell ref="A83:A86"/>
    <mergeCell ref="B83:B86"/>
    <mergeCell ref="C83:C86"/>
    <mergeCell ref="D83:D86"/>
    <mergeCell ref="B87:B91"/>
    <mergeCell ref="C87:C91"/>
    <mergeCell ref="D87:D91"/>
    <mergeCell ref="A87:A91"/>
    <mergeCell ref="A94:A101"/>
    <mergeCell ref="B94:B101"/>
    <mergeCell ref="C94:C101"/>
    <mergeCell ref="D94:D102"/>
    <mergeCell ref="A103:A104"/>
    <mergeCell ref="B103:B104"/>
    <mergeCell ref="A105:A106"/>
    <mergeCell ref="B105:B106"/>
    <mergeCell ref="C105:C106"/>
    <mergeCell ref="D105:D106"/>
    <mergeCell ref="B110:B117"/>
    <mergeCell ref="C110:C117"/>
    <mergeCell ref="D110:D117"/>
    <mergeCell ref="A110:A117"/>
    <mergeCell ref="A119:A121"/>
    <mergeCell ref="B119:B121"/>
    <mergeCell ref="C119:C121"/>
    <mergeCell ref="D119:D121"/>
    <mergeCell ref="A122:A125"/>
    <mergeCell ref="B122:B125"/>
    <mergeCell ref="C122:C125"/>
    <mergeCell ref="D122:D125"/>
    <mergeCell ref="A127:A139"/>
    <mergeCell ref="B127:B139"/>
    <mergeCell ref="C127:C139"/>
    <mergeCell ref="D127:D139"/>
    <mergeCell ref="A140:A141"/>
    <mergeCell ref="D140:D141"/>
    <mergeCell ref="D148:D149"/>
    <mergeCell ref="N158:Y158"/>
    <mergeCell ref="N159:Y159"/>
    <mergeCell ref="B140:B141"/>
    <mergeCell ref="C140:C141"/>
    <mergeCell ref="A143:A147"/>
    <mergeCell ref="B143:B147"/>
    <mergeCell ref="C143:C147"/>
    <mergeCell ref="D143:D147"/>
    <mergeCell ref="A148:A149"/>
    <mergeCell ref="B148:B149"/>
    <mergeCell ref="C148:C149"/>
    <mergeCell ref="A151:A157"/>
    <mergeCell ref="B151:B157"/>
    <mergeCell ref="C151:C157"/>
    <mergeCell ref="D151:D157"/>
    <mergeCell ref="B158:C158"/>
    <mergeCell ref="A160:A161"/>
    <mergeCell ref="B160:B161"/>
    <mergeCell ref="C160:C161"/>
    <mergeCell ref="D160:D161"/>
    <mergeCell ref="B162:B164"/>
    <mergeCell ref="C162:C164"/>
    <mergeCell ref="D162:D164"/>
    <mergeCell ref="C169:C178"/>
    <mergeCell ref="D169:D178"/>
    <mergeCell ref="A162:A164"/>
    <mergeCell ref="A165:A167"/>
    <mergeCell ref="B165:B167"/>
    <mergeCell ref="C165:C167"/>
    <mergeCell ref="D165:D167"/>
    <mergeCell ref="A169:A178"/>
    <mergeCell ref="B169:B178"/>
    <mergeCell ref="A39:A44"/>
    <mergeCell ref="B39:B44"/>
    <mergeCell ref="C39:C44"/>
    <mergeCell ref="D39:D44"/>
    <mergeCell ref="B47:B48"/>
    <mergeCell ref="C47:C48"/>
    <mergeCell ref="D47:D48"/>
    <mergeCell ref="A47:A48"/>
    <mergeCell ref="A49:A50"/>
    <mergeCell ref="B49:B50"/>
    <mergeCell ref="C49:C50"/>
    <mergeCell ref="D49:D50"/>
    <mergeCell ref="A51:A52"/>
    <mergeCell ref="B51:B52"/>
    <mergeCell ref="A53:A64"/>
    <mergeCell ref="B53:B64"/>
    <mergeCell ref="C53:C64"/>
    <mergeCell ref="D53:D64"/>
    <mergeCell ref="B65:B67"/>
    <mergeCell ref="C65:C67"/>
    <mergeCell ref="D65:D67"/>
    <mergeCell ref="C76:C77"/>
    <mergeCell ref="D76:D77"/>
    <mergeCell ref="A65:A67"/>
    <mergeCell ref="A70:A74"/>
    <mergeCell ref="B70:B74"/>
    <mergeCell ref="C70:C74"/>
    <mergeCell ref="D70:D74"/>
    <mergeCell ref="A76:A77"/>
    <mergeCell ref="B76:B77"/>
    <mergeCell ref="C103:C104"/>
    <mergeCell ref="D103:D104"/>
    <mergeCell ref="A182:A185"/>
    <mergeCell ref="B182:B185"/>
    <mergeCell ref="C182:C185"/>
    <mergeCell ref="D182:D185"/>
    <mergeCell ref="B186:B188"/>
    <mergeCell ref="C186:C188"/>
    <mergeCell ref="D186:D188"/>
  </mergeCells>
  <conditionalFormatting sqref="J1:J26 K2:L7 J28:J33 J35:J70 J72:J76 J78:J86 J89:J93 J97:J109 J112:J168 K158:L159 J170:J171 J173:J191 J215:J385 J387:J395 J398:J760 J764:J767 J769:J793 J795:J802 J804 J808:J916 J919:J935 J937:J1004">
    <cfRule type="containsText" dxfId="0" priority="1" operator="containsText" text="going">
      <formula>NOT(ISERROR(SEARCH(("going"),(J1))))</formula>
    </cfRule>
  </conditionalFormatting>
  <hyperlinks>
    <hyperlink r:id="rId1" ref="W8"/>
    <hyperlink r:id="rId2" ref="W9"/>
    <hyperlink r:id="rId3" ref="W10"/>
    <hyperlink r:id="rId4" ref="W11"/>
    <hyperlink r:id="rId5" ref="W12"/>
    <hyperlink r:id="rId6" ref="W14"/>
    <hyperlink r:id="rId7" ref="W15"/>
    <hyperlink r:id="rId8" ref="X15"/>
    <hyperlink r:id="rId9" ref="W17"/>
    <hyperlink r:id="rId10" ref="W18"/>
    <hyperlink r:id="rId11" ref="X18"/>
    <hyperlink r:id="rId12" ref="W19"/>
    <hyperlink r:id="rId13" ref="W20"/>
    <hyperlink r:id="rId14" ref="W21"/>
    <hyperlink r:id="rId15" ref="X21"/>
    <hyperlink r:id="rId16" ref="W22"/>
    <hyperlink r:id="rId17" ref="W23"/>
    <hyperlink r:id="rId18" ref="X23"/>
    <hyperlink r:id="rId19" ref="W24"/>
    <hyperlink r:id="rId20" ref="X24"/>
    <hyperlink r:id="rId21" ref="L27"/>
    <hyperlink r:id="rId22" ref="W27"/>
    <hyperlink r:id="rId23" ref="L28"/>
    <hyperlink r:id="rId24" ref="W28"/>
    <hyperlink r:id="rId25" ref="W29"/>
    <hyperlink r:id="rId26" ref="W30"/>
    <hyperlink r:id="rId27" ref="W31"/>
    <hyperlink r:id="rId28" location="problem" ref="W32"/>
    <hyperlink r:id="rId29" ref="X32"/>
    <hyperlink r:id="rId30" location="problem" ref="W33"/>
    <hyperlink r:id="rId31" ref="X33"/>
    <hyperlink r:id="rId32" ref="W34"/>
    <hyperlink r:id="rId33" ref="W35"/>
    <hyperlink r:id="rId34" ref="X36"/>
    <hyperlink r:id="rId35" ref="W37"/>
    <hyperlink r:id="rId36" ref="X37"/>
    <hyperlink r:id="rId37" ref="W39"/>
    <hyperlink r:id="rId38" ref="X39"/>
    <hyperlink r:id="rId39" ref="W40"/>
    <hyperlink r:id="rId40" location="problem" ref="W41"/>
    <hyperlink r:id="rId41" ref="X41"/>
    <hyperlink r:id="rId42" ref="W42"/>
    <hyperlink r:id="rId43" ref="W43"/>
    <hyperlink r:id="rId44" ref="W44"/>
    <hyperlink r:id="rId45" ref="X44"/>
    <hyperlink r:id="rId46" ref="W46"/>
    <hyperlink r:id="rId47" ref="W47"/>
    <hyperlink r:id="rId48" ref="X47"/>
    <hyperlink r:id="rId49" ref="W48"/>
    <hyperlink r:id="rId50" location="view=inspect&amp;entity=country/GQ&amp;lastView=overview&amp;from=1509434904&amp;until=1510990104" ref="X48"/>
    <hyperlink r:id="rId51" ref="W49"/>
    <hyperlink r:id="rId52" ref="X49"/>
    <hyperlink r:id="rId53" ref="Y49"/>
    <hyperlink r:id="rId54" ref="W50"/>
    <hyperlink r:id="rId55" ref="W51"/>
    <hyperlink r:id="rId56" ref="W52"/>
    <hyperlink r:id="rId57" ref="W53"/>
    <hyperlink r:id="rId58" ref="W54"/>
    <hyperlink r:id="rId59" ref="W55"/>
    <hyperlink r:id="rId60" ref="X55"/>
    <hyperlink r:id="rId61" ref="W56"/>
    <hyperlink r:id="rId62" location="problem" ref="W57"/>
    <hyperlink r:id="rId63" ref="X57"/>
    <hyperlink r:id="rId64" ref="W58"/>
    <hyperlink r:id="rId65" ref="X58"/>
    <hyperlink r:id="rId66" ref="W59"/>
    <hyperlink r:id="rId67" ref="X59"/>
    <hyperlink r:id="rId68" ref="W60"/>
    <hyperlink r:id="rId69" ref="X60"/>
    <hyperlink r:id="rId70" location="problem" ref="W61"/>
    <hyperlink r:id="rId71" ref="X61"/>
    <hyperlink r:id="rId72" ref="W62"/>
    <hyperlink r:id="rId73" location="problem" ref="W63"/>
    <hyperlink r:id="rId74" ref="X63"/>
    <hyperlink r:id="rId75" ref="Y63"/>
    <hyperlink r:id="rId76" location="problem" ref="W64"/>
    <hyperlink r:id="rId77" ref="X64"/>
    <hyperlink r:id="rId78" ref="W65"/>
    <hyperlink r:id="rId79" ref="X65"/>
    <hyperlink r:id="rId80" ref="Y65"/>
    <hyperlink r:id="rId81" ref="W66"/>
    <hyperlink r:id="rId82" ref="W67"/>
    <hyperlink r:id="rId83" ref="X67"/>
    <hyperlink r:id="rId84" ref="W68"/>
    <hyperlink r:id="rId85" ref="L70"/>
    <hyperlink r:id="rId86" ref="W70"/>
    <hyperlink r:id="rId87" ref="W71"/>
    <hyperlink r:id="rId88" ref="X71"/>
    <hyperlink r:id="rId89" ref="W72"/>
    <hyperlink r:id="rId90" ref="W73"/>
    <hyperlink r:id="rId91" ref="X73"/>
    <hyperlink r:id="rId92" ref="W74"/>
    <hyperlink r:id="rId93" ref="W76"/>
    <hyperlink r:id="rId94" ref="L77"/>
    <hyperlink r:id="rId95" ref="W77"/>
    <hyperlink r:id="rId96" ref="W79"/>
    <hyperlink r:id="rId97" location="problem" ref="W80"/>
    <hyperlink r:id="rId98" ref="X80"/>
    <hyperlink r:id="rId99" ref="W82"/>
    <hyperlink r:id="rId100" ref="X82"/>
    <hyperlink r:id="rId101" ref="W83"/>
    <hyperlink r:id="rId102" ref="W84"/>
    <hyperlink r:id="rId103" ref="W85"/>
    <hyperlink r:id="rId104" ref="W86"/>
    <hyperlink r:id="rId105" ref="W87"/>
    <hyperlink r:id="rId106" ref="L88"/>
    <hyperlink r:id="rId107" ref="W88"/>
    <hyperlink r:id="rId108" ref="X88"/>
    <hyperlink r:id="rId109" ref="W89"/>
    <hyperlink r:id="rId110" ref="X89"/>
    <hyperlink r:id="rId111" ref="W90"/>
    <hyperlink r:id="rId112" ref="W91"/>
    <hyperlink r:id="rId113" ref="X91"/>
    <hyperlink r:id="rId114" ref="W92"/>
    <hyperlink r:id="rId115" ref="W93"/>
    <hyperlink r:id="rId116" ref="W94"/>
    <hyperlink r:id="rId117" ref="W95"/>
    <hyperlink r:id="rId118" ref="W96"/>
    <hyperlink r:id="rId119" ref="W97"/>
    <hyperlink r:id="rId120" ref="W98"/>
    <hyperlink r:id="rId121" ref="W99"/>
    <hyperlink r:id="rId122" ref="W100"/>
    <hyperlink r:id="rId123" ref="W101"/>
    <hyperlink r:id="rId124" ref="W103"/>
    <hyperlink r:id="rId125" ref="W104"/>
    <hyperlink r:id="rId126" ref="W105"/>
    <hyperlink r:id="rId127" ref="W106"/>
    <hyperlink r:id="rId128" ref="X106"/>
    <hyperlink r:id="rId129" ref="W108"/>
    <hyperlink r:id="rId130" ref="W110"/>
    <hyperlink r:id="rId131" ref="L111"/>
    <hyperlink r:id="rId132" ref="W111"/>
    <hyperlink r:id="rId133" ref="W112"/>
    <hyperlink r:id="rId134" ref="X112"/>
    <hyperlink r:id="rId135" ref="W113"/>
    <hyperlink r:id="rId136" ref="X113"/>
    <hyperlink r:id="rId137" ref="W114"/>
    <hyperlink r:id="rId138" ref="X114"/>
    <hyperlink r:id="rId139" ref="W115"/>
    <hyperlink r:id="rId140" ref="X115"/>
    <hyperlink r:id="rId141" ref="W116"/>
    <hyperlink r:id="rId142" ref="W117"/>
    <hyperlink r:id="rId143" ref="W119"/>
    <hyperlink r:id="rId144" ref="W120"/>
    <hyperlink r:id="rId145" ref="W121"/>
    <hyperlink r:id="rId146" ref="W122"/>
    <hyperlink r:id="rId147" ref="W123"/>
    <hyperlink r:id="rId148" ref="W124"/>
    <hyperlink r:id="rId149" ref="W125"/>
    <hyperlink r:id="rId150" ref="L127"/>
    <hyperlink r:id="rId151" ref="W127"/>
    <hyperlink r:id="rId152" ref="W128"/>
    <hyperlink r:id="rId153" ref="X128"/>
    <hyperlink r:id="rId154" ref="Y128"/>
    <hyperlink r:id="rId155" ref="W129"/>
    <hyperlink r:id="rId156" ref="W130"/>
    <hyperlink r:id="rId157" ref="X130"/>
    <hyperlink r:id="rId158" ref="W131"/>
    <hyperlink r:id="rId159" ref="W132"/>
    <hyperlink r:id="rId160" ref="W133"/>
    <hyperlink r:id="rId161" ref="W134"/>
    <hyperlink r:id="rId162" ref="W135"/>
    <hyperlink r:id="rId163" ref="W136"/>
    <hyperlink r:id="rId164" ref="W137"/>
    <hyperlink r:id="rId165" ref="W138"/>
    <hyperlink r:id="rId166" ref="W139"/>
    <hyperlink r:id="rId167" ref="W140"/>
    <hyperlink r:id="rId168" ref="W141"/>
    <hyperlink r:id="rId169" ref="W143"/>
    <hyperlink r:id="rId170" ref="X143"/>
    <hyperlink r:id="rId171" ref="W144"/>
    <hyperlink r:id="rId172" ref="X144"/>
    <hyperlink r:id="rId173" ref="W145"/>
    <hyperlink r:id="rId174" ref="X145"/>
    <hyperlink r:id="rId175" ref="Y145"/>
    <hyperlink r:id="rId176" ref="W146"/>
    <hyperlink r:id="rId177" ref="X146"/>
    <hyperlink r:id="rId178" ref="W147"/>
    <hyperlink r:id="rId179" ref="W148"/>
    <hyperlink r:id="rId180" ref="W149"/>
    <hyperlink r:id="rId181" ref="W150"/>
    <hyperlink r:id="rId182" ref="W151"/>
    <hyperlink r:id="rId183" ref="X151"/>
    <hyperlink r:id="rId184" ref="Y151"/>
    <hyperlink r:id="rId185" ref="W152"/>
    <hyperlink r:id="rId186" ref="X152"/>
    <hyperlink r:id="rId187" ref="W153"/>
    <hyperlink r:id="rId188" ref="X153"/>
    <hyperlink r:id="rId189" ref="W154"/>
    <hyperlink r:id="rId190" ref="W155"/>
    <hyperlink r:id="rId191" ref="W156"/>
    <hyperlink r:id="rId192" ref="X156"/>
    <hyperlink r:id="rId193" location=":~:text=After%20a%20service%20disruption%20on,restored%20around%2011%3A30%20AM." ref="W157"/>
    <hyperlink r:id="rId194" ref="X157"/>
    <hyperlink r:id="rId195" ref="W160"/>
    <hyperlink r:id="rId196" location=":~:text=On%20the%20first%20day%20of,a%2020%2Dday%20test%20ban.&amp;text=They%20saw%20the%20move%20as,other%20platforms%2C%20such%20as%20Facebook." ref="W161"/>
    <hyperlink r:id="rId197" ref="X161"/>
    <hyperlink r:id="rId198" ref="Y161"/>
    <hyperlink r:id="rId199" ref="W162"/>
    <hyperlink r:id="rId200" ref="X162"/>
    <hyperlink r:id="rId201" ref="W163"/>
    <hyperlink r:id="rId202" ref="W164"/>
    <hyperlink r:id="rId203" ref="W166"/>
    <hyperlink r:id="rId204" ref="X166"/>
    <hyperlink r:id="rId205" ref="W167"/>
    <hyperlink r:id="rId206" ref="X167"/>
    <hyperlink r:id="rId207" ref="Y167"/>
    <hyperlink r:id="rId208" ref="W168"/>
    <hyperlink r:id="rId209" ref="X168"/>
    <hyperlink r:id="rId210" ref="W169"/>
    <hyperlink r:id="rId211" ref="W170"/>
    <hyperlink r:id="rId212" ref="X170"/>
    <hyperlink r:id="rId213" ref="W171"/>
    <hyperlink r:id="rId214" ref="L172"/>
    <hyperlink r:id="rId215" ref="W172"/>
    <hyperlink r:id="rId216" ref="W173"/>
    <hyperlink r:id="rId217" location="problem" ref="W174"/>
    <hyperlink r:id="rId218" ref="X174"/>
    <hyperlink r:id="rId219" ref="W175"/>
    <hyperlink r:id="rId220" ref="W176"/>
    <hyperlink r:id="rId221" ref="W177"/>
    <hyperlink r:id="rId222" ref="W178"/>
    <hyperlink r:id="rId223" ref="X178"/>
    <hyperlink r:id="rId224" location="3" ref="W182"/>
    <hyperlink r:id="rId225" ref="X182"/>
    <hyperlink r:id="rId226" ref="W183"/>
    <hyperlink r:id="rId227" ref="W184"/>
    <hyperlink r:id="rId228" ref="W185"/>
    <hyperlink r:id="rId229" ref="W186"/>
    <hyperlink r:id="rId230" ref="W187"/>
    <hyperlink r:id="rId231" ref="X187"/>
    <hyperlink r:id="rId232" ref="W188"/>
    <hyperlink r:id="rId233" ref="W189"/>
    <hyperlink r:id="rId234" ref="W190"/>
    <hyperlink r:id="rId235" ref="W192"/>
    <hyperlink r:id="rId236" ref="W193"/>
    <hyperlink r:id="rId237" ref="W194"/>
    <hyperlink r:id="rId238" ref="W195"/>
    <hyperlink r:id="rId239" ref="W196"/>
    <hyperlink r:id="rId240" ref="X196"/>
    <hyperlink r:id="rId241" ref="W197"/>
    <hyperlink r:id="rId242" ref="W198"/>
    <hyperlink r:id="rId243" ref="W199"/>
    <hyperlink r:id="rId244" ref="W200"/>
    <hyperlink r:id="rId245" ref="W201"/>
    <hyperlink r:id="rId246" ref="W202"/>
    <hyperlink r:id="rId247" ref="W203"/>
    <hyperlink r:id="rId248" ref="W204"/>
    <hyperlink r:id="rId249" ref="W205"/>
    <hyperlink r:id="rId250" ref="W206"/>
    <hyperlink r:id="rId251" ref="W207"/>
    <hyperlink r:id="rId252" ref="W208"/>
    <hyperlink r:id="rId253" ref="W209"/>
    <hyperlink r:id="rId254" ref="W210"/>
    <hyperlink r:id="rId255" ref="W211"/>
    <hyperlink r:id="rId256" ref="W212"/>
    <hyperlink r:id="rId257" ref="L213"/>
    <hyperlink r:id="rId258" ref="W213"/>
    <hyperlink r:id="rId259" ref="W214"/>
    <hyperlink r:id="rId260" ref="W215"/>
    <hyperlink r:id="rId261" ref="X215"/>
    <hyperlink r:id="rId262" ref="Y215"/>
    <hyperlink r:id="rId263" ref="W216"/>
    <hyperlink r:id="rId264" ref="W217"/>
    <hyperlink r:id="rId265" ref="W218"/>
    <hyperlink r:id="rId266" ref="W219"/>
    <hyperlink r:id="rId267" ref="W220"/>
    <hyperlink r:id="rId268" ref="X220"/>
    <hyperlink r:id="rId269" ref="W221"/>
    <hyperlink r:id="rId270" ref="X221"/>
    <hyperlink r:id="rId271" ref="W222"/>
    <hyperlink r:id="rId272" ref="X222"/>
    <hyperlink r:id="rId273" ref="W223"/>
    <hyperlink r:id="rId274" ref="X223"/>
    <hyperlink r:id="rId275" ref="W224"/>
    <hyperlink r:id="rId276" ref="X224"/>
    <hyperlink r:id="rId277" ref="Y224"/>
    <hyperlink r:id="rId278" ref="W225"/>
    <hyperlink r:id="rId279" ref="X225"/>
    <hyperlink r:id="rId280" ref="W226"/>
    <hyperlink r:id="rId281" ref="X226"/>
    <hyperlink r:id="rId282" ref="W227"/>
    <hyperlink r:id="rId283" ref="X227"/>
    <hyperlink r:id="rId284" ref="W228"/>
    <hyperlink r:id="rId285" ref="W229"/>
    <hyperlink r:id="rId286" ref="W230"/>
    <hyperlink r:id="rId287" ref="W231"/>
    <hyperlink r:id="rId288" ref="W232"/>
    <hyperlink r:id="rId289" ref="W233"/>
    <hyperlink r:id="rId290" ref="W234"/>
    <hyperlink r:id="rId291" ref="W235"/>
    <hyperlink r:id="rId292" ref="W236"/>
    <hyperlink r:id="rId293" location="problem" ref="W237"/>
    <hyperlink r:id="rId294" location="problem" ref="W238"/>
    <hyperlink r:id="rId295" location="problem" ref="W239"/>
    <hyperlink r:id="rId296" location="problem" ref="W240"/>
    <hyperlink r:id="rId297" location="problem" ref="W241"/>
    <hyperlink r:id="rId298" location="problem" ref="W242"/>
    <hyperlink r:id="rId299" location="problem" ref="W243"/>
    <hyperlink r:id="rId300" location="problem" ref="W244"/>
    <hyperlink r:id="rId301" location="problem" ref="W245"/>
    <hyperlink r:id="rId302" location="problem" ref="W246"/>
    <hyperlink r:id="rId303" location="problem" ref="W247"/>
    <hyperlink r:id="rId304" location="problem" ref="W248"/>
    <hyperlink r:id="rId305" location="problem" ref="W249"/>
    <hyperlink r:id="rId306" location="problem" ref="W250"/>
    <hyperlink r:id="rId307" location="problem" ref="W251"/>
    <hyperlink r:id="rId308" location="problem" ref="W252"/>
    <hyperlink r:id="rId309" location="problem" ref="W253"/>
    <hyperlink r:id="rId310" location="problem" ref="W254"/>
    <hyperlink r:id="rId311" location="problem" ref="W255"/>
    <hyperlink r:id="rId312" location="problem" ref="W256"/>
    <hyperlink r:id="rId313" location="problem" ref="W257"/>
    <hyperlink r:id="rId314" location="problem" ref="W258"/>
    <hyperlink r:id="rId315" location="problem" ref="W259"/>
    <hyperlink r:id="rId316" location="problem" ref="W260"/>
    <hyperlink r:id="rId317" location="problem" ref="W261"/>
    <hyperlink r:id="rId318" location="problem" ref="W262"/>
    <hyperlink r:id="rId319" location="problem" ref="W263"/>
    <hyperlink r:id="rId320" location="problem" ref="W264"/>
    <hyperlink r:id="rId321" location="problem" ref="W265"/>
    <hyperlink r:id="rId322" location="problem" ref="W266"/>
    <hyperlink r:id="rId323" location="problem" ref="W267"/>
    <hyperlink r:id="rId324" location="problem" ref="W268"/>
    <hyperlink r:id="rId325" location="problem" ref="W269"/>
    <hyperlink r:id="rId326" location="problem" ref="W270"/>
    <hyperlink r:id="rId327" location="problem" ref="W271"/>
    <hyperlink r:id="rId328" location="problem" ref="W272"/>
    <hyperlink r:id="rId329" location="problem" ref="W273"/>
    <hyperlink r:id="rId330" location="problem" ref="W274"/>
    <hyperlink r:id="rId331" location="problem" ref="W275"/>
    <hyperlink r:id="rId332" location="problem" ref="W276"/>
    <hyperlink r:id="rId333" location="problem" ref="W277"/>
    <hyperlink r:id="rId334" location="problem" ref="W278"/>
    <hyperlink r:id="rId335" location="problem" ref="W279"/>
    <hyperlink r:id="rId336" location="problem" ref="W280"/>
    <hyperlink r:id="rId337" location="problem" ref="W281"/>
    <hyperlink r:id="rId338" location="problem" ref="W282"/>
    <hyperlink r:id="rId339" location="problem" ref="W283"/>
    <hyperlink r:id="rId340" location="problem" ref="W284"/>
    <hyperlink r:id="rId341" location="problem" ref="W285"/>
    <hyperlink r:id="rId342" location="problem" ref="W286"/>
    <hyperlink r:id="rId343" location="problem" ref="W287"/>
    <hyperlink r:id="rId344" location="problem" ref="W288"/>
    <hyperlink r:id="rId345" location="problem" ref="W289"/>
    <hyperlink r:id="rId346" location="problem" ref="W290"/>
    <hyperlink r:id="rId347" location="problem" ref="W291"/>
    <hyperlink r:id="rId348" location="problem" ref="W292"/>
    <hyperlink r:id="rId349" location="problem" ref="W293"/>
    <hyperlink r:id="rId350" location="problem" ref="W294"/>
    <hyperlink r:id="rId351" location="problem" ref="W295"/>
    <hyperlink r:id="rId352" location="problem" ref="W296"/>
    <hyperlink r:id="rId353" location="problem" ref="W297"/>
    <hyperlink r:id="rId354" location="problem" ref="W298"/>
    <hyperlink r:id="rId355" location="problem" ref="W299"/>
    <hyperlink r:id="rId356" location="problem" ref="W300"/>
    <hyperlink r:id="rId357" location="problem" ref="W301"/>
    <hyperlink r:id="rId358" location="problem" ref="W302"/>
    <hyperlink r:id="rId359" location="problem" ref="W303"/>
    <hyperlink r:id="rId360" location="problem" ref="W304"/>
    <hyperlink r:id="rId361" location="problem" ref="W305"/>
    <hyperlink r:id="rId362" location="problem" ref="W306"/>
    <hyperlink r:id="rId363" location="problem" ref="W307"/>
    <hyperlink r:id="rId364" location="problem" ref="W308"/>
    <hyperlink r:id="rId365" location="problem" ref="W309"/>
    <hyperlink r:id="rId366" location="problem" ref="W310"/>
    <hyperlink r:id="rId367" location="problem" ref="W311"/>
    <hyperlink r:id="rId368" location="problem" ref="W312"/>
    <hyperlink r:id="rId369" location="problem" ref="W313"/>
    <hyperlink r:id="rId370" location="problem" ref="W314"/>
    <hyperlink r:id="rId371" location="problem" ref="W315"/>
    <hyperlink r:id="rId372" location="problem" ref="W316"/>
    <hyperlink r:id="rId373" location="problem" ref="W317"/>
    <hyperlink r:id="rId374" location="problem" ref="W318"/>
    <hyperlink r:id="rId375" location="problem" ref="W319"/>
    <hyperlink r:id="rId376" location="problem" ref="W320"/>
    <hyperlink r:id="rId377" location="problem" ref="W321"/>
    <hyperlink r:id="rId378" location="problem" ref="W322"/>
    <hyperlink r:id="rId379" location="problem" ref="W323"/>
    <hyperlink r:id="rId380" location="problem" ref="W324"/>
    <hyperlink r:id="rId381" location="problem" ref="W325"/>
    <hyperlink r:id="rId382" location="problem" ref="W326"/>
    <hyperlink r:id="rId383" location="problem" ref="W327"/>
    <hyperlink r:id="rId384" ref="W328"/>
    <hyperlink r:id="rId385" ref="X328"/>
    <hyperlink r:id="rId386" ref="W329"/>
    <hyperlink r:id="rId387" ref="W330"/>
    <hyperlink r:id="rId388" ref="W331"/>
    <hyperlink r:id="rId389" ref="X331"/>
    <hyperlink r:id="rId390" ref="W332"/>
    <hyperlink r:id="rId391" ref="W333"/>
    <hyperlink r:id="rId392" ref="W334"/>
    <hyperlink r:id="rId393" ref="W335"/>
    <hyperlink r:id="rId394" ref="W336"/>
    <hyperlink r:id="rId395" ref="W337"/>
    <hyperlink r:id="rId396" ref="W338"/>
    <hyperlink r:id="rId397" ref="W339"/>
    <hyperlink r:id="rId398" ref="W340"/>
    <hyperlink r:id="rId399" ref="W341"/>
    <hyperlink r:id="rId400" ref="W342"/>
    <hyperlink r:id="rId401" ref="W343"/>
    <hyperlink r:id="rId402" ref="W344"/>
    <hyperlink r:id="rId403" ref="W345"/>
    <hyperlink r:id="rId404" ref="W346"/>
    <hyperlink r:id="rId405" ref="W347"/>
    <hyperlink r:id="rId406" ref="W348"/>
    <hyperlink r:id="rId407" ref="W349"/>
    <hyperlink r:id="rId408" ref="W350"/>
    <hyperlink r:id="rId409" ref="W351"/>
    <hyperlink r:id="rId410" ref="W352"/>
    <hyperlink r:id="rId411" ref="W353"/>
    <hyperlink r:id="rId412" ref="W354"/>
    <hyperlink r:id="rId413" ref="W355"/>
    <hyperlink r:id="rId414" ref="W356"/>
    <hyperlink r:id="rId415" ref="W357"/>
    <hyperlink r:id="rId416" ref="W358"/>
    <hyperlink r:id="rId417" ref="W359"/>
    <hyperlink r:id="rId418" ref="W360"/>
    <hyperlink r:id="rId419" ref="W361"/>
    <hyperlink r:id="rId420" ref="X361"/>
    <hyperlink r:id="rId421" ref="W362"/>
    <hyperlink r:id="rId422" ref="W363"/>
    <hyperlink r:id="rId423" ref="W364"/>
    <hyperlink r:id="rId424" ref="W365"/>
    <hyperlink r:id="rId425" ref="X365"/>
    <hyperlink r:id="rId426" ref="Y365"/>
    <hyperlink r:id="rId427" ref="W366"/>
    <hyperlink r:id="rId428" ref="W367"/>
    <hyperlink r:id="rId429" ref="W368"/>
    <hyperlink r:id="rId430" ref="X368"/>
    <hyperlink r:id="rId431" ref="W369"/>
    <hyperlink r:id="rId432" ref="W370"/>
    <hyperlink r:id="rId433" ref="W371"/>
    <hyperlink r:id="rId434" ref="W372"/>
    <hyperlink r:id="rId435" ref="X372"/>
    <hyperlink r:id="rId436" ref="W373"/>
    <hyperlink r:id="rId437" ref="W374"/>
    <hyperlink r:id="rId438" ref="X374"/>
    <hyperlink r:id="rId439" ref="W375"/>
    <hyperlink r:id="rId440" ref="W376"/>
    <hyperlink r:id="rId441" ref="W377"/>
    <hyperlink r:id="rId442" ref="W378"/>
    <hyperlink r:id="rId443" ref="W379"/>
    <hyperlink r:id="rId444" ref="W380"/>
    <hyperlink r:id="rId445" ref="W381"/>
    <hyperlink r:id="rId446" ref="X381"/>
    <hyperlink r:id="rId447" ref="W382"/>
    <hyperlink r:id="rId448" ref="X382"/>
    <hyperlink r:id="rId449" ref="W383"/>
    <hyperlink r:id="rId450" ref="X383"/>
    <hyperlink r:id="rId451" ref="W384"/>
    <hyperlink r:id="rId452" ref="W385"/>
    <hyperlink r:id="rId453" ref="W386"/>
    <hyperlink r:id="rId454" ref="X386"/>
    <hyperlink r:id="rId455" ref="W387"/>
    <hyperlink r:id="rId456" ref="W388"/>
    <hyperlink display="Jurist" location="Countries!A1" ref="X388"/>
    <hyperlink r:id="rId457" ref="W389"/>
    <hyperlink r:id="rId458" ref="W390"/>
    <hyperlink r:id="rId459" ref="W391"/>
    <hyperlink r:id="rId460" location="problem" ref="W392"/>
    <hyperlink r:id="rId461" ref="X392"/>
    <hyperlink r:id="rId462" ref="W393"/>
    <hyperlink r:id="rId463" location="problem" ref="W394"/>
    <hyperlink r:id="rId464" ref="X394"/>
    <hyperlink r:id="rId465" ref="L396"/>
    <hyperlink r:id="rId466" ref="W396"/>
    <hyperlink r:id="rId467" ref="W397"/>
    <hyperlink r:id="rId468" ref="W399"/>
    <hyperlink r:id="rId469" ref="W400"/>
    <hyperlink r:id="rId470" ref="X400"/>
    <hyperlink r:id="rId471" ref="W401"/>
    <hyperlink r:id="rId472" ref="X401"/>
    <hyperlink r:id="rId473" ref="W402"/>
    <hyperlink r:id="rId474" ref="W403"/>
    <hyperlink r:id="rId475" ref="W404"/>
    <hyperlink r:id="rId476" ref="W405"/>
    <hyperlink r:id="rId477" ref="W406"/>
    <hyperlink r:id="rId478" ref="W407"/>
    <hyperlink r:id="rId479" ref="W408"/>
    <hyperlink r:id="rId480" ref="W409"/>
    <hyperlink r:id="rId481" ref="W410"/>
    <hyperlink r:id="rId482" ref="W411"/>
    <hyperlink r:id="rId483" ref="W412"/>
    <hyperlink r:id="rId484" ref="W413"/>
    <hyperlink r:id="rId485" ref="W414"/>
    <hyperlink r:id="rId486" ref="W415"/>
    <hyperlink r:id="rId487" ref="W416"/>
    <hyperlink r:id="rId488" ref="W417"/>
    <hyperlink r:id="rId489" ref="W418"/>
    <hyperlink r:id="rId490" ref="W419"/>
    <hyperlink r:id="rId491" ref="W420"/>
    <hyperlink r:id="rId492" ref="W421"/>
    <hyperlink r:id="rId493" location="problem" ref="W422"/>
    <hyperlink r:id="rId494" ref="X422"/>
    <hyperlink r:id="rId495" ref="W423"/>
    <hyperlink r:id="rId496" ref="W424"/>
    <hyperlink r:id="rId497" ref="W425"/>
    <hyperlink r:id="rId498" location="problem" ref="W426"/>
    <hyperlink r:id="rId499" ref="X426"/>
    <hyperlink r:id="rId500" location="problem" ref="W427"/>
    <hyperlink r:id="rId501" ref="X427"/>
    <hyperlink r:id="rId502" location="problem" ref="W428"/>
    <hyperlink r:id="rId503" ref="X428"/>
    <hyperlink r:id="rId504" location="problem" ref="W429"/>
    <hyperlink r:id="rId505" ref="X429"/>
    <hyperlink r:id="rId506" location="problem" ref="W430"/>
    <hyperlink r:id="rId507" ref="X430"/>
    <hyperlink r:id="rId508" location="problem" ref="W431"/>
    <hyperlink r:id="rId509" ref="X431"/>
    <hyperlink r:id="rId510" location="problem" ref="W432"/>
    <hyperlink r:id="rId511" ref="X432"/>
    <hyperlink r:id="rId512" ref="W433"/>
    <hyperlink r:id="rId513" location="problem" ref="W434"/>
    <hyperlink r:id="rId514" ref="X434"/>
    <hyperlink r:id="rId515" location="problem" ref="W435"/>
    <hyperlink r:id="rId516" ref="X435"/>
    <hyperlink r:id="rId517" location="problem" ref="W436"/>
    <hyperlink r:id="rId518" ref="X436"/>
    <hyperlink r:id="rId519" location="problem" ref="W437"/>
    <hyperlink r:id="rId520" ref="X437"/>
    <hyperlink r:id="rId521" location="problem" ref="W438"/>
    <hyperlink r:id="rId522" ref="X438"/>
    <hyperlink r:id="rId523" location="problem" ref="W439"/>
    <hyperlink r:id="rId524" ref="X439"/>
    <hyperlink r:id="rId525" location="problem" ref="W440"/>
    <hyperlink r:id="rId526" ref="X440"/>
    <hyperlink r:id="rId527" location="problem" ref="W441"/>
    <hyperlink r:id="rId528" ref="X441"/>
    <hyperlink r:id="rId529" location="problem" ref="W442"/>
    <hyperlink r:id="rId530" ref="X442"/>
    <hyperlink r:id="rId531" location="problem" ref="W443"/>
    <hyperlink r:id="rId532" ref="X443"/>
    <hyperlink r:id="rId533" location="problem" ref="W444"/>
    <hyperlink r:id="rId534" location="problem" ref="W445"/>
    <hyperlink r:id="rId535" location="problem" ref="W446"/>
    <hyperlink r:id="rId536" location="problem" ref="W447"/>
    <hyperlink r:id="rId537" location="problem" ref="W448"/>
    <hyperlink r:id="rId538" location="problem" ref="W449"/>
    <hyperlink r:id="rId539" location="problem" ref="W450"/>
    <hyperlink r:id="rId540" location="problem" ref="W451"/>
    <hyperlink r:id="rId541" location="problem" ref="W452"/>
    <hyperlink r:id="rId542" location="problem" ref="W453"/>
    <hyperlink r:id="rId543" location="problem" ref="W454"/>
    <hyperlink r:id="rId544" location="problem" ref="W455"/>
    <hyperlink r:id="rId545" location="problem" ref="W456"/>
    <hyperlink r:id="rId546" location="problem" ref="W457"/>
    <hyperlink r:id="rId547" location="problem" ref="W458"/>
    <hyperlink r:id="rId548" location="problem" ref="W459"/>
    <hyperlink r:id="rId549" location="problem" ref="W460"/>
    <hyperlink r:id="rId550" location="problem" ref="W461"/>
    <hyperlink r:id="rId551" location="problem" ref="W462"/>
    <hyperlink r:id="rId552" location="problem" ref="W463"/>
    <hyperlink r:id="rId553" location="problem" ref="W464"/>
    <hyperlink r:id="rId554" location="problem" ref="W465"/>
    <hyperlink r:id="rId555" location="problem" ref="W466"/>
    <hyperlink r:id="rId556" location="problem" ref="W467"/>
    <hyperlink r:id="rId557" location="problem" ref="W468"/>
    <hyperlink r:id="rId558" location="problem" ref="W469"/>
    <hyperlink r:id="rId559" location="problem" ref="W470"/>
    <hyperlink r:id="rId560" location="problem" ref="W471"/>
    <hyperlink r:id="rId561" location="problem" ref="W472"/>
    <hyperlink r:id="rId562" location="problem" ref="W473"/>
    <hyperlink r:id="rId563" location="problem" ref="W474"/>
    <hyperlink r:id="rId564" location="problem" ref="W475"/>
    <hyperlink r:id="rId565" location="problem" ref="W476"/>
    <hyperlink r:id="rId566" location="problem" ref="W477"/>
    <hyperlink r:id="rId567" location="problem" ref="W478"/>
    <hyperlink r:id="rId568" location="problem" ref="W479"/>
    <hyperlink r:id="rId569" location="problem" ref="W480"/>
    <hyperlink r:id="rId570" location="problem" ref="W481"/>
    <hyperlink r:id="rId571" location="problem" ref="W482"/>
    <hyperlink r:id="rId572" location="problem" ref="W483"/>
    <hyperlink r:id="rId573" location="problem" ref="W484"/>
    <hyperlink r:id="rId574" location="problem" ref="W485"/>
    <hyperlink r:id="rId575" location="problem" ref="W486"/>
    <hyperlink r:id="rId576" location="problem" ref="W487"/>
    <hyperlink r:id="rId577" location="problem" ref="W488"/>
    <hyperlink r:id="rId578" location="problem" ref="W489"/>
    <hyperlink r:id="rId579" location="problem" ref="W490"/>
    <hyperlink r:id="rId580" location="problem" ref="W491"/>
    <hyperlink r:id="rId581" location="problem" ref="W492"/>
    <hyperlink r:id="rId582" location="problem" ref="W493"/>
    <hyperlink r:id="rId583" location="problem" ref="W494"/>
    <hyperlink r:id="rId584" location="problem" ref="W495"/>
    <hyperlink r:id="rId585" location="problem" ref="W496"/>
    <hyperlink r:id="rId586" location="problem" ref="W497"/>
    <hyperlink r:id="rId587" location="problem" ref="W498"/>
    <hyperlink r:id="rId588" location="problem" ref="W499"/>
    <hyperlink r:id="rId589" location="problem" ref="W500"/>
    <hyperlink r:id="rId590" location="problem" ref="W501"/>
    <hyperlink r:id="rId591" location="problem" ref="W502"/>
    <hyperlink r:id="rId592" location="problem" ref="W503"/>
    <hyperlink r:id="rId593" location="problem" ref="W504"/>
    <hyperlink r:id="rId594" location="problem" ref="W505"/>
    <hyperlink r:id="rId595" location="problem" ref="W506"/>
    <hyperlink r:id="rId596" location="problem" ref="W507"/>
    <hyperlink r:id="rId597" location="problem" ref="W508"/>
    <hyperlink r:id="rId598" location="problem" ref="W509"/>
    <hyperlink r:id="rId599" location="problem" ref="W510"/>
    <hyperlink r:id="rId600" location="problem" ref="W511"/>
    <hyperlink r:id="rId601" location="problem" ref="W512"/>
    <hyperlink r:id="rId602" location="problem" ref="W513"/>
    <hyperlink r:id="rId603" location="problem" ref="W514"/>
    <hyperlink r:id="rId604" location="problem" ref="W515"/>
    <hyperlink r:id="rId605" location="problem" ref="W516"/>
    <hyperlink r:id="rId606" location="problem" ref="W517"/>
    <hyperlink r:id="rId607" location="problem" ref="W518"/>
    <hyperlink r:id="rId608" location="problem" ref="W519"/>
    <hyperlink r:id="rId609" location="problem" ref="W520"/>
    <hyperlink r:id="rId610" location="problem" ref="W521"/>
    <hyperlink r:id="rId611" location="problem" ref="W522"/>
    <hyperlink r:id="rId612" location="problem" ref="W523"/>
    <hyperlink r:id="rId613" location="problem" ref="W524"/>
    <hyperlink r:id="rId614" location="problem" ref="W525"/>
    <hyperlink r:id="rId615" location="problem" ref="W526"/>
    <hyperlink r:id="rId616" location="problem" ref="W527"/>
    <hyperlink r:id="rId617" location="problem" ref="W528"/>
    <hyperlink r:id="rId618" location="problem" ref="W529"/>
    <hyperlink r:id="rId619" location="problem" ref="W530"/>
    <hyperlink r:id="rId620" location="problem" ref="W531"/>
    <hyperlink r:id="rId621" location="problem" ref="W532"/>
    <hyperlink r:id="rId622" location="problem" ref="W533"/>
    <hyperlink r:id="rId623" location="problem" ref="W534"/>
    <hyperlink r:id="rId624" location="problem" ref="W535"/>
    <hyperlink r:id="rId625" location="problem" ref="W536"/>
    <hyperlink r:id="rId626" location="problem" ref="W537"/>
    <hyperlink r:id="rId627" location="problem" ref="W538"/>
    <hyperlink r:id="rId628" location="problem" ref="W539"/>
    <hyperlink r:id="rId629" location="problem" ref="W540"/>
    <hyperlink r:id="rId630" location="problem" ref="W541"/>
    <hyperlink r:id="rId631" location="problem" ref="W542"/>
    <hyperlink r:id="rId632" location="problem" ref="W543"/>
    <hyperlink r:id="rId633" location="problem" ref="W544"/>
    <hyperlink r:id="rId634" location="problem" ref="W545"/>
    <hyperlink r:id="rId635" location="problem" ref="W546"/>
    <hyperlink r:id="rId636" location="problem" ref="W547"/>
    <hyperlink r:id="rId637" location="problem" ref="W548"/>
    <hyperlink r:id="rId638" location="problem" ref="W549"/>
    <hyperlink r:id="rId639" location="problem" ref="W550"/>
    <hyperlink r:id="rId640" location="problem" ref="W551"/>
    <hyperlink r:id="rId641" location="problem" ref="W552"/>
    <hyperlink r:id="rId642" location="problem" ref="W553"/>
    <hyperlink r:id="rId643" location="problem" ref="W554"/>
    <hyperlink r:id="rId644" location="problem" ref="W555"/>
    <hyperlink r:id="rId645" location="problem" ref="W556"/>
    <hyperlink r:id="rId646" location="problem" ref="W557"/>
    <hyperlink r:id="rId647" location="problem" ref="W558"/>
    <hyperlink r:id="rId648" location="problem" ref="W559"/>
    <hyperlink r:id="rId649" location="problem" ref="W560"/>
    <hyperlink r:id="rId650" location="problem" ref="W561"/>
    <hyperlink r:id="rId651" location="problem" ref="W562"/>
    <hyperlink r:id="rId652" location="problem" ref="W563"/>
    <hyperlink r:id="rId653" location="problem" ref="W564"/>
    <hyperlink r:id="rId654" location="problem" ref="W565"/>
    <hyperlink r:id="rId655" location="problem" ref="W566"/>
    <hyperlink r:id="rId656" location="problem" ref="W567"/>
    <hyperlink r:id="rId657" location="problem" ref="W568"/>
    <hyperlink r:id="rId658" location="problem" ref="W569"/>
    <hyperlink r:id="rId659" location="problem" ref="W570"/>
    <hyperlink r:id="rId660" location="problem" ref="W571"/>
    <hyperlink r:id="rId661" location="problem" ref="W572"/>
    <hyperlink r:id="rId662" location="problem" ref="W573"/>
    <hyperlink r:id="rId663" location="problem" ref="W574"/>
    <hyperlink r:id="rId664" location="problem" ref="W575"/>
    <hyperlink r:id="rId665" location="problem" ref="W576"/>
    <hyperlink r:id="rId666" location="problem" ref="W577"/>
    <hyperlink r:id="rId667" location="problem" ref="W578"/>
    <hyperlink r:id="rId668" location="problem" ref="W579"/>
    <hyperlink r:id="rId669" location="problem" ref="W580"/>
    <hyperlink r:id="rId670" location="problem" ref="W581"/>
    <hyperlink r:id="rId671" location="problem" ref="W582"/>
    <hyperlink r:id="rId672" location="problem" ref="W583"/>
    <hyperlink r:id="rId673" location="problem" ref="W584"/>
    <hyperlink r:id="rId674" location="problem" ref="W585"/>
    <hyperlink r:id="rId675" location="problem" ref="W586"/>
    <hyperlink r:id="rId676" location="problem" ref="W587"/>
    <hyperlink r:id="rId677" location="problem" ref="W588"/>
    <hyperlink r:id="rId678" location="problem" ref="W589"/>
    <hyperlink r:id="rId679" location="problem" ref="W590"/>
    <hyperlink r:id="rId680" location="problem" ref="W591"/>
    <hyperlink r:id="rId681" location="problem" ref="W592"/>
    <hyperlink r:id="rId682" location="problem" ref="W593"/>
    <hyperlink r:id="rId683" location="problem" ref="W594"/>
    <hyperlink r:id="rId684" location="problem" ref="W595"/>
    <hyperlink r:id="rId685" location="problem" ref="W596"/>
    <hyperlink r:id="rId686" location="problem" ref="W597"/>
    <hyperlink r:id="rId687" location="problem" ref="W598"/>
    <hyperlink r:id="rId688" location="problem" ref="W599"/>
    <hyperlink r:id="rId689" location="problem" ref="W600"/>
    <hyperlink r:id="rId690" location="problem" ref="W601"/>
    <hyperlink r:id="rId691" location="problem" ref="W602"/>
    <hyperlink r:id="rId692" location="problem" ref="W603"/>
    <hyperlink r:id="rId693" location="problem" ref="W604"/>
    <hyperlink r:id="rId694" location="problem" ref="W605"/>
    <hyperlink r:id="rId695" location="problem" ref="W606"/>
    <hyperlink r:id="rId696" location="problem" ref="W607"/>
    <hyperlink r:id="rId697" location="problem" ref="W608"/>
    <hyperlink r:id="rId698" location="problem" ref="W609"/>
    <hyperlink r:id="rId699" location="problem" ref="W610"/>
    <hyperlink r:id="rId700" location="problem" ref="W611"/>
    <hyperlink r:id="rId701" location="problem" ref="W612"/>
    <hyperlink r:id="rId702" location="problem" ref="W613"/>
    <hyperlink r:id="rId703" location="problem" ref="W614"/>
    <hyperlink r:id="rId704" location="problem" ref="W615"/>
    <hyperlink r:id="rId705" location="problem" ref="W616"/>
    <hyperlink r:id="rId706" location="problem" ref="W617"/>
    <hyperlink r:id="rId707" location="problem" ref="W618"/>
    <hyperlink r:id="rId708" location="problem" ref="W619"/>
    <hyperlink r:id="rId709" location="problem" ref="W620"/>
    <hyperlink r:id="rId710" location="problem" ref="W621"/>
    <hyperlink r:id="rId711" location="problem" ref="W622"/>
    <hyperlink r:id="rId712" location="problem" ref="W623"/>
    <hyperlink r:id="rId713" location="problem" ref="W624"/>
    <hyperlink r:id="rId714" location="problem" ref="W625"/>
    <hyperlink r:id="rId715" location="problem" ref="W626"/>
    <hyperlink r:id="rId716" location="problem" ref="W627"/>
    <hyperlink r:id="rId717" location="problem" ref="W628"/>
    <hyperlink r:id="rId718" location="problem" ref="W629"/>
    <hyperlink r:id="rId719" location="problem" ref="W630"/>
    <hyperlink r:id="rId720" location="problem" ref="W631"/>
    <hyperlink r:id="rId721" location="problem" ref="W632"/>
    <hyperlink r:id="rId722" location="problem" ref="W633"/>
    <hyperlink r:id="rId723" location="problem" ref="W634"/>
    <hyperlink r:id="rId724" location="problem" ref="W635"/>
    <hyperlink r:id="rId725" location="problem" ref="W636"/>
    <hyperlink r:id="rId726" location="problem" ref="W637"/>
    <hyperlink r:id="rId727" location="problem" ref="W638"/>
    <hyperlink r:id="rId728" location="problem" ref="W639"/>
    <hyperlink r:id="rId729" location="problem" ref="W640"/>
    <hyperlink r:id="rId730" location="problem" ref="W641"/>
    <hyperlink r:id="rId731" location="problem" ref="W642"/>
    <hyperlink r:id="rId732" location="problem" ref="W643"/>
    <hyperlink r:id="rId733" location="problem" ref="W644"/>
    <hyperlink r:id="rId734" location="problem" ref="W645"/>
    <hyperlink r:id="rId735" location="problem" ref="W646"/>
    <hyperlink r:id="rId736" location="problem" ref="W647"/>
    <hyperlink r:id="rId737" location="problem" ref="W648"/>
    <hyperlink r:id="rId738" location="problem" ref="W649"/>
    <hyperlink r:id="rId739" location="problem" ref="W650"/>
    <hyperlink r:id="rId740" location="problem" ref="W651"/>
    <hyperlink r:id="rId741" location="problem" ref="W652"/>
    <hyperlink r:id="rId742" location="problem" ref="W653"/>
    <hyperlink r:id="rId743" location="problem" ref="W654"/>
    <hyperlink r:id="rId744" location="problem" ref="W655"/>
    <hyperlink r:id="rId745" location="problem" ref="W656"/>
    <hyperlink r:id="rId746" location="problem" ref="W657"/>
    <hyperlink r:id="rId747" location="problem" ref="W658"/>
    <hyperlink r:id="rId748" location="problem" ref="W659"/>
    <hyperlink r:id="rId749" location="problem" ref="W660"/>
    <hyperlink r:id="rId750" location="problem" ref="W661"/>
    <hyperlink r:id="rId751" location="problem" ref="W662"/>
    <hyperlink r:id="rId752" location="problem" ref="W663"/>
    <hyperlink r:id="rId753" location="problem" ref="W664"/>
    <hyperlink r:id="rId754" location="problem" ref="W665"/>
    <hyperlink r:id="rId755" location="problem" ref="W666"/>
    <hyperlink r:id="rId756" location="problem" ref="W667"/>
    <hyperlink r:id="rId757" location="problem" ref="W668"/>
    <hyperlink r:id="rId758" location="problem" ref="W669"/>
    <hyperlink r:id="rId759" location="problem" ref="W670"/>
    <hyperlink r:id="rId760" location="problem" ref="W671"/>
    <hyperlink r:id="rId761" location="problem" ref="W672"/>
    <hyperlink r:id="rId762" location="problem" ref="W673"/>
    <hyperlink r:id="rId763" location="problem" ref="W674"/>
    <hyperlink r:id="rId764" location="problem" ref="W675"/>
    <hyperlink r:id="rId765" location="problem" ref="W676"/>
    <hyperlink r:id="rId766" location="problem" ref="W677"/>
    <hyperlink r:id="rId767" location="problem" ref="W678"/>
    <hyperlink r:id="rId768" location="problem" ref="W679"/>
    <hyperlink r:id="rId769" location="problem" ref="W680"/>
    <hyperlink r:id="rId770" location="problem" ref="W681"/>
    <hyperlink r:id="rId771" location="problem" ref="W682"/>
    <hyperlink r:id="rId772" location="problem" ref="W683"/>
    <hyperlink r:id="rId773" location="problem" ref="W684"/>
    <hyperlink r:id="rId774" location="problem" ref="W685"/>
    <hyperlink r:id="rId775" location="problem" ref="W686"/>
    <hyperlink r:id="rId776" location="problem" ref="W687"/>
    <hyperlink r:id="rId777" location="problem" ref="W688"/>
    <hyperlink r:id="rId778" location="problem" ref="W689"/>
    <hyperlink r:id="rId779" location="problem" ref="W690"/>
    <hyperlink r:id="rId780" location="problem" ref="W691"/>
    <hyperlink r:id="rId781" location="problem" ref="W692"/>
    <hyperlink r:id="rId782" location="problem" ref="W693"/>
    <hyperlink r:id="rId783" location="problem" ref="W694"/>
    <hyperlink r:id="rId784" location="problem" ref="W695"/>
    <hyperlink r:id="rId785" location="problem" ref="W696"/>
    <hyperlink r:id="rId786" location="problem" ref="W697"/>
    <hyperlink r:id="rId787" location="problem" ref="W698"/>
    <hyperlink r:id="rId788" location="problem" ref="W699"/>
    <hyperlink r:id="rId789" location="problem" ref="W700"/>
    <hyperlink r:id="rId790" location="problem" ref="W701"/>
    <hyperlink r:id="rId791" location="problem" ref="W702"/>
    <hyperlink r:id="rId792" location="problem" ref="W703"/>
    <hyperlink r:id="rId793" location="problem" ref="W704"/>
    <hyperlink r:id="rId794" location="problem" ref="W705"/>
    <hyperlink r:id="rId795" location="problem" ref="W706"/>
    <hyperlink r:id="rId796" location="problem" ref="W707"/>
    <hyperlink r:id="rId797" location="problem" ref="W708"/>
    <hyperlink r:id="rId798" location="problem" ref="W709"/>
    <hyperlink r:id="rId799" location="problem" ref="W710"/>
    <hyperlink r:id="rId800" location="problem" ref="W711"/>
    <hyperlink r:id="rId801" location="problem" ref="W712"/>
    <hyperlink r:id="rId802" location="problem" ref="W713"/>
    <hyperlink r:id="rId803" location="problem" ref="W714"/>
    <hyperlink r:id="rId804" location="problem" ref="W715"/>
    <hyperlink r:id="rId805" location="problem" ref="W716"/>
    <hyperlink r:id="rId806" location="problem" ref="W717"/>
    <hyperlink r:id="rId807" location="problem" ref="W718"/>
    <hyperlink r:id="rId808" location="problem" ref="W719"/>
    <hyperlink r:id="rId809" location="problem" ref="W720"/>
    <hyperlink r:id="rId810" location="problem" ref="W721"/>
    <hyperlink r:id="rId811" location="problem" ref="W722"/>
    <hyperlink r:id="rId812" location="problem" ref="W723"/>
    <hyperlink r:id="rId813" location="problem" ref="W724"/>
    <hyperlink r:id="rId814" location="problem" ref="W725"/>
    <hyperlink r:id="rId815" ref="W727"/>
    <hyperlink r:id="rId816" ref="X727"/>
    <hyperlink r:id="rId817" ref="W728"/>
    <hyperlink r:id="rId818" ref="X728"/>
    <hyperlink r:id="rId819" ref="W729"/>
    <hyperlink r:id="rId820" location="footnote1_mduqte3" ref="X729"/>
    <hyperlink r:id="rId821" ref="Y729"/>
    <hyperlink r:id="rId822" ref="W730"/>
    <hyperlink r:id="rId823" ref="W731"/>
    <hyperlink r:id="rId824" ref="W732"/>
    <hyperlink r:id="rId825" ref="W733"/>
    <hyperlink r:id="rId826" ref="W734"/>
    <hyperlink r:id="rId827" ref="X734"/>
    <hyperlink r:id="rId828" ref="W735"/>
    <hyperlink r:id="rId829" ref="W736"/>
    <hyperlink r:id="rId830" ref="W737"/>
    <hyperlink r:id="rId831" location="problem" ref="W738"/>
    <hyperlink r:id="rId832" ref="X738"/>
    <hyperlink r:id="rId833" ref="W739"/>
    <hyperlink r:id="rId834" ref="W741"/>
    <hyperlink r:id="rId835" ref="W747"/>
    <hyperlink r:id="rId836" ref="X747"/>
    <hyperlink r:id="rId837" ref="Y747"/>
    <hyperlink r:id="rId838" ref="W748"/>
    <hyperlink r:id="rId839" location="view=inspect&amp;entity=country/MM&amp;lastView=overview&amp;from=1622721600&amp;until=1622854200" ref="X748"/>
    <hyperlink r:id="rId840" ref="W749"/>
    <hyperlink r:id="rId841" ref="W750"/>
    <hyperlink r:id="rId842" ref="X750"/>
    <hyperlink r:id="rId843" location="view=inspect&amp;entity=country/MM&amp;lastView=overview&amp;from=1612109080&amp;until=1614614680" ref="W751"/>
    <hyperlink r:id="rId844" ref="X751"/>
    <hyperlink r:id="rId845" ref="W752"/>
    <hyperlink r:id="rId846" ref="X752"/>
    <hyperlink r:id="rId847" ref="Y752"/>
    <hyperlink r:id="rId848" ref="W754"/>
    <hyperlink r:id="rId849" ref="X754"/>
    <hyperlink r:id="rId850" ref="W755"/>
    <hyperlink r:id="rId851" location="2013" ref="X755"/>
    <hyperlink r:id="rId852" ref="Y755"/>
    <hyperlink r:id="rId853" ref="W756"/>
    <hyperlink r:id="rId854" ref="X756"/>
    <hyperlink r:id="rId855" ref="Y756"/>
    <hyperlink r:id="rId856" ref="W757"/>
    <hyperlink r:id="rId857" ref="W758"/>
    <hyperlink r:id="rId858" ref="W759"/>
    <hyperlink r:id="rId859" ref="L760"/>
    <hyperlink r:id="rId860" ref="W760"/>
    <hyperlink r:id="rId861" ref="X760"/>
    <hyperlink r:id="rId862" ref="L761"/>
    <hyperlink r:id="rId863" ref="W761"/>
    <hyperlink r:id="rId864" ref="L762"/>
    <hyperlink r:id="rId865" ref="W762"/>
    <hyperlink r:id="rId866" ref="W763"/>
    <hyperlink r:id="rId867" ref="W764"/>
    <hyperlink r:id="rId868" ref="W765"/>
    <hyperlink r:id="rId869" ref="W766"/>
    <hyperlink r:id="rId870" ref="W767"/>
    <hyperlink r:id="rId871" ref="X767"/>
    <hyperlink r:id="rId872" ref="W768"/>
    <hyperlink r:id="rId873" ref="W769"/>
    <hyperlink r:id="rId874" ref="W770"/>
    <hyperlink r:id="rId875" ref="W771"/>
    <hyperlink r:id="rId876" ref="W772"/>
    <hyperlink r:id="rId877" ref="X772"/>
    <hyperlink r:id="rId878" ref="Y772"/>
    <hyperlink r:id="rId879" ref="W773"/>
    <hyperlink r:id="rId880" ref="W774"/>
    <hyperlink r:id="rId881" location="view=inspect&amp;entity=country/PK&amp;lastView=overview&amp;from=1569945880&amp;until=1572537880" ref="X774"/>
    <hyperlink r:id="rId882" location="problem" ref="W775"/>
    <hyperlink r:id="rId883" ref="X775"/>
    <hyperlink r:id="rId884" ref="Y775"/>
    <hyperlink r:id="rId885" location="problem" ref="W776"/>
    <hyperlink r:id="rId886" ref="X776"/>
    <hyperlink r:id="rId887" location="problem" ref="W777"/>
    <hyperlink r:id="rId888" ref="X777"/>
    <hyperlink r:id="rId889" ref="W778"/>
    <hyperlink r:id="rId890" ref="W779"/>
    <hyperlink r:id="rId891" ref="X779"/>
    <hyperlink r:id="rId892" location="problem" ref="W780"/>
    <hyperlink r:id="rId893" ref="X780"/>
    <hyperlink r:id="rId894" ref="W781"/>
    <hyperlink r:id="rId895" location="problem" ref="X781"/>
    <hyperlink r:id="rId896" ref="W782"/>
    <hyperlink r:id="rId897" location="problem" ref="X782"/>
    <hyperlink r:id="rId898" ref="W783"/>
    <hyperlink r:id="rId899" location="problem" ref="X783"/>
    <hyperlink r:id="rId900" ref="W784"/>
    <hyperlink r:id="rId901" ref="X784"/>
    <hyperlink r:id="rId902" ref="W786"/>
    <hyperlink r:id="rId903" ref="X786"/>
    <hyperlink r:id="rId904" ref="Y786"/>
    <hyperlink r:id="rId905" ref="W787"/>
    <hyperlink r:id="rId906" ref="X787"/>
    <hyperlink r:id="rId907" ref="W788"/>
    <hyperlink r:id="rId908" ref="X788"/>
    <hyperlink r:id="rId909" ref="W789"/>
    <hyperlink r:id="rId910" ref="X789"/>
    <hyperlink r:id="rId911" ref="W790"/>
    <hyperlink r:id="rId912" ref="X790"/>
    <hyperlink r:id="rId913" ref="W791"/>
    <hyperlink r:id="rId914" ref="W792"/>
    <hyperlink r:id="rId915" ref="W794"/>
    <hyperlink r:id="rId916" ref="W795"/>
    <hyperlink r:id="rId917" location="problem" ref="W796"/>
    <hyperlink r:id="rId918" ref="X796"/>
    <hyperlink r:id="rId919" ref="W797"/>
    <hyperlink r:id="rId920" ref="W798"/>
    <hyperlink r:id="rId921" ref="W799"/>
    <hyperlink r:id="rId922" ref="W800"/>
    <hyperlink r:id="rId923" ref="W801"/>
    <hyperlink r:id="rId924" ref="W803"/>
    <hyperlink r:id="rId925" ref="W804"/>
    <hyperlink r:id="rId926" ref="X804"/>
    <hyperlink r:id="rId927" ref="W805"/>
    <hyperlink r:id="rId928" ref="L806"/>
    <hyperlink r:id="rId929" ref="W806"/>
    <hyperlink r:id="rId930" ref="W807"/>
    <hyperlink r:id="rId931" ref="X807"/>
    <hyperlink r:id="rId932" ref="Y807"/>
    <hyperlink r:id="rId933" ref="Z807"/>
    <hyperlink r:id="rId934" ref="W808"/>
    <hyperlink r:id="rId935" ref="X808"/>
    <hyperlink r:id="rId936" ref="W809"/>
    <hyperlink r:id="rId937" ref="W810"/>
    <hyperlink r:id="rId938" ref="X810"/>
    <hyperlink r:id="rId939" ref="W811"/>
    <hyperlink r:id="rId940" ref="W812"/>
    <hyperlink r:id="rId941" ref="W813"/>
    <hyperlink r:id="rId942" ref="W814"/>
    <hyperlink r:id="rId943" ref="W815"/>
    <hyperlink r:id="rId944" ref="W816"/>
    <hyperlink r:id="rId945" ref="W817"/>
    <hyperlink r:id="rId946" ref="W818"/>
    <hyperlink r:id="rId947" ref="W819"/>
    <hyperlink r:id="rId948" ref="X819"/>
    <hyperlink r:id="rId949" ref="X820"/>
    <hyperlink r:id="rId950" ref="W821"/>
    <hyperlink r:id="rId951" ref="X821"/>
    <hyperlink r:id="rId952" ref="W822"/>
    <hyperlink r:id="rId953" ref="X822"/>
    <hyperlink r:id="rId954" ref="Y822"/>
    <hyperlink r:id="rId955" ref="W823"/>
    <hyperlink r:id="rId956" ref="X823"/>
    <hyperlink r:id="rId957" ref="Y823"/>
    <hyperlink r:id="rId958" ref="W824"/>
    <hyperlink r:id="rId959" ref="W826"/>
    <hyperlink r:id="rId960" ref="X826"/>
    <hyperlink r:id="rId961" ref="W827"/>
    <hyperlink r:id="rId962" ref="X827"/>
    <hyperlink r:id="rId963" ref="W828"/>
    <hyperlink r:id="rId964" ref="W829"/>
    <hyperlink r:id="rId965" ref="X829"/>
    <hyperlink r:id="rId966" ref="W830"/>
    <hyperlink r:id="rId967" ref="X830"/>
    <hyperlink r:id="rId968" ref="W831"/>
    <hyperlink r:id="rId969" ref="W832"/>
    <hyperlink r:id="rId970" ref="X832"/>
    <hyperlink r:id="rId971" ref="W833"/>
    <hyperlink r:id="rId972" ref="X833"/>
    <hyperlink r:id="rId973" ref="W834"/>
    <hyperlink r:id="rId974" ref="W835"/>
    <hyperlink r:id="rId975" ref="W836"/>
    <hyperlink r:id="rId976" ref="W837"/>
    <hyperlink r:id="rId977" ref="X837"/>
    <hyperlink r:id="rId978" ref="Y837"/>
    <hyperlink r:id="rId979" ref="W838"/>
    <hyperlink r:id="rId980" location="problem" ref="W839"/>
    <hyperlink r:id="rId981" ref="X839"/>
    <hyperlink r:id="rId982" ref="W845"/>
    <hyperlink r:id="rId983" ref="W846"/>
    <hyperlink r:id="rId984" ref="X846"/>
    <hyperlink r:id="rId985" ref="W847"/>
    <hyperlink r:id="rId986" ref="X847"/>
    <hyperlink r:id="rId987" ref="W848"/>
    <hyperlink r:id="rId988" location="_ftn33" ref="X848"/>
    <hyperlink r:id="rId989" ref="W871"/>
    <hyperlink r:id="rId990" ref="W879"/>
    <hyperlink r:id="rId991" ref="W880"/>
    <hyperlink r:id="rId992" ref="W881"/>
    <hyperlink r:id="rId993" ref="W882"/>
    <hyperlink r:id="rId994" ref="W883"/>
    <hyperlink r:id="rId995" ref="W884"/>
    <hyperlink r:id="rId996" ref="W885"/>
    <hyperlink r:id="rId997" ref="X885"/>
    <hyperlink r:id="rId998" ref="Y885"/>
    <hyperlink r:id="rId999" ref="W886"/>
    <hyperlink r:id="rId1000" ref="W887"/>
    <hyperlink r:id="rId1001" ref="W888"/>
    <hyperlink r:id="rId1002" ref="X888"/>
    <hyperlink r:id="rId1003" ref="W889"/>
    <hyperlink r:id="rId1004" ref="W897"/>
    <hyperlink r:id="rId1005" ref="W907"/>
    <hyperlink r:id="rId1006" ref="W908"/>
    <hyperlink r:id="rId1007" ref="X908"/>
    <hyperlink r:id="rId1008" ref="W909"/>
    <hyperlink r:id="rId1009" ref="W910"/>
    <hyperlink r:id="rId1010" ref="W911"/>
    <hyperlink r:id="rId1011" ref="X911"/>
    <hyperlink r:id="rId1012" ref="W912"/>
    <hyperlink r:id="rId1013" ref="X912"/>
    <hyperlink r:id="rId1014" ref="W913"/>
    <hyperlink r:id="rId1015" ref="X913"/>
    <hyperlink r:id="rId1016" ref="Y913"/>
    <hyperlink r:id="rId1017" ref="W914"/>
    <hyperlink r:id="rId1018" ref="W917"/>
    <hyperlink r:id="rId1019" ref="L918"/>
    <hyperlink r:id="rId1020" ref="W918"/>
    <hyperlink r:id="rId1021" ref="W925"/>
    <hyperlink r:id="rId1022" ref="W936"/>
    <hyperlink r:id="rId1023" ref="X936"/>
    <hyperlink r:id="rId1024" ref="W937"/>
    <hyperlink r:id="rId1025" ref="X937"/>
    <hyperlink r:id="rId1026" ref="W938"/>
    <hyperlink r:id="rId1027" ref="X938"/>
    <hyperlink r:id="rId1028" ref="W939"/>
    <hyperlink r:id="rId1029" ref="X939"/>
    <hyperlink r:id="rId1030" ref="W940"/>
    <hyperlink r:id="rId1031" ref="X940"/>
    <hyperlink r:id="rId1032" ref="Y940"/>
    <hyperlink r:id="rId1033" ref="W941"/>
    <hyperlink r:id="rId1034" ref="X941"/>
    <hyperlink r:id="rId1035" ref="W943"/>
    <hyperlink r:id="rId1036" ref="W944"/>
    <hyperlink r:id="rId1037" ref="W945"/>
    <hyperlink r:id="rId1038" ref="W949"/>
    <hyperlink r:id="rId1039" ref="W951"/>
    <hyperlink r:id="rId1040" ref="W952"/>
    <hyperlink r:id="rId1041" ref="W953"/>
    <hyperlink r:id="rId1042" ref="W955"/>
    <hyperlink r:id="rId1043" ref="W956"/>
    <hyperlink r:id="rId1044" ref="W957"/>
    <hyperlink r:id="rId1045" ref="W958"/>
    <hyperlink r:id="rId1046" ref="W959"/>
    <hyperlink r:id="rId1047" ref="W960"/>
    <hyperlink r:id="rId1048" ref="W961"/>
    <hyperlink r:id="rId1049" ref="W962"/>
    <hyperlink r:id="rId1050" ref="W963"/>
    <hyperlink r:id="rId1051" ref="W964"/>
    <hyperlink r:id="rId1052" ref="W965"/>
    <hyperlink r:id="rId1053" ref="W966"/>
    <hyperlink r:id="rId1054" ref="W967"/>
    <hyperlink r:id="rId1055" ref="W968"/>
    <hyperlink r:id="rId1056" ref="W969"/>
    <hyperlink r:id="rId1057" ref="W970"/>
    <hyperlink r:id="rId1058" ref="W971"/>
    <hyperlink r:id="rId1059" ref="W972"/>
    <hyperlink r:id="rId1060" ref="W973"/>
    <hyperlink r:id="rId1061" ref="W974"/>
    <hyperlink r:id="rId1062" ref="W975"/>
    <hyperlink r:id="rId1063" ref="W976"/>
    <hyperlink r:id="rId1064" ref="W977"/>
    <hyperlink r:id="rId1065" ref="W978"/>
    <hyperlink r:id="rId1066" ref="W979"/>
    <hyperlink r:id="rId1067" ref="W980"/>
    <hyperlink r:id="rId1068" ref="W981"/>
    <hyperlink r:id="rId1069" ref="W982"/>
    <hyperlink r:id="rId1070" ref="W983"/>
    <hyperlink r:id="rId1071" ref="W984"/>
    <hyperlink r:id="rId1072" ref="W985"/>
    <hyperlink r:id="rId1073" ref="W986"/>
    <hyperlink r:id="rId1074" ref="W987"/>
  </hyperlinks>
  <drawing r:id="rId107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28.88"/>
    <col customWidth="1" min="13" max="13" width="20.38"/>
    <col hidden="1" min="15" max="22" width="12.63"/>
  </cols>
  <sheetData>
    <row r="1">
      <c r="A1" s="5"/>
      <c r="B1" s="6" t="s">
        <v>6</v>
      </c>
      <c r="C1" s="6" t="s">
        <v>7</v>
      </c>
      <c r="D1" s="6" t="s">
        <v>8</v>
      </c>
      <c r="E1" s="6" t="s">
        <v>9</v>
      </c>
      <c r="F1" s="6" t="s">
        <v>10</v>
      </c>
      <c r="G1" s="6" t="s">
        <v>11</v>
      </c>
      <c r="H1" s="6" t="s">
        <v>12</v>
      </c>
      <c r="I1" s="7" t="s">
        <v>13</v>
      </c>
      <c r="J1" s="7" t="s">
        <v>14</v>
      </c>
      <c r="K1" s="6" t="s">
        <v>1163</v>
      </c>
      <c r="L1" s="6" t="s">
        <v>16</v>
      </c>
      <c r="M1" s="9" t="s">
        <v>17</v>
      </c>
      <c r="N1" s="6" t="s">
        <v>18</v>
      </c>
      <c r="O1" s="10" t="s">
        <v>19</v>
      </c>
      <c r="P1" s="10" t="s">
        <v>316</v>
      </c>
      <c r="Q1" s="10" t="s">
        <v>21</v>
      </c>
      <c r="R1" s="10" t="s">
        <v>22</v>
      </c>
      <c r="S1" s="10" t="s">
        <v>23</v>
      </c>
      <c r="T1" s="10" t="s">
        <v>24</v>
      </c>
      <c r="U1" s="6" t="s">
        <v>25</v>
      </c>
      <c r="V1" s="6" t="s">
        <v>26</v>
      </c>
      <c r="W1" s="11" t="s">
        <v>27</v>
      </c>
      <c r="Z1" s="244" t="s">
        <v>1164</v>
      </c>
    </row>
    <row r="2">
      <c r="A2" s="12" t="s">
        <v>1165</v>
      </c>
      <c r="C2" s="51"/>
      <c r="N2" s="51"/>
      <c r="O2" s="51"/>
      <c r="P2" s="51"/>
      <c r="Q2" s="51"/>
      <c r="R2" s="51"/>
      <c r="S2" s="51"/>
      <c r="T2" s="51"/>
      <c r="U2" s="51"/>
      <c r="V2" s="51"/>
      <c r="W2" s="51"/>
      <c r="Z2" s="51"/>
    </row>
    <row r="3">
      <c r="A3" s="15" t="s">
        <v>29</v>
      </c>
      <c r="N3" s="51"/>
      <c r="O3" s="51"/>
      <c r="P3" s="51"/>
      <c r="Q3" s="51"/>
      <c r="R3" s="51"/>
      <c r="S3" s="51"/>
      <c r="T3" s="51"/>
      <c r="U3" s="51"/>
      <c r="V3" s="51"/>
      <c r="Z3" s="51"/>
    </row>
    <row r="4">
      <c r="A4" s="16" t="s">
        <v>1166</v>
      </c>
      <c r="N4" s="51"/>
      <c r="O4" s="51"/>
      <c r="P4" s="51"/>
      <c r="Q4" s="51"/>
      <c r="R4" s="51"/>
      <c r="S4" s="51"/>
      <c r="T4" s="51"/>
      <c r="U4" s="51"/>
      <c r="V4" s="51"/>
      <c r="Z4" s="51"/>
    </row>
    <row r="5">
      <c r="A5" s="17" t="s">
        <v>1167</v>
      </c>
      <c r="N5" s="51"/>
      <c r="O5" s="51"/>
      <c r="P5" s="51"/>
      <c r="Q5" s="51"/>
      <c r="R5" s="51"/>
      <c r="S5" s="51"/>
      <c r="T5" s="51"/>
      <c r="U5" s="51"/>
      <c r="V5" s="51"/>
      <c r="Z5" s="51"/>
    </row>
    <row r="6">
      <c r="A6" s="18" t="s">
        <v>32</v>
      </c>
      <c r="N6" s="13"/>
      <c r="O6" s="13"/>
      <c r="P6" s="13"/>
      <c r="Q6" s="13"/>
      <c r="R6" s="13"/>
      <c r="S6" s="13"/>
      <c r="T6" s="13"/>
      <c r="U6" s="13"/>
      <c r="V6" s="13"/>
      <c r="Z6" s="51"/>
    </row>
    <row r="7">
      <c r="A7" s="19" t="s">
        <v>344</v>
      </c>
      <c r="Z7" s="19"/>
    </row>
  </sheetData>
  <mergeCells count="9">
    <mergeCell ref="A6:B6"/>
    <mergeCell ref="A7:Y7"/>
    <mergeCell ref="W1:Y1"/>
    <mergeCell ref="A2:B2"/>
    <mergeCell ref="C2:M6"/>
    <mergeCell ref="W2:Y6"/>
    <mergeCell ref="A3:B3"/>
    <mergeCell ref="A4:B4"/>
    <mergeCell ref="A5:B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4.38"/>
    <col customWidth="1" min="4" max="4" width="47.63"/>
    <col customWidth="1" min="7" max="7" width="12.75"/>
  </cols>
  <sheetData>
    <row r="1">
      <c r="A1" s="245" t="s">
        <v>6</v>
      </c>
      <c r="B1" s="245" t="s">
        <v>1168</v>
      </c>
      <c r="C1" s="245" t="s">
        <v>1169</v>
      </c>
      <c r="D1" s="245" t="s">
        <v>1170</v>
      </c>
      <c r="E1" s="246" t="s">
        <v>1171</v>
      </c>
      <c r="F1" s="247"/>
      <c r="G1" s="248"/>
      <c r="H1" s="249"/>
      <c r="I1" s="249"/>
      <c r="J1" s="249"/>
      <c r="K1" s="249"/>
      <c r="L1" s="249"/>
      <c r="M1" s="249"/>
      <c r="N1" s="249"/>
      <c r="O1" s="249"/>
      <c r="P1" s="249"/>
      <c r="Q1" s="249"/>
      <c r="R1" s="249"/>
      <c r="S1" s="249"/>
      <c r="T1" s="249"/>
      <c r="U1" s="249"/>
      <c r="V1" s="249"/>
      <c r="W1" s="249"/>
      <c r="X1" s="249"/>
      <c r="Y1" s="249"/>
      <c r="Z1" s="249"/>
    </row>
    <row r="2">
      <c r="A2" s="250" t="s">
        <v>952</v>
      </c>
      <c r="B2" s="250" t="s">
        <v>1172</v>
      </c>
      <c r="C2" s="251">
        <v>44456.0</v>
      </c>
      <c r="D2" s="250" t="s">
        <v>1173</v>
      </c>
      <c r="E2" s="252" t="s">
        <v>39</v>
      </c>
      <c r="F2" s="252" t="s">
        <v>1174</v>
      </c>
      <c r="G2" s="252" t="s">
        <v>1175</v>
      </c>
      <c r="H2" s="249"/>
      <c r="I2" s="249"/>
      <c r="J2" s="249"/>
      <c r="K2" s="249"/>
      <c r="L2" s="249"/>
      <c r="M2" s="249"/>
      <c r="N2" s="249"/>
      <c r="O2" s="249"/>
      <c r="P2" s="249"/>
      <c r="Q2" s="249"/>
      <c r="R2" s="249"/>
      <c r="S2" s="249"/>
      <c r="T2" s="249"/>
      <c r="U2" s="249"/>
      <c r="V2" s="249"/>
      <c r="W2" s="249"/>
      <c r="X2" s="249"/>
      <c r="Y2" s="249"/>
      <c r="Z2" s="249"/>
    </row>
    <row r="3">
      <c r="A3" s="250" t="s">
        <v>975</v>
      </c>
      <c r="B3" s="250" t="s">
        <v>1176</v>
      </c>
      <c r="C3" s="251">
        <v>44371.0</v>
      </c>
      <c r="D3" s="250" t="s">
        <v>1177</v>
      </c>
      <c r="E3" s="252" t="s">
        <v>1178</v>
      </c>
      <c r="F3" s="252" t="s">
        <v>1179</v>
      </c>
      <c r="G3" s="253"/>
      <c r="H3" s="249"/>
      <c r="I3" s="249"/>
      <c r="J3" s="249"/>
      <c r="K3" s="249"/>
      <c r="L3" s="249"/>
      <c r="M3" s="249"/>
      <c r="N3" s="249"/>
      <c r="O3" s="249"/>
      <c r="P3" s="249"/>
      <c r="Q3" s="249"/>
      <c r="R3" s="249"/>
      <c r="S3" s="249"/>
      <c r="T3" s="249"/>
      <c r="U3" s="249"/>
      <c r="V3" s="249"/>
      <c r="W3" s="249"/>
      <c r="X3" s="249"/>
      <c r="Y3" s="249"/>
      <c r="Z3" s="249"/>
    </row>
    <row r="4">
      <c r="A4" s="250" t="s">
        <v>1180</v>
      </c>
      <c r="B4" s="250" t="s">
        <v>1181</v>
      </c>
      <c r="C4" s="251">
        <v>43572.0</v>
      </c>
      <c r="D4" s="250" t="s">
        <v>1182</v>
      </c>
      <c r="E4" s="252" t="s">
        <v>1183</v>
      </c>
      <c r="F4" s="252"/>
      <c r="G4" s="253"/>
      <c r="H4" s="249"/>
      <c r="I4" s="249"/>
      <c r="J4" s="249"/>
      <c r="K4" s="249"/>
      <c r="L4" s="249"/>
      <c r="M4" s="249"/>
      <c r="N4" s="249"/>
      <c r="O4" s="249"/>
      <c r="P4" s="249"/>
      <c r="Q4" s="249"/>
      <c r="R4" s="249"/>
      <c r="S4" s="249"/>
      <c r="T4" s="249"/>
      <c r="U4" s="249"/>
      <c r="V4" s="249"/>
      <c r="W4" s="249"/>
      <c r="X4" s="249"/>
      <c r="Y4" s="249"/>
      <c r="Z4" s="249"/>
    </row>
    <row r="5">
      <c r="A5" s="250" t="s">
        <v>1092</v>
      </c>
      <c r="B5" s="250" t="s">
        <v>1184</v>
      </c>
      <c r="C5" s="251">
        <v>43477.0</v>
      </c>
      <c r="D5" s="250" t="s">
        <v>1185</v>
      </c>
      <c r="E5" s="252" t="s">
        <v>39</v>
      </c>
      <c r="F5" s="252" t="s">
        <v>1186</v>
      </c>
      <c r="G5" s="252" t="s">
        <v>269</v>
      </c>
      <c r="H5" s="249"/>
      <c r="I5" s="249"/>
      <c r="J5" s="249"/>
      <c r="K5" s="249"/>
      <c r="L5" s="249"/>
      <c r="M5" s="249"/>
      <c r="N5" s="249"/>
      <c r="O5" s="249"/>
      <c r="P5" s="249"/>
      <c r="Q5" s="249"/>
      <c r="R5" s="249"/>
      <c r="S5" s="249"/>
      <c r="T5" s="249"/>
      <c r="U5" s="249"/>
      <c r="V5" s="249"/>
      <c r="W5" s="249"/>
      <c r="X5" s="249"/>
      <c r="Y5" s="249"/>
      <c r="Z5" s="249"/>
    </row>
    <row r="6">
      <c r="A6" s="250" t="s">
        <v>979</v>
      </c>
      <c r="B6" s="250" t="s">
        <v>1187</v>
      </c>
      <c r="C6" s="251" t="s">
        <v>1188</v>
      </c>
      <c r="D6" s="250" t="s">
        <v>1189</v>
      </c>
      <c r="E6" s="252" t="s">
        <v>1184</v>
      </c>
      <c r="F6" s="252" t="s">
        <v>1190</v>
      </c>
      <c r="G6" s="253"/>
      <c r="H6" s="249"/>
      <c r="I6" s="249"/>
      <c r="J6" s="249"/>
      <c r="K6" s="249"/>
      <c r="L6" s="249"/>
      <c r="M6" s="249"/>
      <c r="N6" s="249"/>
      <c r="O6" s="249"/>
      <c r="P6" s="249"/>
      <c r="Q6" s="249"/>
      <c r="R6" s="249"/>
      <c r="S6" s="249"/>
      <c r="T6" s="249"/>
      <c r="U6" s="249"/>
      <c r="V6" s="249"/>
      <c r="W6" s="249"/>
      <c r="X6" s="249"/>
      <c r="Y6" s="249"/>
      <c r="Z6" s="249"/>
    </row>
    <row r="7">
      <c r="A7" s="250" t="s">
        <v>1191</v>
      </c>
      <c r="B7" s="250" t="s">
        <v>1192</v>
      </c>
      <c r="C7" s="251" t="s">
        <v>1193</v>
      </c>
      <c r="D7" s="250" t="s">
        <v>1194</v>
      </c>
      <c r="E7" s="252" t="s">
        <v>93</v>
      </c>
      <c r="F7" s="252" t="s">
        <v>151</v>
      </c>
      <c r="G7" s="252" t="s">
        <v>1195</v>
      </c>
      <c r="H7" s="249"/>
      <c r="I7" s="249"/>
      <c r="J7" s="249"/>
      <c r="K7" s="249"/>
      <c r="L7" s="249"/>
      <c r="M7" s="249"/>
      <c r="N7" s="249"/>
      <c r="O7" s="249"/>
      <c r="P7" s="249"/>
      <c r="Q7" s="249"/>
      <c r="R7" s="249"/>
      <c r="S7" s="249"/>
      <c r="T7" s="249"/>
      <c r="U7" s="249"/>
      <c r="V7" s="249"/>
      <c r="W7" s="249"/>
      <c r="X7" s="249"/>
      <c r="Y7" s="249"/>
      <c r="Z7" s="249"/>
    </row>
    <row r="8">
      <c r="A8" s="250" t="s">
        <v>1081</v>
      </c>
      <c r="B8" s="250" t="s">
        <v>1196</v>
      </c>
      <c r="C8" s="251" t="s">
        <v>1197</v>
      </c>
      <c r="D8" s="250" t="s">
        <v>1198</v>
      </c>
      <c r="E8" s="252" t="s">
        <v>1199</v>
      </c>
      <c r="F8" s="252" t="s">
        <v>1200</v>
      </c>
      <c r="G8" s="252" t="s">
        <v>1201</v>
      </c>
      <c r="H8" s="249"/>
      <c r="I8" s="249"/>
      <c r="J8" s="249"/>
      <c r="K8" s="249"/>
      <c r="L8" s="249"/>
      <c r="M8" s="249"/>
      <c r="N8" s="249"/>
      <c r="O8" s="249"/>
      <c r="P8" s="249"/>
      <c r="Q8" s="249"/>
      <c r="R8" s="249"/>
      <c r="S8" s="249"/>
      <c r="T8" s="249"/>
      <c r="U8" s="249"/>
      <c r="V8" s="249"/>
      <c r="W8" s="249"/>
      <c r="X8" s="249"/>
      <c r="Y8" s="249"/>
      <c r="Z8" s="249"/>
    </row>
    <row r="9">
      <c r="A9" s="250" t="s">
        <v>672</v>
      </c>
      <c r="B9" s="250" t="s">
        <v>1202</v>
      </c>
      <c r="C9" s="251">
        <v>44576.0</v>
      </c>
      <c r="D9" s="250" t="s">
        <v>1203</v>
      </c>
      <c r="E9" s="252" t="s">
        <v>39</v>
      </c>
      <c r="F9" s="253"/>
      <c r="G9" s="253"/>
      <c r="H9" s="249"/>
      <c r="I9" s="249"/>
      <c r="J9" s="249"/>
      <c r="K9" s="249"/>
      <c r="L9" s="249"/>
      <c r="M9" s="249"/>
      <c r="N9" s="249"/>
      <c r="O9" s="249"/>
      <c r="P9" s="249"/>
      <c r="Q9" s="249"/>
      <c r="R9" s="249"/>
      <c r="S9" s="249"/>
      <c r="T9" s="249"/>
      <c r="U9" s="249"/>
      <c r="V9" s="249"/>
      <c r="W9" s="249"/>
      <c r="X9" s="249"/>
      <c r="Y9" s="249"/>
      <c r="Z9" s="249"/>
    </row>
    <row r="10">
      <c r="A10" s="250" t="s">
        <v>703</v>
      </c>
      <c r="B10" s="250" t="s">
        <v>1204</v>
      </c>
      <c r="C10" s="251">
        <v>43294.0</v>
      </c>
      <c r="D10" s="250" t="s">
        <v>1205</v>
      </c>
      <c r="E10" s="252" t="s">
        <v>1206</v>
      </c>
      <c r="F10" s="253"/>
      <c r="G10" s="253"/>
      <c r="H10" s="249"/>
      <c r="I10" s="249"/>
      <c r="J10" s="249"/>
      <c r="K10" s="249"/>
      <c r="L10" s="249"/>
      <c r="M10" s="249"/>
      <c r="N10" s="249"/>
      <c r="O10" s="249"/>
      <c r="P10" s="249"/>
      <c r="Q10" s="249"/>
      <c r="R10" s="249"/>
      <c r="S10" s="249"/>
      <c r="T10" s="249"/>
      <c r="U10" s="249"/>
      <c r="V10" s="249"/>
      <c r="W10" s="249"/>
      <c r="X10" s="249"/>
      <c r="Y10" s="249"/>
      <c r="Z10" s="249"/>
    </row>
    <row r="11">
      <c r="A11" s="250" t="s">
        <v>703</v>
      </c>
      <c r="B11" s="250" t="s">
        <v>1207</v>
      </c>
      <c r="C11" s="251">
        <v>43254.0</v>
      </c>
      <c r="D11" s="250" t="s">
        <v>1208</v>
      </c>
      <c r="E11" s="252" t="s">
        <v>1209</v>
      </c>
      <c r="F11" s="253"/>
      <c r="G11" s="253"/>
      <c r="H11" s="249"/>
      <c r="I11" s="249"/>
      <c r="J11" s="249"/>
      <c r="K11" s="249"/>
      <c r="L11" s="249"/>
      <c r="M11" s="249"/>
      <c r="N11" s="249"/>
      <c r="O11" s="249"/>
      <c r="P11" s="249"/>
      <c r="Q11" s="249"/>
      <c r="R11" s="249"/>
      <c r="S11" s="249"/>
      <c r="T11" s="249"/>
      <c r="U11" s="249"/>
      <c r="V11" s="249"/>
      <c r="W11" s="249"/>
      <c r="X11" s="249"/>
      <c r="Y11" s="249"/>
      <c r="Z11" s="249"/>
    </row>
    <row r="12">
      <c r="A12" s="250" t="s">
        <v>1092</v>
      </c>
      <c r="B12" s="250" t="s">
        <v>1210</v>
      </c>
      <c r="C12" s="251">
        <v>43512.0</v>
      </c>
      <c r="D12" s="250" t="s">
        <v>1211</v>
      </c>
      <c r="E12" s="252" t="s">
        <v>1212</v>
      </c>
      <c r="F12" s="253"/>
      <c r="G12" s="253"/>
      <c r="H12" s="249"/>
      <c r="I12" s="249"/>
      <c r="J12" s="249"/>
      <c r="K12" s="249"/>
      <c r="L12" s="249"/>
      <c r="M12" s="249"/>
      <c r="N12" s="249"/>
      <c r="O12" s="249"/>
      <c r="P12" s="249"/>
      <c r="Q12" s="249"/>
      <c r="R12" s="249"/>
      <c r="S12" s="249"/>
      <c r="T12" s="249"/>
      <c r="U12" s="249"/>
      <c r="V12" s="249"/>
      <c r="W12" s="249"/>
      <c r="X12" s="249"/>
      <c r="Y12" s="249"/>
      <c r="Z12" s="249"/>
    </row>
    <row r="13">
      <c r="A13" s="250" t="s">
        <v>1092</v>
      </c>
      <c r="B13" s="250" t="s">
        <v>1184</v>
      </c>
      <c r="C13" s="251">
        <v>43477.0</v>
      </c>
      <c r="D13" s="250" t="s">
        <v>1213</v>
      </c>
      <c r="E13" s="252" t="s">
        <v>1214</v>
      </c>
      <c r="F13" s="253"/>
      <c r="G13" s="253"/>
      <c r="H13" s="249"/>
      <c r="I13" s="249"/>
      <c r="J13" s="249"/>
      <c r="K13" s="249"/>
      <c r="L13" s="249"/>
      <c r="M13" s="249"/>
      <c r="N13" s="249"/>
      <c r="O13" s="249"/>
      <c r="P13" s="249"/>
      <c r="Q13" s="249"/>
      <c r="R13" s="249"/>
      <c r="S13" s="249"/>
      <c r="T13" s="249"/>
      <c r="U13" s="249"/>
      <c r="V13" s="249"/>
      <c r="W13" s="249"/>
      <c r="X13" s="249"/>
      <c r="Y13" s="249"/>
      <c r="Z13" s="249"/>
    </row>
    <row r="14">
      <c r="A14" s="250" t="s">
        <v>952</v>
      </c>
      <c r="B14" s="250" t="s">
        <v>1202</v>
      </c>
      <c r="C14" s="251">
        <v>44265.0</v>
      </c>
      <c r="D14" s="250" t="s">
        <v>1215</v>
      </c>
      <c r="E14" s="252" t="s">
        <v>1216</v>
      </c>
      <c r="F14" s="253"/>
      <c r="G14" s="253"/>
      <c r="H14" s="249"/>
      <c r="I14" s="249"/>
      <c r="J14" s="249"/>
      <c r="K14" s="249"/>
      <c r="L14" s="249"/>
      <c r="M14" s="249"/>
      <c r="N14" s="249"/>
      <c r="O14" s="249"/>
      <c r="P14" s="249"/>
      <c r="Q14" s="249"/>
      <c r="R14" s="249"/>
      <c r="S14" s="249"/>
      <c r="T14" s="249"/>
      <c r="U14" s="249"/>
      <c r="V14" s="249"/>
      <c r="W14" s="249"/>
      <c r="X14" s="249"/>
      <c r="Y14" s="249"/>
      <c r="Z14" s="249"/>
    </row>
    <row r="15">
      <c r="A15" s="250" t="s">
        <v>34</v>
      </c>
      <c r="B15" s="250" t="s">
        <v>1202</v>
      </c>
      <c r="C15" s="251">
        <v>44087.0</v>
      </c>
      <c r="D15" s="250" t="s">
        <v>1217</v>
      </c>
      <c r="E15" s="252" t="s">
        <v>1218</v>
      </c>
      <c r="F15" s="253"/>
      <c r="G15" s="253"/>
      <c r="H15" s="249"/>
      <c r="I15" s="249"/>
      <c r="J15" s="249"/>
      <c r="K15" s="249"/>
      <c r="L15" s="249"/>
      <c r="M15" s="249"/>
      <c r="N15" s="249"/>
      <c r="O15" s="249"/>
      <c r="P15" s="249"/>
      <c r="Q15" s="249"/>
      <c r="R15" s="249"/>
      <c r="S15" s="249"/>
      <c r="T15" s="249"/>
      <c r="U15" s="249"/>
      <c r="V15" s="249"/>
      <c r="W15" s="249"/>
      <c r="X15" s="249"/>
      <c r="Y15" s="249"/>
      <c r="Z15" s="249"/>
    </row>
    <row r="16">
      <c r="A16" s="250" t="s">
        <v>1219</v>
      </c>
      <c r="B16" s="250" t="s">
        <v>1220</v>
      </c>
      <c r="C16" s="251">
        <v>42541.0</v>
      </c>
      <c r="D16" s="250" t="s">
        <v>1221</v>
      </c>
      <c r="E16" s="252" t="s">
        <v>1222</v>
      </c>
      <c r="F16" s="253"/>
      <c r="G16" s="253"/>
      <c r="H16" s="249"/>
      <c r="I16" s="249"/>
      <c r="J16" s="249"/>
      <c r="K16" s="249"/>
      <c r="L16" s="249"/>
      <c r="M16" s="249"/>
      <c r="N16" s="249"/>
      <c r="O16" s="249"/>
      <c r="P16" s="249"/>
      <c r="Q16" s="249"/>
      <c r="R16" s="249"/>
      <c r="S16" s="249"/>
      <c r="T16" s="249"/>
      <c r="U16" s="249"/>
      <c r="V16" s="249"/>
      <c r="W16" s="249"/>
      <c r="X16" s="249"/>
      <c r="Y16" s="249"/>
      <c r="Z16" s="249"/>
    </row>
    <row r="17">
      <c r="A17" s="250" t="s">
        <v>1223</v>
      </c>
      <c r="B17" s="250" t="s">
        <v>1224</v>
      </c>
      <c r="C17" s="251">
        <v>43569.0</v>
      </c>
      <c r="D17" s="250" t="s">
        <v>1225</v>
      </c>
      <c r="E17" s="252" t="s">
        <v>1226</v>
      </c>
      <c r="F17" s="253"/>
      <c r="G17" s="253"/>
      <c r="H17" s="249"/>
      <c r="I17" s="249"/>
      <c r="J17" s="249"/>
      <c r="K17" s="249"/>
      <c r="L17" s="249"/>
      <c r="M17" s="249"/>
      <c r="N17" s="249"/>
      <c r="O17" s="249"/>
      <c r="P17" s="249"/>
      <c r="Q17" s="249"/>
      <c r="R17" s="249"/>
      <c r="S17" s="249"/>
      <c r="T17" s="249"/>
      <c r="U17" s="249"/>
      <c r="V17" s="249"/>
      <c r="W17" s="249"/>
      <c r="X17" s="249"/>
      <c r="Y17" s="249"/>
      <c r="Z17" s="249"/>
    </row>
    <row r="18">
      <c r="A18" s="250" t="s">
        <v>522</v>
      </c>
      <c r="B18" s="250" t="s">
        <v>1202</v>
      </c>
      <c r="C18" s="251">
        <v>44020.0</v>
      </c>
      <c r="D18" s="250" t="s">
        <v>1227</v>
      </c>
      <c r="E18" s="252" t="s">
        <v>1228</v>
      </c>
      <c r="F18" s="253"/>
      <c r="G18" s="253"/>
      <c r="H18" s="249"/>
      <c r="I18" s="249"/>
      <c r="J18" s="249"/>
      <c r="K18" s="249"/>
      <c r="L18" s="249"/>
      <c r="M18" s="249"/>
      <c r="N18" s="249"/>
      <c r="O18" s="249"/>
      <c r="P18" s="249"/>
      <c r="Q18" s="249"/>
      <c r="R18" s="249"/>
      <c r="S18" s="249"/>
      <c r="T18" s="249"/>
      <c r="U18" s="249"/>
      <c r="V18" s="249"/>
      <c r="W18" s="249"/>
      <c r="X18" s="249"/>
      <c r="Y18" s="249"/>
      <c r="Z18" s="249"/>
    </row>
    <row r="19">
      <c r="A19" s="250" t="s">
        <v>116</v>
      </c>
      <c r="B19" s="250" t="s">
        <v>1229</v>
      </c>
      <c r="C19" s="251">
        <v>43570.0</v>
      </c>
      <c r="D19" s="250" t="s">
        <v>1230</v>
      </c>
      <c r="E19" s="252" t="s">
        <v>1231</v>
      </c>
      <c r="F19" s="253"/>
      <c r="G19" s="253"/>
      <c r="H19" s="249"/>
      <c r="I19" s="249"/>
      <c r="J19" s="249"/>
      <c r="K19" s="249"/>
      <c r="L19" s="249"/>
      <c r="M19" s="249"/>
      <c r="N19" s="249"/>
      <c r="O19" s="249"/>
      <c r="P19" s="249"/>
      <c r="Q19" s="249"/>
      <c r="R19" s="249"/>
      <c r="S19" s="249"/>
      <c r="T19" s="249"/>
      <c r="U19" s="249"/>
      <c r="V19" s="249"/>
      <c r="W19" s="249"/>
      <c r="X19" s="249"/>
      <c r="Y19" s="249"/>
      <c r="Z19" s="249"/>
    </row>
    <row r="20">
      <c r="A20" s="250" t="s">
        <v>116</v>
      </c>
      <c r="B20" s="250" t="s">
        <v>1232</v>
      </c>
      <c r="C20" s="251">
        <v>43573.0</v>
      </c>
      <c r="D20" s="250" t="s">
        <v>1233</v>
      </c>
      <c r="E20" s="252" t="s">
        <v>1234</v>
      </c>
      <c r="F20" s="253"/>
      <c r="G20" s="253"/>
      <c r="H20" s="249"/>
      <c r="I20" s="249"/>
      <c r="J20" s="249"/>
      <c r="K20" s="249"/>
      <c r="L20" s="249"/>
      <c r="M20" s="249"/>
      <c r="N20" s="249"/>
      <c r="O20" s="249"/>
      <c r="P20" s="249"/>
      <c r="Q20" s="249"/>
      <c r="R20" s="249"/>
      <c r="S20" s="249"/>
      <c r="T20" s="249"/>
      <c r="U20" s="249"/>
      <c r="V20" s="249"/>
      <c r="W20" s="249"/>
      <c r="X20" s="249"/>
      <c r="Y20" s="249"/>
      <c r="Z20" s="249"/>
    </row>
    <row r="21">
      <c r="A21" s="250" t="s">
        <v>703</v>
      </c>
      <c r="B21" s="250" t="s">
        <v>1235</v>
      </c>
      <c r="C21" s="251">
        <v>43968.0</v>
      </c>
      <c r="D21" s="250" t="s">
        <v>1236</v>
      </c>
      <c r="E21" s="252" t="s">
        <v>1237</v>
      </c>
      <c r="F21" s="253"/>
      <c r="G21" s="253"/>
      <c r="H21" s="249"/>
      <c r="I21" s="249"/>
      <c r="J21" s="249"/>
      <c r="K21" s="249"/>
      <c r="L21" s="249"/>
      <c r="M21" s="249"/>
      <c r="N21" s="249"/>
      <c r="O21" s="249"/>
      <c r="P21" s="249"/>
      <c r="Q21" s="249"/>
      <c r="R21" s="249"/>
      <c r="S21" s="249"/>
      <c r="T21" s="249"/>
      <c r="U21" s="249"/>
      <c r="V21" s="249"/>
      <c r="W21" s="249"/>
      <c r="X21" s="249"/>
      <c r="Y21" s="249"/>
      <c r="Z21" s="249"/>
    </row>
    <row r="22">
      <c r="A22" s="250" t="s">
        <v>522</v>
      </c>
      <c r="B22" s="250" t="s">
        <v>1238</v>
      </c>
      <c r="C22" s="251">
        <v>43892.0</v>
      </c>
      <c r="D22" s="250" t="s">
        <v>1239</v>
      </c>
      <c r="E22" s="252" t="s">
        <v>1240</v>
      </c>
      <c r="F22" s="253"/>
      <c r="G22" s="253"/>
      <c r="H22" s="249"/>
      <c r="I22" s="249"/>
      <c r="J22" s="249"/>
      <c r="K22" s="249"/>
      <c r="L22" s="249"/>
      <c r="M22" s="249"/>
      <c r="N22" s="249"/>
      <c r="O22" s="249"/>
      <c r="P22" s="249"/>
      <c r="Q22" s="249"/>
      <c r="R22" s="249"/>
      <c r="S22" s="249"/>
      <c r="T22" s="249"/>
      <c r="U22" s="249"/>
      <c r="V22" s="249"/>
      <c r="W22" s="249"/>
      <c r="X22" s="249"/>
      <c r="Y22" s="249"/>
      <c r="Z22" s="249"/>
    </row>
    <row r="23">
      <c r="A23" s="250" t="s">
        <v>522</v>
      </c>
      <c r="B23" s="250" t="s">
        <v>1202</v>
      </c>
      <c r="C23" s="251">
        <v>43893.0</v>
      </c>
      <c r="D23" s="250" t="s">
        <v>1241</v>
      </c>
      <c r="E23" s="252" t="s">
        <v>1242</v>
      </c>
      <c r="F23" s="253"/>
      <c r="G23" s="253"/>
      <c r="H23" s="249"/>
      <c r="I23" s="249"/>
      <c r="J23" s="249"/>
      <c r="K23" s="249"/>
      <c r="L23" s="249"/>
      <c r="M23" s="249"/>
      <c r="N23" s="249"/>
      <c r="O23" s="249"/>
      <c r="P23" s="249"/>
      <c r="Q23" s="249"/>
      <c r="R23" s="249"/>
      <c r="S23" s="249"/>
      <c r="T23" s="249"/>
      <c r="U23" s="249"/>
      <c r="V23" s="249"/>
      <c r="W23" s="249"/>
      <c r="X23" s="249"/>
      <c r="Y23" s="249"/>
      <c r="Z23" s="249"/>
    </row>
    <row r="24">
      <c r="A24" s="250" t="s">
        <v>1243</v>
      </c>
      <c r="B24" s="250" t="s">
        <v>1202</v>
      </c>
      <c r="C24" s="251">
        <v>43526.0</v>
      </c>
      <c r="D24" s="250" t="s">
        <v>1244</v>
      </c>
      <c r="E24" s="252" t="s">
        <v>1245</v>
      </c>
      <c r="F24" s="253"/>
      <c r="G24" s="253"/>
      <c r="H24" s="249"/>
      <c r="I24" s="249"/>
      <c r="J24" s="249"/>
      <c r="K24" s="249"/>
      <c r="L24" s="249"/>
      <c r="M24" s="249"/>
      <c r="N24" s="249"/>
      <c r="O24" s="249"/>
      <c r="P24" s="249"/>
      <c r="Q24" s="249"/>
      <c r="R24" s="249"/>
      <c r="S24" s="249"/>
      <c r="T24" s="249"/>
      <c r="U24" s="249"/>
      <c r="V24" s="249"/>
      <c r="W24" s="249"/>
      <c r="X24" s="249"/>
      <c r="Y24" s="249"/>
      <c r="Z24" s="249"/>
    </row>
    <row r="25">
      <c r="A25" s="250" t="s">
        <v>1092</v>
      </c>
      <c r="B25" s="250" t="s">
        <v>1202</v>
      </c>
      <c r="C25" s="251">
        <v>43531.0</v>
      </c>
      <c r="D25" s="250" t="s">
        <v>1246</v>
      </c>
      <c r="E25" s="252" t="s">
        <v>1247</v>
      </c>
      <c r="F25" s="253"/>
      <c r="G25" s="253"/>
      <c r="H25" s="249"/>
      <c r="I25" s="249"/>
      <c r="J25" s="249"/>
      <c r="K25" s="249"/>
      <c r="L25" s="249"/>
      <c r="M25" s="249"/>
      <c r="N25" s="249"/>
      <c r="O25" s="249"/>
      <c r="P25" s="249"/>
      <c r="Q25" s="249"/>
      <c r="R25" s="249"/>
      <c r="S25" s="249"/>
      <c r="T25" s="249"/>
      <c r="U25" s="249"/>
      <c r="V25" s="249"/>
      <c r="W25" s="249"/>
      <c r="X25" s="249"/>
      <c r="Y25" s="249"/>
      <c r="Z25" s="249"/>
    </row>
    <row r="26">
      <c r="A26" s="250" t="s">
        <v>1092</v>
      </c>
      <c r="B26" s="250" t="s">
        <v>1202</v>
      </c>
      <c r="C26" s="251">
        <v>43549.0</v>
      </c>
      <c r="D26" s="250" t="s">
        <v>1248</v>
      </c>
      <c r="E26" s="252" t="s">
        <v>1249</v>
      </c>
      <c r="F26" s="253"/>
      <c r="G26" s="253"/>
      <c r="H26" s="249"/>
      <c r="I26" s="249"/>
      <c r="J26" s="249"/>
      <c r="K26" s="249"/>
      <c r="L26" s="249"/>
      <c r="M26" s="249"/>
      <c r="N26" s="249"/>
      <c r="O26" s="249"/>
      <c r="P26" s="249"/>
      <c r="Q26" s="249"/>
      <c r="R26" s="249"/>
      <c r="S26" s="249"/>
      <c r="T26" s="249"/>
      <c r="U26" s="249"/>
      <c r="V26" s="249"/>
      <c r="W26" s="249"/>
      <c r="X26" s="249"/>
      <c r="Y26" s="249"/>
      <c r="Z26" s="249"/>
    </row>
    <row r="27">
      <c r="A27" s="250" t="s">
        <v>1092</v>
      </c>
      <c r="B27" s="250" t="s">
        <v>1202</v>
      </c>
      <c r="C27" s="251">
        <v>43553.0</v>
      </c>
      <c r="D27" s="250" t="s">
        <v>1250</v>
      </c>
      <c r="E27" s="252" t="s">
        <v>1251</v>
      </c>
      <c r="F27" s="253"/>
      <c r="G27" s="253"/>
      <c r="H27" s="249"/>
      <c r="I27" s="249"/>
      <c r="J27" s="249"/>
      <c r="K27" s="249"/>
      <c r="L27" s="249"/>
      <c r="M27" s="249"/>
      <c r="N27" s="249"/>
      <c r="O27" s="249"/>
      <c r="P27" s="249"/>
      <c r="Q27" s="249"/>
      <c r="R27" s="249"/>
      <c r="S27" s="249"/>
      <c r="T27" s="249"/>
      <c r="U27" s="249"/>
      <c r="V27" s="249"/>
      <c r="W27" s="249"/>
      <c r="X27" s="249"/>
      <c r="Y27" s="249"/>
      <c r="Z27" s="249"/>
    </row>
    <row r="28">
      <c r="A28" s="250" t="s">
        <v>860</v>
      </c>
      <c r="B28" s="250" t="s">
        <v>1202</v>
      </c>
      <c r="C28" s="251">
        <v>44582.0</v>
      </c>
      <c r="D28" s="250" t="s">
        <v>1252</v>
      </c>
      <c r="E28" s="252" t="s">
        <v>1253</v>
      </c>
      <c r="F28" s="253"/>
      <c r="G28" s="253"/>
      <c r="H28" s="249"/>
      <c r="I28" s="249"/>
      <c r="J28" s="249"/>
      <c r="K28" s="249"/>
      <c r="L28" s="249"/>
      <c r="M28" s="249"/>
      <c r="N28" s="249"/>
      <c r="O28" s="249"/>
      <c r="P28" s="249"/>
      <c r="Q28" s="249"/>
      <c r="R28" s="249"/>
      <c r="S28" s="249"/>
      <c r="T28" s="249"/>
      <c r="U28" s="249"/>
      <c r="V28" s="249"/>
      <c r="W28" s="249"/>
      <c r="X28" s="249"/>
      <c r="Y28" s="249"/>
      <c r="Z28" s="249"/>
    </row>
    <row r="29">
      <c r="A29" s="250" t="s">
        <v>641</v>
      </c>
      <c r="B29" s="250" t="s">
        <v>1254</v>
      </c>
      <c r="C29" s="251">
        <v>44270.0</v>
      </c>
      <c r="D29" s="250" t="s">
        <v>1255</v>
      </c>
      <c r="E29" s="252" t="s">
        <v>1256</v>
      </c>
      <c r="F29" s="253"/>
      <c r="G29" s="253"/>
      <c r="H29" s="249"/>
      <c r="I29" s="249"/>
      <c r="J29" s="249"/>
      <c r="K29" s="249"/>
      <c r="L29" s="249"/>
      <c r="M29" s="249"/>
      <c r="N29" s="249"/>
      <c r="O29" s="249"/>
      <c r="P29" s="249"/>
      <c r="Q29" s="249"/>
      <c r="R29" s="249"/>
      <c r="S29" s="249"/>
      <c r="T29" s="249"/>
      <c r="U29" s="249"/>
      <c r="V29" s="249"/>
      <c r="W29" s="249"/>
      <c r="X29" s="249"/>
      <c r="Y29" s="249"/>
      <c r="Z29" s="249"/>
    </row>
    <row r="30">
      <c r="A30" s="250" t="s">
        <v>985</v>
      </c>
      <c r="B30" s="250" t="s">
        <v>1202</v>
      </c>
      <c r="C30" s="251">
        <v>44615.0</v>
      </c>
      <c r="D30" s="250" t="s">
        <v>1257</v>
      </c>
      <c r="E30" s="252" t="s">
        <v>1258</v>
      </c>
      <c r="F30" s="253"/>
      <c r="G30" s="253"/>
      <c r="H30" s="249"/>
      <c r="I30" s="249"/>
      <c r="J30" s="249"/>
      <c r="K30" s="249"/>
      <c r="L30" s="249"/>
      <c r="M30" s="249"/>
      <c r="N30" s="249"/>
      <c r="O30" s="249"/>
      <c r="P30" s="249"/>
      <c r="Q30" s="249"/>
      <c r="R30" s="249"/>
      <c r="S30" s="249"/>
      <c r="T30" s="249"/>
      <c r="U30" s="249"/>
      <c r="V30" s="249"/>
      <c r="W30" s="249"/>
      <c r="X30" s="249"/>
      <c r="Y30" s="249"/>
      <c r="Z30" s="249"/>
    </row>
    <row r="31">
      <c r="A31" s="254" t="s">
        <v>514</v>
      </c>
      <c r="B31" s="254" t="s">
        <v>1259</v>
      </c>
      <c r="C31" s="255">
        <v>44771.0</v>
      </c>
      <c r="D31" s="254" t="s">
        <v>1260</v>
      </c>
      <c r="E31" s="256" t="s">
        <v>1261</v>
      </c>
      <c r="F31" s="253"/>
      <c r="G31" s="253"/>
      <c r="H31" s="249"/>
      <c r="I31" s="249"/>
      <c r="J31" s="249"/>
      <c r="K31" s="249"/>
      <c r="L31" s="249"/>
      <c r="M31" s="249"/>
      <c r="N31" s="249"/>
      <c r="O31" s="249"/>
      <c r="P31" s="249"/>
      <c r="Q31" s="249"/>
      <c r="R31" s="249"/>
      <c r="S31" s="249"/>
      <c r="T31" s="249"/>
      <c r="U31" s="249"/>
      <c r="V31" s="249"/>
      <c r="W31" s="249"/>
      <c r="X31" s="249"/>
      <c r="Y31" s="249"/>
      <c r="Z31" s="249"/>
    </row>
    <row r="32">
      <c r="A32" s="250" t="s">
        <v>952</v>
      </c>
      <c r="B32" s="257" t="s">
        <v>1262</v>
      </c>
      <c r="C32" s="258">
        <v>44784.0</v>
      </c>
      <c r="D32" s="257" t="s">
        <v>1263</v>
      </c>
      <c r="E32" s="259" t="s">
        <v>39</v>
      </c>
      <c r="F32" s="253"/>
      <c r="G32" s="253"/>
      <c r="H32" s="249"/>
      <c r="I32" s="249"/>
      <c r="J32" s="249"/>
      <c r="K32" s="249"/>
      <c r="L32" s="249"/>
      <c r="M32" s="249"/>
      <c r="N32" s="249"/>
      <c r="O32" s="249"/>
      <c r="P32" s="249"/>
      <c r="Q32" s="249"/>
      <c r="R32" s="249"/>
      <c r="S32" s="249"/>
      <c r="T32" s="249"/>
      <c r="U32" s="249"/>
      <c r="V32" s="249"/>
      <c r="W32" s="249"/>
      <c r="X32" s="249"/>
      <c r="Y32" s="249"/>
      <c r="Z32" s="249"/>
    </row>
    <row r="33">
      <c r="A33" s="260" t="s">
        <v>798</v>
      </c>
      <c r="B33" s="261" t="s">
        <v>1264</v>
      </c>
      <c r="C33" s="262">
        <v>44742.0</v>
      </c>
      <c r="D33" s="261" t="s">
        <v>1265</v>
      </c>
      <c r="E33" s="263" t="s">
        <v>39</v>
      </c>
      <c r="F33" s="264"/>
      <c r="G33" s="264"/>
      <c r="H33" s="249"/>
      <c r="I33" s="249"/>
      <c r="J33" s="249"/>
      <c r="K33" s="249"/>
      <c r="L33" s="249"/>
      <c r="M33" s="249"/>
      <c r="N33" s="249"/>
      <c r="O33" s="249"/>
      <c r="P33" s="249"/>
      <c r="Q33" s="249"/>
      <c r="R33" s="249"/>
      <c r="S33" s="249"/>
      <c r="T33" s="249"/>
      <c r="U33" s="249"/>
      <c r="V33" s="249"/>
      <c r="W33" s="249"/>
      <c r="X33" s="249"/>
      <c r="Y33" s="249"/>
      <c r="Z33" s="249"/>
    </row>
    <row r="34">
      <c r="A34" s="260" t="s">
        <v>952</v>
      </c>
      <c r="B34" s="261" t="s">
        <v>1266</v>
      </c>
      <c r="C34" s="262">
        <v>44670.0</v>
      </c>
      <c r="D34" s="261" t="s">
        <v>1267</v>
      </c>
      <c r="E34" s="263" t="s">
        <v>39</v>
      </c>
      <c r="F34" s="264"/>
      <c r="G34" s="264"/>
      <c r="H34" s="249"/>
      <c r="I34" s="249"/>
      <c r="J34" s="249"/>
      <c r="K34" s="249"/>
      <c r="L34" s="249"/>
      <c r="M34" s="249"/>
      <c r="N34" s="249"/>
      <c r="O34" s="249"/>
      <c r="P34" s="249"/>
      <c r="Q34" s="249"/>
      <c r="R34" s="249"/>
      <c r="S34" s="249"/>
      <c r="T34" s="249"/>
      <c r="U34" s="249"/>
      <c r="V34" s="249"/>
      <c r="W34" s="249"/>
      <c r="X34" s="249"/>
      <c r="Y34" s="249"/>
      <c r="Z34" s="249"/>
    </row>
    <row r="35">
      <c r="A35" s="260" t="s">
        <v>952</v>
      </c>
      <c r="B35" s="261" t="s">
        <v>1268</v>
      </c>
      <c r="C35" s="262">
        <v>44666.0</v>
      </c>
      <c r="D35" s="261" t="s">
        <v>1269</v>
      </c>
      <c r="E35" s="263" t="s">
        <v>39</v>
      </c>
      <c r="F35" s="264"/>
      <c r="G35" s="264"/>
      <c r="H35" s="249"/>
      <c r="I35" s="249"/>
      <c r="J35" s="249"/>
      <c r="K35" s="249"/>
      <c r="L35" s="249"/>
      <c r="M35" s="249"/>
      <c r="N35" s="249"/>
      <c r="O35" s="249"/>
      <c r="P35" s="249"/>
      <c r="Q35" s="249"/>
      <c r="R35" s="249"/>
      <c r="S35" s="249"/>
      <c r="T35" s="249"/>
      <c r="U35" s="249"/>
      <c r="V35" s="249"/>
      <c r="W35" s="249"/>
      <c r="X35" s="249"/>
      <c r="Y35" s="249"/>
      <c r="Z35" s="249"/>
    </row>
    <row r="36">
      <c r="A36" s="260" t="s">
        <v>880</v>
      </c>
      <c r="B36" s="261" t="s">
        <v>1266</v>
      </c>
      <c r="C36" s="262">
        <v>44657.0</v>
      </c>
      <c r="D36" s="261" t="s">
        <v>1270</v>
      </c>
      <c r="E36" s="263" t="s">
        <v>39</v>
      </c>
      <c r="F36" s="264"/>
      <c r="G36" s="264"/>
      <c r="H36" s="249"/>
      <c r="I36" s="249"/>
      <c r="J36" s="249"/>
      <c r="K36" s="249"/>
      <c r="L36" s="249"/>
      <c r="M36" s="249"/>
      <c r="N36" s="249"/>
      <c r="O36" s="249"/>
      <c r="P36" s="249"/>
      <c r="Q36" s="249"/>
      <c r="R36" s="249"/>
      <c r="S36" s="249"/>
      <c r="T36" s="249"/>
      <c r="U36" s="249"/>
      <c r="V36" s="249"/>
      <c r="W36" s="249"/>
      <c r="X36" s="249"/>
      <c r="Y36" s="249"/>
      <c r="Z36" s="249"/>
    </row>
    <row r="37">
      <c r="A37" s="260" t="s">
        <v>952</v>
      </c>
      <c r="B37" s="261" t="s">
        <v>1271</v>
      </c>
      <c r="C37" s="262">
        <v>44642.0</v>
      </c>
      <c r="D37" s="261" t="s">
        <v>1272</v>
      </c>
      <c r="E37" s="263" t="s">
        <v>39</v>
      </c>
      <c r="F37" s="264"/>
      <c r="G37" s="264"/>
      <c r="H37" s="249"/>
      <c r="I37" s="249"/>
      <c r="J37" s="249"/>
      <c r="K37" s="249"/>
      <c r="L37" s="249"/>
      <c r="M37" s="249"/>
      <c r="N37" s="249"/>
      <c r="O37" s="249"/>
      <c r="P37" s="249"/>
      <c r="Q37" s="249"/>
      <c r="R37" s="249"/>
      <c r="S37" s="249"/>
      <c r="T37" s="249"/>
      <c r="U37" s="249"/>
      <c r="V37" s="249"/>
      <c r="W37" s="249"/>
      <c r="X37" s="249"/>
      <c r="Y37" s="249"/>
      <c r="Z37" s="249"/>
    </row>
    <row r="38">
      <c r="A38" s="260" t="s">
        <v>952</v>
      </c>
      <c r="B38" s="261" t="s">
        <v>1273</v>
      </c>
      <c r="C38" s="262">
        <v>44636.0</v>
      </c>
      <c r="D38" s="261" t="s">
        <v>1274</v>
      </c>
      <c r="E38" s="263" t="s">
        <v>39</v>
      </c>
      <c r="F38" s="264"/>
      <c r="G38" s="264"/>
      <c r="H38" s="249"/>
      <c r="I38" s="249"/>
      <c r="J38" s="249"/>
      <c r="K38" s="249"/>
      <c r="L38" s="249"/>
      <c r="M38" s="249"/>
      <c r="N38" s="249"/>
      <c r="O38" s="249"/>
      <c r="P38" s="249"/>
      <c r="Q38" s="249"/>
      <c r="R38" s="249"/>
      <c r="S38" s="249"/>
      <c r="T38" s="249"/>
      <c r="U38" s="249"/>
      <c r="V38" s="249"/>
      <c r="W38" s="249"/>
      <c r="X38" s="249"/>
      <c r="Y38" s="249"/>
      <c r="Z38" s="249"/>
    </row>
    <row r="39">
      <c r="A39" s="260" t="s">
        <v>952</v>
      </c>
      <c r="B39" s="261" t="s">
        <v>1275</v>
      </c>
      <c r="C39" s="262">
        <v>44632.0</v>
      </c>
      <c r="D39" s="261" t="s">
        <v>1276</v>
      </c>
      <c r="E39" s="263" t="s">
        <v>39</v>
      </c>
      <c r="F39" s="264"/>
      <c r="G39" s="264"/>
      <c r="H39" s="249"/>
      <c r="I39" s="249"/>
      <c r="J39" s="249"/>
      <c r="K39" s="249"/>
      <c r="L39" s="249"/>
      <c r="M39" s="249"/>
      <c r="N39" s="249"/>
      <c r="O39" s="249"/>
      <c r="P39" s="249"/>
      <c r="Q39" s="249"/>
      <c r="R39" s="249"/>
      <c r="S39" s="249"/>
      <c r="T39" s="249"/>
      <c r="U39" s="249"/>
      <c r="V39" s="249"/>
      <c r="W39" s="249"/>
      <c r="X39" s="249"/>
      <c r="Y39" s="249"/>
      <c r="Z39" s="249"/>
    </row>
    <row r="40">
      <c r="A40" s="265" t="s">
        <v>703</v>
      </c>
      <c r="B40" s="265" t="s">
        <v>1184</v>
      </c>
      <c r="C40" s="266" t="s">
        <v>1277</v>
      </c>
      <c r="D40" s="265" t="s">
        <v>1278</v>
      </c>
      <c r="E40" s="267" t="s">
        <v>39</v>
      </c>
      <c r="F40" s="264"/>
      <c r="G40" s="264"/>
      <c r="H40" s="249"/>
      <c r="I40" s="249"/>
      <c r="J40" s="249"/>
      <c r="K40" s="249"/>
      <c r="L40" s="249"/>
      <c r="M40" s="249"/>
      <c r="N40" s="249"/>
      <c r="O40" s="249"/>
      <c r="P40" s="249"/>
      <c r="Q40" s="249"/>
      <c r="R40" s="249"/>
      <c r="S40" s="249"/>
      <c r="T40" s="249"/>
      <c r="U40" s="249"/>
      <c r="V40" s="249"/>
      <c r="W40" s="249"/>
      <c r="X40" s="249"/>
      <c r="Y40" s="249"/>
      <c r="Z40" s="249"/>
    </row>
    <row r="41">
      <c r="A41" s="268" t="s">
        <v>921</v>
      </c>
      <c r="B41" s="269" t="s">
        <v>1279</v>
      </c>
      <c r="C41" s="257" t="s">
        <v>1280</v>
      </c>
      <c r="D41" s="257" t="s">
        <v>1281</v>
      </c>
      <c r="E41" s="259" t="s">
        <v>73</v>
      </c>
      <c r="F41" s="269"/>
      <c r="G41" s="269"/>
      <c r="H41" s="249"/>
      <c r="I41" s="249"/>
      <c r="J41" s="249"/>
      <c r="K41" s="249"/>
      <c r="L41" s="249"/>
      <c r="M41" s="249"/>
      <c r="N41" s="249"/>
      <c r="O41" s="249"/>
      <c r="P41" s="249"/>
      <c r="Q41" s="249"/>
      <c r="R41" s="249"/>
      <c r="S41" s="249"/>
      <c r="T41" s="249"/>
      <c r="U41" s="249"/>
      <c r="V41" s="249"/>
      <c r="W41" s="249"/>
      <c r="X41" s="249"/>
      <c r="Y41" s="249"/>
      <c r="Z41" s="249"/>
    </row>
    <row r="42">
      <c r="A42" s="249"/>
      <c r="B42" s="249"/>
      <c r="C42" s="249"/>
      <c r="D42" s="249"/>
      <c r="E42" s="270"/>
      <c r="F42" s="270"/>
      <c r="G42" s="270"/>
      <c r="H42" s="249"/>
      <c r="I42" s="249"/>
      <c r="J42" s="249"/>
      <c r="K42" s="249"/>
      <c r="L42" s="249"/>
      <c r="M42" s="249"/>
      <c r="N42" s="249"/>
      <c r="O42" s="249"/>
      <c r="P42" s="249"/>
      <c r="Q42" s="249"/>
      <c r="R42" s="249"/>
      <c r="S42" s="249"/>
      <c r="T42" s="249"/>
      <c r="U42" s="249"/>
      <c r="V42" s="249"/>
      <c r="W42" s="249"/>
      <c r="X42" s="249"/>
      <c r="Y42" s="249"/>
      <c r="Z42" s="249"/>
    </row>
    <row r="43">
      <c r="A43" s="249"/>
      <c r="B43" s="249"/>
      <c r="C43" s="249"/>
      <c r="D43" s="249"/>
      <c r="E43" s="270"/>
      <c r="F43" s="270"/>
      <c r="G43" s="270"/>
      <c r="H43" s="249"/>
      <c r="I43" s="249"/>
      <c r="J43" s="249"/>
      <c r="K43" s="249"/>
      <c r="L43" s="249"/>
      <c r="M43" s="249"/>
      <c r="N43" s="249"/>
      <c r="O43" s="249"/>
      <c r="P43" s="249"/>
      <c r="Q43" s="249"/>
      <c r="R43" s="249"/>
      <c r="S43" s="249"/>
      <c r="T43" s="249"/>
      <c r="U43" s="249"/>
      <c r="V43" s="249"/>
      <c r="W43" s="249"/>
      <c r="X43" s="249"/>
      <c r="Y43" s="249"/>
      <c r="Z43" s="249"/>
    </row>
    <row r="44">
      <c r="A44" s="249"/>
      <c r="B44" s="249"/>
      <c r="C44" s="249"/>
      <c r="D44" s="249"/>
      <c r="E44" s="270"/>
      <c r="F44" s="270"/>
      <c r="G44" s="270"/>
      <c r="H44" s="249"/>
      <c r="I44" s="249"/>
      <c r="J44" s="249"/>
      <c r="K44" s="249"/>
      <c r="L44" s="249"/>
      <c r="M44" s="249"/>
      <c r="N44" s="249"/>
      <c r="O44" s="249"/>
      <c r="P44" s="249"/>
      <c r="Q44" s="249"/>
      <c r="R44" s="249"/>
      <c r="S44" s="249"/>
      <c r="T44" s="249"/>
      <c r="U44" s="249"/>
      <c r="V44" s="249"/>
      <c r="W44" s="249"/>
      <c r="X44" s="249"/>
      <c r="Y44" s="249"/>
      <c r="Z44" s="249"/>
    </row>
    <row r="45">
      <c r="A45" s="249"/>
      <c r="B45" s="249"/>
      <c r="C45" s="249"/>
      <c r="D45" s="249"/>
      <c r="E45" s="270"/>
      <c r="F45" s="270"/>
      <c r="G45" s="270"/>
      <c r="H45" s="249"/>
      <c r="I45" s="249"/>
      <c r="J45" s="249"/>
      <c r="K45" s="249"/>
      <c r="L45" s="249"/>
      <c r="M45" s="249"/>
      <c r="N45" s="249"/>
      <c r="O45" s="249"/>
      <c r="P45" s="249"/>
      <c r="Q45" s="249"/>
      <c r="R45" s="249"/>
      <c r="S45" s="249"/>
      <c r="T45" s="249"/>
      <c r="U45" s="249"/>
      <c r="V45" s="249"/>
      <c r="W45" s="249"/>
      <c r="X45" s="249"/>
      <c r="Y45" s="249"/>
      <c r="Z45" s="249"/>
    </row>
    <row r="46">
      <c r="A46" s="249"/>
      <c r="B46" s="249"/>
      <c r="C46" s="249"/>
      <c r="D46" s="249"/>
      <c r="E46" s="270"/>
      <c r="F46" s="270"/>
      <c r="G46" s="270"/>
      <c r="H46" s="249"/>
      <c r="I46" s="249"/>
      <c r="J46" s="249"/>
      <c r="K46" s="249"/>
      <c r="L46" s="249"/>
      <c r="M46" s="249"/>
      <c r="N46" s="249"/>
      <c r="O46" s="249"/>
      <c r="P46" s="249"/>
      <c r="Q46" s="249"/>
      <c r="R46" s="249"/>
      <c r="S46" s="249"/>
      <c r="T46" s="249"/>
      <c r="U46" s="249"/>
      <c r="V46" s="249"/>
      <c r="W46" s="249"/>
      <c r="X46" s="249"/>
      <c r="Y46" s="249"/>
      <c r="Z46" s="249"/>
    </row>
    <row r="47">
      <c r="A47" s="249"/>
      <c r="B47" s="249"/>
      <c r="C47" s="249"/>
      <c r="D47" s="249"/>
      <c r="E47" s="270"/>
      <c r="F47" s="270"/>
      <c r="G47" s="270"/>
      <c r="H47" s="249"/>
      <c r="I47" s="249"/>
      <c r="J47" s="249"/>
      <c r="K47" s="249"/>
      <c r="L47" s="249"/>
      <c r="M47" s="249"/>
      <c r="N47" s="249"/>
      <c r="O47" s="249"/>
      <c r="P47" s="249"/>
      <c r="Q47" s="249"/>
      <c r="R47" s="249"/>
      <c r="S47" s="249"/>
      <c r="T47" s="249"/>
      <c r="U47" s="249"/>
      <c r="V47" s="249"/>
      <c r="W47" s="249"/>
      <c r="X47" s="249"/>
      <c r="Y47" s="249"/>
      <c r="Z47" s="249"/>
    </row>
    <row r="48">
      <c r="A48" s="249"/>
      <c r="B48" s="249"/>
      <c r="C48" s="249"/>
      <c r="D48" s="249"/>
      <c r="E48" s="270"/>
      <c r="F48" s="270"/>
      <c r="G48" s="270"/>
      <c r="H48" s="249"/>
      <c r="I48" s="249"/>
      <c r="J48" s="249"/>
      <c r="K48" s="249"/>
      <c r="L48" s="249"/>
      <c r="M48" s="249"/>
      <c r="N48" s="249"/>
      <c r="O48" s="249"/>
      <c r="P48" s="249"/>
      <c r="Q48" s="249"/>
      <c r="R48" s="249"/>
      <c r="S48" s="249"/>
      <c r="T48" s="249"/>
      <c r="U48" s="249"/>
      <c r="V48" s="249"/>
      <c r="W48" s="249"/>
      <c r="X48" s="249"/>
      <c r="Y48" s="249"/>
      <c r="Z48" s="249"/>
    </row>
    <row r="49">
      <c r="A49" s="249"/>
      <c r="B49" s="249"/>
      <c r="C49" s="249"/>
      <c r="D49" s="249"/>
      <c r="E49" s="270"/>
      <c r="F49" s="270"/>
      <c r="G49" s="270"/>
      <c r="H49" s="249"/>
      <c r="I49" s="249"/>
      <c r="J49" s="249"/>
      <c r="K49" s="249"/>
      <c r="L49" s="249"/>
      <c r="M49" s="249"/>
      <c r="N49" s="249"/>
      <c r="O49" s="249"/>
      <c r="P49" s="249"/>
      <c r="Q49" s="249"/>
      <c r="R49" s="249"/>
      <c r="S49" s="249"/>
      <c r="T49" s="249"/>
      <c r="U49" s="249"/>
      <c r="V49" s="249"/>
      <c r="W49" s="249"/>
      <c r="X49" s="249"/>
      <c r="Y49" s="249"/>
      <c r="Z49" s="249"/>
    </row>
    <row r="50">
      <c r="A50" s="249"/>
      <c r="B50" s="249"/>
      <c r="C50" s="249"/>
      <c r="D50" s="249"/>
      <c r="E50" s="270"/>
      <c r="F50" s="270"/>
      <c r="G50" s="270"/>
      <c r="H50" s="249"/>
      <c r="I50" s="249"/>
      <c r="J50" s="249"/>
      <c r="K50" s="249"/>
      <c r="L50" s="249"/>
      <c r="M50" s="249"/>
      <c r="N50" s="249"/>
      <c r="O50" s="249"/>
      <c r="P50" s="249"/>
      <c r="Q50" s="249"/>
      <c r="R50" s="249"/>
      <c r="S50" s="249"/>
      <c r="T50" s="249"/>
      <c r="U50" s="249"/>
      <c r="V50" s="249"/>
      <c r="W50" s="249"/>
      <c r="X50" s="249"/>
      <c r="Y50" s="249"/>
      <c r="Z50" s="249"/>
    </row>
    <row r="51">
      <c r="A51" s="249"/>
      <c r="B51" s="249"/>
      <c r="C51" s="249"/>
      <c r="D51" s="249"/>
      <c r="E51" s="270"/>
      <c r="F51" s="270"/>
      <c r="G51" s="270"/>
      <c r="H51" s="249"/>
      <c r="I51" s="249"/>
      <c r="J51" s="249"/>
      <c r="K51" s="249"/>
      <c r="L51" s="249"/>
      <c r="M51" s="249"/>
      <c r="N51" s="249"/>
      <c r="O51" s="249"/>
      <c r="P51" s="249"/>
      <c r="Q51" s="249"/>
      <c r="R51" s="249"/>
      <c r="S51" s="249"/>
      <c r="T51" s="249"/>
      <c r="U51" s="249"/>
      <c r="V51" s="249"/>
      <c r="W51" s="249"/>
      <c r="X51" s="249"/>
      <c r="Y51" s="249"/>
      <c r="Z51" s="249"/>
    </row>
    <row r="52">
      <c r="A52" s="249"/>
      <c r="B52" s="249"/>
      <c r="C52" s="249"/>
      <c r="D52" s="249"/>
      <c r="E52" s="270"/>
      <c r="F52" s="270"/>
      <c r="G52" s="270"/>
      <c r="H52" s="249"/>
      <c r="I52" s="249"/>
      <c r="J52" s="249"/>
      <c r="K52" s="249"/>
      <c r="L52" s="249"/>
      <c r="M52" s="249"/>
      <c r="N52" s="249"/>
      <c r="O52" s="249"/>
      <c r="P52" s="249"/>
      <c r="Q52" s="249"/>
      <c r="R52" s="249"/>
      <c r="S52" s="249"/>
      <c r="T52" s="249"/>
      <c r="U52" s="249"/>
      <c r="V52" s="249"/>
      <c r="W52" s="249"/>
      <c r="X52" s="249"/>
      <c r="Y52" s="249"/>
      <c r="Z52" s="249"/>
    </row>
    <row r="53">
      <c r="A53" s="249"/>
      <c r="B53" s="249"/>
      <c r="C53" s="249"/>
      <c r="D53" s="249"/>
      <c r="E53" s="270"/>
      <c r="F53" s="270"/>
      <c r="G53" s="270"/>
      <c r="H53" s="249"/>
      <c r="I53" s="249"/>
      <c r="J53" s="249"/>
      <c r="K53" s="249"/>
      <c r="L53" s="249"/>
      <c r="M53" s="249"/>
      <c r="N53" s="249"/>
      <c r="O53" s="249"/>
      <c r="P53" s="249"/>
      <c r="Q53" s="249"/>
      <c r="R53" s="249"/>
      <c r="S53" s="249"/>
      <c r="T53" s="249"/>
      <c r="U53" s="249"/>
      <c r="V53" s="249"/>
      <c r="W53" s="249"/>
      <c r="X53" s="249"/>
      <c r="Y53" s="249"/>
      <c r="Z53" s="249"/>
    </row>
    <row r="54">
      <c r="A54" s="249"/>
      <c r="B54" s="249"/>
      <c r="C54" s="249"/>
      <c r="D54" s="249"/>
      <c r="E54" s="270"/>
      <c r="F54" s="270"/>
      <c r="G54" s="270"/>
      <c r="H54" s="249"/>
      <c r="I54" s="249"/>
      <c r="J54" s="249"/>
      <c r="K54" s="249"/>
      <c r="L54" s="249"/>
      <c r="M54" s="249"/>
      <c r="N54" s="249"/>
      <c r="O54" s="249"/>
      <c r="P54" s="249"/>
      <c r="Q54" s="249"/>
      <c r="R54" s="249"/>
      <c r="S54" s="249"/>
      <c r="T54" s="249"/>
      <c r="U54" s="249"/>
      <c r="V54" s="249"/>
      <c r="W54" s="249"/>
      <c r="X54" s="249"/>
      <c r="Y54" s="249"/>
      <c r="Z54" s="249"/>
    </row>
    <row r="55">
      <c r="A55" s="249"/>
      <c r="B55" s="249"/>
      <c r="C55" s="249"/>
      <c r="D55" s="249"/>
      <c r="E55" s="270"/>
      <c r="F55" s="270"/>
      <c r="G55" s="270"/>
      <c r="H55" s="249"/>
      <c r="I55" s="249"/>
      <c r="J55" s="249"/>
      <c r="K55" s="249"/>
      <c r="L55" s="249"/>
      <c r="M55" s="249"/>
      <c r="N55" s="249"/>
      <c r="O55" s="249"/>
      <c r="P55" s="249"/>
      <c r="Q55" s="249"/>
      <c r="R55" s="249"/>
      <c r="S55" s="249"/>
      <c r="T55" s="249"/>
      <c r="U55" s="249"/>
      <c r="V55" s="249"/>
      <c r="W55" s="249"/>
      <c r="X55" s="249"/>
      <c r="Y55" s="249"/>
      <c r="Z55" s="249"/>
    </row>
    <row r="56">
      <c r="A56" s="249"/>
      <c r="B56" s="249"/>
      <c r="C56" s="249"/>
      <c r="D56" s="249"/>
      <c r="E56" s="270"/>
      <c r="F56" s="270"/>
      <c r="G56" s="270"/>
      <c r="H56" s="249"/>
      <c r="I56" s="249"/>
      <c r="J56" s="249"/>
      <c r="K56" s="249"/>
      <c r="L56" s="249"/>
      <c r="M56" s="249"/>
      <c r="N56" s="249"/>
      <c r="O56" s="249"/>
      <c r="P56" s="249"/>
      <c r="Q56" s="249"/>
      <c r="R56" s="249"/>
      <c r="S56" s="249"/>
      <c r="T56" s="249"/>
      <c r="U56" s="249"/>
      <c r="V56" s="249"/>
      <c r="W56" s="249"/>
      <c r="X56" s="249"/>
      <c r="Y56" s="249"/>
      <c r="Z56" s="249"/>
    </row>
    <row r="57">
      <c r="A57" s="249"/>
      <c r="B57" s="249"/>
      <c r="C57" s="249"/>
      <c r="D57" s="249"/>
      <c r="E57" s="270"/>
      <c r="F57" s="270"/>
      <c r="G57" s="270"/>
      <c r="H57" s="249"/>
      <c r="I57" s="249"/>
      <c r="J57" s="249"/>
      <c r="K57" s="249"/>
      <c r="L57" s="249"/>
      <c r="M57" s="249"/>
      <c r="N57" s="249"/>
      <c r="O57" s="249"/>
      <c r="P57" s="249"/>
      <c r="Q57" s="249"/>
      <c r="R57" s="249"/>
      <c r="S57" s="249"/>
      <c r="T57" s="249"/>
      <c r="U57" s="249"/>
      <c r="V57" s="249"/>
      <c r="W57" s="249"/>
      <c r="X57" s="249"/>
      <c r="Y57" s="249"/>
      <c r="Z57" s="249"/>
    </row>
    <row r="58">
      <c r="A58" s="249"/>
      <c r="B58" s="249"/>
      <c r="C58" s="249"/>
      <c r="D58" s="249"/>
      <c r="E58" s="270"/>
      <c r="F58" s="270"/>
      <c r="G58" s="270"/>
      <c r="H58" s="249"/>
      <c r="I58" s="249"/>
      <c r="J58" s="249"/>
      <c r="K58" s="249"/>
      <c r="L58" s="249"/>
      <c r="M58" s="249"/>
      <c r="N58" s="249"/>
      <c r="O58" s="249"/>
      <c r="P58" s="249"/>
      <c r="Q58" s="249"/>
      <c r="R58" s="249"/>
      <c r="S58" s="249"/>
      <c r="T58" s="249"/>
      <c r="U58" s="249"/>
      <c r="V58" s="249"/>
      <c r="W58" s="249"/>
      <c r="X58" s="249"/>
      <c r="Y58" s="249"/>
      <c r="Z58" s="249"/>
    </row>
    <row r="59">
      <c r="A59" s="249"/>
      <c r="B59" s="249"/>
      <c r="C59" s="249"/>
      <c r="D59" s="249"/>
      <c r="E59" s="270"/>
      <c r="F59" s="270"/>
      <c r="G59" s="270"/>
      <c r="H59" s="249"/>
      <c r="I59" s="249"/>
      <c r="J59" s="249"/>
      <c r="K59" s="249"/>
      <c r="L59" s="249"/>
      <c r="M59" s="249"/>
      <c r="N59" s="249"/>
      <c r="O59" s="249"/>
      <c r="P59" s="249"/>
      <c r="Q59" s="249"/>
      <c r="R59" s="249"/>
      <c r="S59" s="249"/>
      <c r="T59" s="249"/>
      <c r="U59" s="249"/>
      <c r="V59" s="249"/>
      <c r="W59" s="249"/>
      <c r="X59" s="249"/>
      <c r="Y59" s="249"/>
      <c r="Z59" s="249"/>
    </row>
    <row r="60">
      <c r="A60" s="249"/>
      <c r="B60" s="249"/>
      <c r="C60" s="249"/>
      <c r="D60" s="249"/>
      <c r="E60" s="270"/>
      <c r="F60" s="270"/>
      <c r="G60" s="270"/>
      <c r="H60" s="249"/>
      <c r="I60" s="249"/>
      <c r="J60" s="249"/>
      <c r="K60" s="249"/>
      <c r="L60" s="249"/>
      <c r="M60" s="249"/>
      <c r="N60" s="249"/>
      <c r="O60" s="249"/>
      <c r="P60" s="249"/>
      <c r="Q60" s="249"/>
      <c r="R60" s="249"/>
      <c r="S60" s="249"/>
      <c r="T60" s="249"/>
      <c r="U60" s="249"/>
      <c r="V60" s="249"/>
      <c r="W60" s="249"/>
      <c r="X60" s="249"/>
      <c r="Y60" s="249"/>
      <c r="Z60" s="249"/>
    </row>
    <row r="61">
      <c r="A61" s="249"/>
      <c r="B61" s="249"/>
      <c r="C61" s="249"/>
      <c r="D61" s="249"/>
      <c r="E61" s="270"/>
      <c r="F61" s="270"/>
      <c r="G61" s="270"/>
      <c r="H61" s="249"/>
      <c r="I61" s="249"/>
      <c r="J61" s="249"/>
      <c r="K61" s="249"/>
      <c r="L61" s="249"/>
      <c r="M61" s="249"/>
      <c r="N61" s="249"/>
      <c r="O61" s="249"/>
      <c r="P61" s="249"/>
      <c r="Q61" s="249"/>
      <c r="R61" s="249"/>
      <c r="S61" s="249"/>
      <c r="T61" s="249"/>
      <c r="U61" s="249"/>
      <c r="V61" s="249"/>
      <c r="W61" s="249"/>
      <c r="X61" s="249"/>
      <c r="Y61" s="249"/>
      <c r="Z61" s="249"/>
    </row>
    <row r="62">
      <c r="A62" s="249"/>
      <c r="B62" s="249"/>
      <c r="C62" s="249"/>
      <c r="D62" s="249"/>
      <c r="E62" s="270"/>
      <c r="F62" s="270"/>
      <c r="G62" s="270"/>
      <c r="H62" s="249"/>
      <c r="I62" s="249"/>
      <c r="J62" s="249"/>
      <c r="K62" s="249"/>
      <c r="L62" s="249"/>
      <c r="M62" s="249"/>
      <c r="N62" s="249"/>
      <c r="O62" s="249"/>
      <c r="P62" s="249"/>
      <c r="Q62" s="249"/>
      <c r="R62" s="249"/>
      <c r="S62" s="249"/>
      <c r="T62" s="249"/>
      <c r="U62" s="249"/>
      <c r="V62" s="249"/>
      <c r="W62" s="249"/>
      <c r="X62" s="249"/>
      <c r="Y62" s="249"/>
      <c r="Z62" s="249"/>
    </row>
    <row r="63">
      <c r="A63" s="249"/>
      <c r="B63" s="249"/>
      <c r="C63" s="249"/>
      <c r="D63" s="249"/>
      <c r="E63" s="270"/>
      <c r="F63" s="270"/>
      <c r="G63" s="270"/>
      <c r="H63" s="249"/>
      <c r="I63" s="249"/>
      <c r="J63" s="249"/>
      <c r="K63" s="249"/>
      <c r="L63" s="249"/>
      <c r="M63" s="249"/>
      <c r="N63" s="249"/>
      <c r="O63" s="249"/>
      <c r="P63" s="249"/>
      <c r="Q63" s="249"/>
      <c r="R63" s="249"/>
      <c r="S63" s="249"/>
      <c r="T63" s="249"/>
      <c r="U63" s="249"/>
      <c r="V63" s="249"/>
      <c r="W63" s="249"/>
      <c r="X63" s="249"/>
      <c r="Y63" s="249"/>
      <c r="Z63" s="249"/>
    </row>
    <row r="64">
      <c r="A64" s="249"/>
      <c r="B64" s="249"/>
      <c r="C64" s="249"/>
      <c r="D64" s="249"/>
      <c r="E64" s="270"/>
      <c r="F64" s="270"/>
      <c r="G64" s="270"/>
      <c r="H64" s="249"/>
      <c r="I64" s="249"/>
      <c r="J64" s="249"/>
      <c r="K64" s="249"/>
      <c r="L64" s="249"/>
      <c r="M64" s="249"/>
      <c r="N64" s="249"/>
      <c r="O64" s="249"/>
      <c r="P64" s="249"/>
      <c r="Q64" s="249"/>
      <c r="R64" s="249"/>
      <c r="S64" s="249"/>
      <c r="T64" s="249"/>
      <c r="U64" s="249"/>
      <c r="V64" s="249"/>
      <c r="W64" s="249"/>
      <c r="X64" s="249"/>
      <c r="Y64" s="249"/>
      <c r="Z64" s="249"/>
    </row>
    <row r="65">
      <c r="A65" s="249"/>
      <c r="B65" s="249"/>
      <c r="C65" s="249"/>
      <c r="D65" s="249"/>
      <c r="E65" s="270"/>
      <c r="F65" s="270"/>
      <c r="G65" s="270"/>
      <c r="H65" s="249"/>
      <c r="I65" s="249"/>
      <c r="J65" s="249"/>
      <c r="K65" s="249"/>
      <c r="L65" s="249"/>
      <c r="M65" s="249"/>
      <c r="N65" s="249"/>
      <c r="O65" s="249"/>
      <c r="P65" s="249"/>
      <c r="Q65" s="249"/>
      <c r="R65" s="249"/>
      <c r="S65" s="249"/>
      <c r="T65" s="249"/>
      <c r="U65" s="249"/>
      <c r="V65" s="249"/>
      <c r="W65" s="249"/>
      <c r="X65" s="249"/>
      <c r="Y65" s="249"/>
      <c r="Z65" s="249"/>
    </row>
    <row r="66">
      <c r="A66" s="249"/>
      <c r="B66" s="249"/>
      <c r="C66" s="249"/>
      <c r="D66" s="249"/>
      <c r="E66" s="270"/>
      <c r="F66" s="270"/>
      <c r="G66" s="270"/>
      <c r="H66" s="249"/>
      <c r="I66" s="249"/>
      <c r="J66" s="249"/>
      <c r="K66" s="249"/>
      <c r="L66" s="249"/>
      <c r="M66" s="249"/>
      <c r="N66" s="249"/>
      <c r="O66" s="249"/>
      <c r="P66" s="249"/>
      <c r="Q66" s="249"/>
      <c r="R66" s="249"/>
      <c r="S66" s="249"/>
      <c r="T66" s="249"/>
      <c r="U66" s="249"/>
      <c r="V66" s="249"/>
      <c r="W66" s="249"/>
      <c r="X66" s="249"/>
      <c r="Y66" s="249"/>
      <c r="Z66" s="249"/>
    </row>
    <row r="67">
      <c r="A67" s="249"/>
      <c r="B67" s="249"/>
      <c r="C67" s="249"/>
      <c r="D67" s="249"/>
      <c r="E67" s="270"/>
      <c r="F67" s="270"/>
      <c r="G67" s="270"/>
      <c r="H67" s="249"/>
      <c r="I67" s="249"/>
      <c r="J67" s="249"/>
      <c r="K67" s="249"/>
      <c r="L67" s="249"/>
      <c r="M67" s="249"/>
      <c r="N67" s="249"/>
      <c r="O67" s="249"/>
      <c r="P67" s="249"/>
      <c r="Q67" s="249"/>
      <c r="R67" s="249"/>
      <c r="S67" s="249"/>
      <c r="T67" s="249"/>
      <c r="U67" s="249"/>
      <c r="V67" s="249"/>
      <c r="W67" s="249"/>
      <c r="X67" s="249"/>
      <c r="Y67" s="249"/>
      <c r="Z67" s="249"/>
    </row>
    <row r="68">
      <c r="A68" s="249"/>
      <c r="B68" s="249"/>
      <c r="C68" s="249"/>
      <c r="D68" s="249"/>
      <c r="E68" s="270"/>
      <c r="F68" s="270"/>
      <c r="G68" s="270"/>
      <c r="H68" s="249"/>
      <c r="I68" s="249"/>
      <c r="J68" s="249"/>
      <c r="K68" s="249"/>
      <c r="L68" s="249"/>
      <c r="M68" s="249"/>
      <c r="N68" s="249"/>
      <c r="O68" s="249"/>
      <c r="P68" s="249"/>
      <c r="Q68" s="249"/>
      <c r="R68" s="249"/>
      <c r="S68" s="249"/>
      <c r="T68" s="249"/>
      <c r="U68" s="249"/>
      <c r="V68" s="249"/>
      <c r="W68" s="249"/>
      <c r="X68" s="249"/>
      <c r="Y68" s="249"/>
      <c r="Z68" s="249"/>
    </row>
    <row r="69">
      <c r="A69" s="249"/>
      <c r="B69" s="249"/>
      <c r="C69" s="249"/>
      <c r="D69" s="249"/>
      <c r="E69" s="270"/>
      <c r="F69" s="270"/>
      <c r="G69" s="270"/>
      <c r="H69" s="249"/>
      <c r="I69" s="249"/>
      <c r="J69" s="249"/>
      <c r="K69" s="249"/>
      <c r="L69" s="249"/>
      <c r="M69" s="249"/>
      <c r="N69" s="249"/>
      <c r="O69" s="249"/>
      <c r="P69" s="249"/>
      <c r="Q69" s="249"/>
      <c r="R69" s="249"/>
      <c r="S69" s="249"/>
      <c r="T69" s="249"/>
      <c r="U69" s="249"/>
      <c r="V69" s="249"/>
      <c r="W69" s="249"/>
      <c r="X69" s="249"/>
      <c r="Y69" s="249"/>
      <c r="Z69" s="249"/>
    </row>
    <row r="70">
      <c r="A70" s="249"/>
      <c r="B70" s="249"/>
      <c r="C70" s="249"/>
      <c r="D70" s="249"/>
      <c r="E70" s="270"/>
      <c r="F70" s="270"/>
      <c r="G70" s="270"/>
      <c r="H70" s="249"/>
      <c r="I70" s="249"/>
      <c r="J70" s="249"/>
      <c r="K70" s="249"/>
      <c r="L70" s="249"/>
      <c r="M70" s="249"/>
      <c r="N70" s="249"/>
      <c r="O70" s="249"/>
      <c r="P70" s="249"/>
      <c r="Q70" s="249"/>
      <c r="R70" s="249"/>
      <c r="S70" s="249"/>
      <c r="T70" s="249"/>
      <c r="U70" s="249"/>
      <c r="V70" s="249"/>
      <c r="W70" s="249"/>
      <c r="X70" s="249"/>
      <c r="Y70" s="249"/>
      <c r="Z70" s="249"/>
    </row>
    <row r="71">
      <c r="A71" s="249"/>
      <c r="B71" s="249"/>
      <c r="C71" s="249"/>
      <c r="D71" s="249"/>
      <c r="E71" s="270"/>
      <c r="F71" s="270"/>
      <c r="G71" s="270"/>
      <c r="H71" s="249"/>
      <c r="I71" s="249"/>
      <c r="J71" s="249"/>
      <c r="K71" s="249"/>
      <c r="L71" s="249"/>
      <c r="M71" s="249"/>
      <c r="N71" s="249"/>
      <c r="O71" s="249"/>
      <c r="P71" s="249"/>
      <c r="Q71" s="249"/>
      <c r="R71" s="249"/>
      <c r="S71" s="249"/>
      <c r="T71" s="249"/>
      <c r="U71" s="249"/>
      <c r="V71" s="249"/>
      <c r="W71" s="249"/>
      <c r="X71" s="249"/>
      <c r="Y71" s="249"/>
      <c r="Z71" s="249"/>
    </row>
    <row r="72">
      <c r="A72" s="249"/>
      <c r="B72" s="249"/>
      <c r="C72" s="249"/>
      <c r="D72" s="249"/>
      <c r="E72" s="270"/>
      <c r="F72" s="270"/>
      <c r="G72" s="270"/>
      <c r="H72" s="249"/>
      <c r="I72" s="249"/>
      <c r="J72" s="249"/>
      <c r="K72" s="249"/>
      <c r="L72" s="249"/>
      <c r="M72" s="249"/>
      <c r="N72" s="249"/>
      <c r="O72" s="249"/>
      <c r="P72" s="249"/>
      <c r="Q72" s="249"/>
      <c r="R72" s="249"/>
      <c r="S72" s="249"/>
      <c r="T72" s="249"/>
      <c r="U72" s="249"/>
      <c r="V72" s="249"/>
      <c r="W72" s="249"/>
      <c r="X72" s="249"/>
      <c r="Y72" s="249"/>
      <c r="Z72" s="249"/>
    </row>
    <row r="73">
      <c r="A73" s="249"/>
      <c r="B73" s="249"/>
      <c r="C73" s="249"/>
      <c r="D73" s="249"/>
      <c r="E73" s="270"/>
      <c r="F73" s="270"/>
      <c r="G73" s="270"/>
      <c r="H73" s="249"/>
      <c r="I73" s="249"/>
      <c r="J73" s="249"/>
      <c r="K73" s="249"/>
      <c r="L73" s="249"/>
      <c r="M73" s="249"/>
      <c r="N73" s="249"/>
      <c r="O73" s="249"/>
      <c r="P73" s="249"/>
      <c r="Q73" s="249"/>
      <c r="R73" s="249"/>
      <c r="S73" s="249"/>
      <c r="T73" s="249"/>
      <c r="U73" s="249"/>
      <c r="V73" s="249"/>
      <c r="W73" s="249"/>
      <c r="X73" s="249"/>
      <c r="Y73" s="249"/>
      <c r="Z73" s="249"/>
    </row>
    <row r="74">
      <c r="A74" s="249"/>
      <c r="B74" s="249"/>
      <c r="C74" s="249"/>
      <c r="D74" s="249"/>
      <c r="E74" s="270"/>
      <c r="F74" s="270"/>
      <c r="G74" s="270"/>
      <c r="H74" s="249"/>
      <c r="I74" s="249"/>
      <c r="J74" s="249"/>
      <c r="K74" s="249"/>
      <c r="L74" s="249"/>
      <c r="M74" s="249"/>
      <c r="N74" s="249"/>
      <c r="O74" s="249"/>
      <c r="P74" s="249"/>
      <c r="Q74" s="249"/>
      <c r="R74" s="249"/>
      <c r="S74" s="249"/>
      <c r="T74" s="249"/>
      <c r="U74" s="249"/>
      <c r="V74" s="249"/>
      <c r="W74" s="249"/>
      <c r="X74" s="249"/>
      <c r="Y74" s="249"/>
      <c r="Z74" s="249"/>
    </row>
    <row r="75">
      <c r="A75" s="249"/>
      <c r="B75" s="249"/>
      <c r="C75" s="249"/>
      <c r="D75" s="249"/>
      <c r="E75" s="270"/>
      <c r="F75" s="270"/>
      <c r="G75" s="270"/>
      <c r="H75" s="249"/>
      <c r="I75" s="249"/>
      <c r="J75" s="249"/>
      <c r="K75" s="249"/>
      <c r="L75" s="249"/>
      <c r="M75" s="249"/>
      <c r="N75" s="249"/>
      <c r="O75" s="249"/>
      <c r="P75" s="249"/>
      <c r="Q75" s="249"/>
      <c r="R75" s="249"/>
      <c r="S75" s="249"/>
      <c r="T75" s="249"/>
      <c r="U75" s="249"/>
      <c r="V75" s="249"/>
      <c r="W75" s="249"/>
      <c r="X75" s="249"/>
      <c r="Y75" s="249"/>
      <c r="Z75" s="249"/>
    </row>
    <row r="76">
      <c r="A76" s="249"/>
      <c r="B76" s="249"/>
      <c r="C76" s="249"/>
      <c r="D76" s="249"/>
      <c r="E76" s="270"/>
      <c r="F76" s="270"/>
      <c r="G76" s="270"/>
      <c r="H76" s="249"/>
      <c r="I76" s="249"/>
      <c r="J76" s="249"/>
      <c r="K76" s="249"/>
      <c r="L76" s="249"/>
      <c r="M76" s="249"/>
      <c r="N76" s="249"/>
      <c r="O76" s="249"/>
      <c r="P76" s="249"/>
      <c r="Q76" s="249"/>
      <c r="R76" s="249"/>
      <c r="S76" s="249"/>
      <c r="T76" s="249"/>
      <c r="U76" s="249"/>
      <c r="V76" s="249"/>
      <c r="W76" s="249"/>
      <c r="X76" s="249"/>
      <c r="Y76" s="249"/>
      <c r="Z76" s="249"/>
    </row>
    <row r="77">
      <c r="A77" s="249"/>
      <c r="B77" s="249"/>
      <c r="C77" s="249"/>
      <c r="D77" s="249"/>
      <c r="E77" s="270"/>
      <c r="F77" s="270"/>
      <c r="G77" s="270"/>
      <c r="H77" s="249"/>
      <c r="I77" s="249"/>
      <c r="J77" s="249"/>
      <c r="K77" s="249"/>
      <c r="L77" s="249"/>
      <c r="M77" s="249"/>
      <c r="N77" s="249"/>
      <c r="O77" s="249"/>
      <c r="P77" s="249"/>
      <c r="Q77" s="249"/>
      <c r="R77" s="249"/>
      <c r="S77" s="249"/>
      <c r="T77" s="249"/>
      <c r="U77" s="249"/>
      <c r="V77" s="249"/>
      <c r="W77" s="249"/>
      <c r="X77" s="249"/>
      <c r="Y77" s="249"/>
      <c r="Z77" s="249"/>
    </row>
    <row r="78">
      <c r="A78" s="249"/>
      <c r="B78" s="249"/>
      <c r="C78" s="249"/>
      <c r="D78" s="249"/>
      <c r="E78" s="270"/>
      <c r="F78" s="270"/>
      <c r="G78" s="270"/>
      <c r="H78" s="249"/>
      <c r="I78" s="249"/>
      <c r="J78" s="249"/>
      <c r="K78" s="249"/>
      <c r="L78" s="249"/>
      <c r="M78" s="249"/>
      <c r="N78" s="249"/>
      <c r="O78" s="249"/>
      <c r="P78" s="249"/>
      <c r="Q78" s="249"/>
      <c r="R78" s="249"/>
      <c r="S78" s="249"/>
      <c r="T78" s="249"/>
      <c r="U78" s="249"/>
      <c r="V78" s="249"/>
      <c r="W78" s="249"/>
      <c r="X78" s="249"/>
      <c r="Y78" s="249"/>
      <c r="Z78" s="249"/>
    </row>
    <row r="79">
      <c r="A79" s="249"/>
      <c r="B79" s="249"/>
      <c r="C79" s="249"/>
      <c r="D79" s="249"/>
      <c r="E79" s="270"/>
      <c r="F79" s="270"/>
      <c r="G79" s="270"/>
      <c r="H79" s="249"/>
      <c r="I79" s="249"/>
      <c r="J79" s="249"/>
      <c r="K79" s="249"/>
      <c r="L79" s="249"/>
      <c r="M79" s="249"/>
      <c r="N79" s="249"/>
      <c r="O79" s="249"/>
      <c r="P79" s="249"/>
      <c r="Q79" s="249"/>
      <c r="R79" s="249"/>
      <c r="S79" s="249"/>
      <c r="T79" s="249"/>
      <c r="U79" s="249"/>
      <c r="V79" s="249"/>
      <c r="W79" s="249"/>
      <c r="X79" s="249"/>
      <c r="Y79" s="249"/>
      <c r="Z79" s="249"/>
    </row>
    <row r="80">
      <c r="A80" s="249"/>
      <c r="B80" s="249"/>
      <c r="C80" s="249"/>
      <c r="D80" s="249"/>
      <c r="E80" s="270"/>
      <c r="F80" s="270"/>
      <c r="G80" s="270"/>
      <c r="H80" s="249"/>
      <c r="I80" s="249"/>
      <c r="J80" s="249"/>
      <c r="K80" s="249"/>
      <c r="L80" s="249"/>
      <c r="M80" s="249"/>
      <c r="N80" s="249"/>
      <c r="O80" s="249"/>
      <c r="P80" s="249"/>
      <c r="Q80" s="249"/>
      <c r="R80" s="249"/>
      <c r="S80" s="249"/>
      <c r="T80" s="249"/>
      <c r="U80" s="249"/>
      <c r="V80" s="249"/>
      <c r="W80" s="249"/>
      <c r="X80" s="249"/>
      <c r="Y80" s="249"/>
      <c r="Z80" s="249"/>
    </row>
    <row r="81">
      <c r="A81" s="249"/>
      <c r="B81" s="249"/>
      <c r="C81" s="249"/>
      <c r="D81" s="249"/>
      <c r="E81" s="270"/>
      <c r="F81" s="270"/>
      <c r="G81" s="270"/>
      <c r="H81" s="249"/>
      <c r="I81" s="249"/>
      <c r="J81" s="249"/>
      <c r="K81" s="249"/>
      <c r="L81" s="249"/>
      <c r="M81" s="249"/>
      <c r="N81" s="249"/>
      <c r="O81" s="249"/>
      <c r="P81" s="249"/>
      <c r="Q81" s="249"/>
      <c r="R81" s="249"/>
      <c r="S81" s="249"/>
      <c r="T81" s="249"/>
      <c r="U81" s="249"/>
      <c r="V81" s="249"/>
      <c r="W81" s="249"/>
      <c r="X81" s="249"/>
      <c r="Y81" s="249"/>
      <c r="Z81" s="249"/>
    </row>
    <row r="82">
      <c r="A82" s="249"/>
      <c r="B82" s="249"/>
      <c r="C82" s="249"/>
      <c r="D82" s="249"/>
      <c r="E82" s="270"/>
      <c r="F82" s="270"/>
      <c r="G82" s="270"/>
      <c r="H82" s="249"/>
      <c r="I82" s="249"/>
      <c r="J82" s="249"/>
      <c r="K82" s="249"/>
      <c r="L82" s="249"/>
      <c r="M82" s="249"/>
      <c r="N82" s="249"/>
      <c r="O82" s="249"/>
      <c r="P82" s="249"/>
      <c r="Q82" s="249"/>
      <c r="R82" s="249"/>
      <c r="S82" s="249"/>
      <c r="T82" s="249"/>
      <c r="U82" s="249"/>
      <c r="V82" s="249"/>
      <c r="W82" s="249"/>
      <c r="X82" s="249"/>
      <c r="Y82" s="249"/>
      <c r="Z82" s="249"/>
    </row>
    <row r="83">
      <c r="A83" s="249"/>
      <c r="B83" s="249"/>
      <c r="C83" s="249"/>
      <c r="D83" s="249"/>
      <c r="E83" s="270"/>
      <c r="F83" s="270"/>
      <c r="G83" s="270"/>
      <c r="H83" s="249"/>
      <c r="I83" s="249"/>
      <c r="J83" s="249"/>
      <c r="K83" s="249"/>
      <c r="L83" s="249"/>
      <c r="M83" s="249"/>
      <c r="N83" s="249"/>
      <c r="O83" s="249"/>
      <c r="P83" s="249"/>
      <c r="Q83" s="249"/>
      <c r="R83" s="249"/>
      <c r="S83" s="249"/>
      <c r="T83" s="249"/>
      <c r="U83" s="249"/>
      <c r="V83" s="249"/>
      <c r="W83" s="249"/>
      <c r="X83" s="249"/>
      <c r="Y83" s="249"/>
      <c r="Z83" s="249"/>
    </row>
    <row r="84">
      <c r="A84" s="249"/>
      <c r="B84" s="249"/>
      <c r="C84" s="249"/>
      <c r="D84" s="249"/>
      <c r="E84" s="270"/>
      <c r="F84" s="270"/>
      <c r="G84" s="270"/>
      <c r="H84" s="249"/>
      <c r="I84" s="249"/>
      <c r="J84" s="249"/>
      <c r="K84" s="249"/>
      <c r="L84" s="249"/>
      <c r="M84" s="249"/>
      <c r="N84" s="249"/>
      <c r="O84" s="249"/>
      <c r="P84" s="249"/>
      <c r="Q84" s="249"/>
      <c r="R84" s="249"/>
      <c r="S84" s="249"/>
      <c r="T84" s="249"/>
      <c r="U84" s="249"/>
      <c r="V84" s="249"/>
      <c r="W84" s="249"/>
      <c r="X84" s="249"/>
      <c r="Y84" s="249"/>
      <c r="Z84" s="249"/>
    </row>
    <row r="85">
      <c r="A85" s="249"/>
      <c r="B85" s="249"/>
      <c r="C85" s="249"/>
      <c r="D85" s="249"/>
      <c r="E85" s="270"/>
      <c r="F85" s="270"/>
      <c r="G85" s="270"/>
      <c r="H85" s="249"/>
      <c r="I85" s="249"/>
      <c r="J85" s="249"/>
      <c r="K85" s="249"/>
      <c r="L85" s="249"/>
      <c r="M85" s="249"/>
      <c r="N85" s="249"/>
      <c r="O85" s="249"/>
      <c r="P85" s="249"/>
      <c r="Q85" s="249"/>
      <c r="R85" s="249"/>
      <c r="S85" s="249"/>
      <c r="T85" s="249"/>
      <c r="U85" s="249"/>
      <c r="V85" s="249"/>
      <c r="W85" s="249"/>
      <c r="X85" s="249"/>
      <c r="Y85" s="249"/>
      <c r="Z85" s="249"/>
    </row>
    <row r="86">
      <c r="A86" s="249"/>
      <c r="B86" s="249"/>
      <c r="C86" s="249"/>
      <c r="D86" s="249"/>
      <c r="E86" s="270"/>
      <c r="F86" s="270"/>
      <c r="G86" s="270"/>
      <c r="H86" s="249"/>
      <c r="I86" s="249"/>
      <c r="J86" s="249"/>
      <c r="K86" s="249"/>
      <c r="L86" s="249"/>
      <c r="M86" s="249"/>
      <c r="N86" s="249"/>
      <c r="O86" s="249"/>
      <c r="P86" s="249"/>
      <c r="Q86" s="249"/>
      <c r="R86" s="249"/>
      <c r="S86" s="249"/>
      <c r="T86" s="249"/>
      <c r="U86" s="249"/>
      <c r="V86" s="249"/>
      <c r="W86" s="249"/>
      <c r="X86" s="249"/>
      <c r="Y86" s="249"/>
      <c r="Z86" s="249"/>
    </row>
    <row r="87">
      <c r="A87" s="249"/>
      <c r="B87" s="249"/>
      <c r="C87" s="249"/>
      <c r="D87" s="249"/>
      <c r="E87" s="270"/>
      <c r="F87" s="270"/>
      <c r="G87" s="270"/>
      <c r="H87" s="249"/>
      <c r="I87" s="249"/>
      <c r="J87" s="249"/>
      <c r="K87" s="249"/>
      <c r="L87" s="249"/>
      <c r="M87" s="249"/>
      <c r="N87" s="249"/>
      <c r="O87" s="249"/>
      <c r="P87" s="249"/>
      <c r="Q87" s="249"/>
      <c r="R87" s="249"/>
      <c r="S87" s="249"/>
      <c r="T87" s="249"/>
      <c r="U87" s="249"/>
      <c r="V87" s="249"/>
      <c r="W87" s="249"/>
      <c r="X87" s="249"/>
      <c r="Y87" s="249"/>
      <c r="Z87" s="249"/>
    </row>
    <row r="88">
      <c r="A88" s="249"/>
      <c r="B88" s="249"/>
      <c r="C88" s="249"/>
      <c r="D88" s="249"/>
      <c r="E88" s="270"/>
      <c r="F88" s="270"/>
      <c r="G88" s="270"/>
      <c r="H88" s="249"/>
      <c r="I88" s="249"/>
      <c r="J88" s="249"/>
      <c r="K88" s="249"/>
      <c r="L88" s="249"/>
      <c r="M88" s="249"/>
      <c r="N88" s="249"/>
      <c r="O88" s="249"/>
      <c r="P88" s="249"/>
      <c r="Q88" s="249"/>
      <c r="R88" s="249"/>
      <c r="S88" s="249"/>
      <c r="T88" s="249"/>
      <c r="U88" s="249"/>
      <c r="V88" s="249"/>
      <c r="W88" s="249"/>
      <c r="X88" s="249"/>
      <c r="Y88" s="249"/>
      <c r="Z88" s="249"/>
    </row>
    <row r="89">
      <c r="A89" s="249"/>
      <c r="B89" s="249"/>
      <c r="C89" s="249"/>
      <c r="D89" s="249"/>
      <c r="E89" s="270"/>
      <c r="F89" s="270"/>
      <c r="G89" s="270"/>
      <c r="H89" s="249"/>
      <c r="I89" s="249"/>
      <c r="J89" s="249"/>
      <c r="K89" s="249"/>
      <c r="L89" s="249"/>
      <c r="M89" s="249"/>
      <c r="N89" s="249"/>
      <c r="O89" s="249"/>
      <c r="P89" s="249"/>
      <c r="Q89" s="249"/>
      <c r="R89" s="249"/>
      <c r="S89" s="249"/>
      <c r="T89" s="249"/>
      <c r="U89" s="249"/>
      <c r="V89" s="249"/>
      <c r="W89" s="249"/>
      <c r="X89" s="249"/>
      <c r="Y89" s="249"/>
      <c r="Z89" s="249"/>
    </row>
    <row r="90">
      <c r="A90" s="249"/>
      <c r="B90" s="249"/>
      <c r="C90" s="249"/>
      <c r="D90" s="249"/>
      <c r="E90" s="270"/>
      <c r="F90" s="270"/>
      <c r="G90" s="270"/>
      <c r="H90" s="249"/>
      <c r="I90" s="249"/>
      <c r="J90" s="249"/>
      <c r="K90" s="249"/>
      <c r="L90" s="249"/>
      <c r="M90" s="249"/>
      <c r="N90" s="249"/>
      <c r="O90" s="249"/>
      <c r="P90" s="249"/>
      <c r="Q90" s="249"/>
      <c r="R90" s="249"/>
      <c r="S90" s="249"/>
      <c r="T90" s="249"/>
      <c r="U90" s="249"/>
      <c r="V90" s="249"/>
      <c r="W90" s="249"/>
      <c r="X90" s="249"/>
      <c r="Y90" s="249"/>
      <c r="Z90" s="249"/>
    </row>
    <row r="91">
      <c r="A91" s="249"/>
      <c r="B91" s="249"/>
      <c r="C91" s="249"/>
      <c r="D91" s="249"/>
      <c r="E91" s="270"/>
      <c r="F91" s="270"/>
      <c r="G91" s="270"/>
      <c r="H91" s="249"/>
      <c r="I91" s="249"/>
      <c r="J91" s="249"/>
      <c r="K91" s="249"/>
      <c r="L91" s="249"/>
      <c r="M91" s="249"/>
      <c r="N91" s="249"/>
      <c r="O91" s="249"/>
      <c r="P91" s="249"/>
      <c r="Q91" s="249"/>
      <c r="R91" s="249"/>
      <c r="S91" s="249"/>
      <c r="T91" s="249"/>
      <c r="U91" s="249"/>
      <c r="V91" s="249"/>
      <c r="W91" s="249"/>
      <c r="X91" s="249"/>
      <c r="Y91" s="249"/>
      <c r="Z91" s="249"/>
    </row>
    <row r="92">
      <c r="A92" s="249"/>
      <c r="B92" s="249"/>
      <c r="C92" s="249"/>
      <c r="D92" s="249"/>
      <c r="E92" s="270"/>
      <c r="F92" s="270"/>
      <c r="G92" s="270"/>
      <c r="H92" s="249"/>
      <c r="I92" s="249"/>
      <c r="J92" s="249"/>
      <c r="K92" s="249"/>
      <c r="L92" s="249"/>
      <c r="M92" s="249"/>
      <c r="N92" s="249"/>
      <c r="O92" s="249"/>
      <c r="P92" s="249"/>
      <c r="Q92" s="249"/>
      <c r="R92" s="249"/>
      <c r="S92" s="249"/>
      <c r="T92" s="249"/>
      <c r="U92" s="249"/>
      <c r="V92" s="249"/>
      <c r="W92" s="249"/>
      <c r="X92" s="249"/>
      <c r="Y92" s="249"/>
      <c r="Z92" s="249"/>
    </row>
    <row r="93">
      <c r="A93" s="249"/>
      <c r="B93" s="249"/>
      <c r="C93" s="249"/>
      <c r="D93" s="249"/>
      <c r="E93" s="270"/>
      <c r="F93" s="270"/>
      <c r="G93" s="270"/>
      <c r="H93" s="249"/>
      <c r="I93" s="249"/>
      <c r="J93" s="249"/>
      <c r="K93" s="249"/>
      <c r="L93" s="249"/>
      <c r="M93" s="249"/>
      <c r="N93" s="249"/>
      <c r="O93" s="249"/>
      <c r="P93" s="249"/>
      <c r="Q93" s="249"/>
      <c r="R93" s="249"/>
      <c r="S93" s="249"/>
      <c r="T93" s="249"/>
      <c r="U93" s="249"/>
      <c r="V93" s="249"/>
      <c r="W93" s="249"/>
      <c r="X93" s="249"/>
      <c r="Y93" s="249"/>
      <c r="Z93" s="249"/>
    </row>
    <row r="94">
      <c r="A94" s="249"/>
      <c r="B94" s="249"/>
      <c r="C94" s="249"/>
      <c r="D94" s="249"/>
      <c r="E94" s="270"/>
      <c r="F94" s="270"/>
      <c r="G94" s="270"/>
      <c r="H94" s="249"/>
      <c r="I94" s="249"/>
      <c r="J94" s="249"/>
      <c r="K94" s="249"/>
      <c r="L94" s="249"/>
      <c r="M94" s="249"/>
      <c r="N94" s="249"/>
      <c r="O94" s="249"/>
      <c r="P94" s="249"/>
      <c r="Q94" s="249"/>
      <c r="R94" s="249"/>
      <c r="S94" s="249"/>
      <c r="T94" s="249"/>
      <c r="U94" s="249"/>
      <c r="V94" s="249"/>
      <c r="W94" s="249"/>
      <c r="X94" s="249"/>
      <c r="Y94" s="249"/>
      <c r="Z94" s="249"/>
    </row>
    <row r="95">
      <c r="A95" s="249"/>
      <c r="B95" s="249"/>
      <c r="C95" s="249"/>
      <c r="D95" s="249"/>
      <c r="E95" s="270"/>
      <c r="F95" s="270"/>
      <c r="G95" s="270"/>
      <c r="H95" s="249"/>
      <c r="I95" s="249"/>
      <c r="J95" s="249"/>
      <c r="K95" s="249"/>
      <c r="L95" s="249"/>
      <c r="M95" s="249"/>
      <c r="N95" s="249"/>
      <c r="O95" s="249"/>
      <c r="P95" s="249"/>
      <c r="Q95" s="249"/>
      <c r="R95" s="249"/>
      <c r="S95" s="249"/>
      <c r="T95" s="249"/>
      <c r="U95" s="249"/>
      <c r="V95" s="249"/>
      <c r="W95" s="249"/>
      <c r="X95" s="249"/>
      <c r="Y95" s="249"/>
      <c r="Z95" s="249"/>
    </row>
    <row r="96">
      <c r="A96" s="249"/>
      <c r="B96" s="249"/>
      <c r="C96" s="249"/>
      <c r="D96" s="249"/>
      <c r="E96" s="270"/>
      <c r="F96" s="270"/>
      <c r="G96" s="270"/>
      <c r="H96" s="249"/>
      <c r="I96" s="249"/>
      <c r="J96" s="249"/>
      <c r="K96" s="249"/>
      <c r="L96" s="249"/>
      <c r="M96" s="249"/>
      <c r="N96" s="249"/>
      <c r="O96" s="249"/>
      <c r="P96" s="249"/>
      <c r="Q96" s="249"/>
      <c r="R96" s="249"/>
      <c r="S96" s="249"/>
      <c r="T96" s="249"/>
      <c r="U96" s="249"/>
      <c r="V96" s="249"/>
      <c r="W96" s="249"/>
      <c r="X96" s="249"/>
      <c r="Y96" s="249"/>
      <c r="Z96" s="249"/>
    </row>
    <row r="97">
      <c r="A97" s="249"/>
      <c r="B97" s="249"/>
      <c r="C97" s="249"/>
      <c r="D97" s="249"/>
      <c r="E97" s="270"/>
      <c r="F97" s="270"/>
      <c r="G97" s="270"/>
      <c r="H97" s="249"/>
      <c r="I97" s="249"/>
      <c r="J97" s="249"/>
      <c r="K97" s="249"/>
      <c r="L97" s="249"/>
      <c r="M97" s="249"/>
      <c r="N97" s="249"/>
      <c r="O97" s="249"/>
      <c r="P97" s="249"/>
      <c r="Q97" s="249"/>
      <c r="R97" s="249"/>
      <c r="S97" s="249"/>
      <c r="T97" s="249"/>
      <c r="U97" s="249"/>
      <c r="V97" s="249"/>
      <c r="W97" s="249"/>
      <c r="X97" s="249"/>
      <c r="Y97" s="249"/>
      <c r="Z97" s="249"/>
    </row>
    <row r="98">
      <c r="A98" s="249"/>
      <c r="B98" s="249"/>
      <c r="C98" s="249"/>
      <c r="D98" s="249"/>
      <c r="E98" s="270"/>
      <c r="F98" s="270"/>
      <c r="G98" s="270"/>
      <c r="H98" s="249"/>
      <c r="I98" s="249"/>
      <c r="J98" s="249"/>
      <c r="K98" s="249"/>
      <c r="L98" s="249"/>
      <c r="M98" s="249"/>
      <c r="N98" s="249"/>
      <c r="O98" s="249"/>
      <c r="P98" s="249"/>
      <c r="Q98" s="249"/>
      <c r="R98" s="249"/>
      <c r="S98" s="249"/>
      <c r="T98" s="249"/>
      <c r="U98" s="249"/>
      <c r="V98" s="249"/>
      <c r="W98" s="249"/>
      <c r="X98" s="249"/>
      <c r="Y98" s="249"/>
      <c r="Z98" s="249"/>
    </row>
    <row r="99">
      <c r="A99" s="249"/>
      <c r="B99" s="249"/>
      <c r="C99" s="249"/>
      <c r="D99" s="249"/>
      <c r="E99" s="270"/>
      <c r="F99" s="270"/>
      <c r="G99" s="270"/>
      <c r="H99" s="249"/>
      <c r="I99" s="249"/>
      <c r="J99" s="249"/>
      <c r="K99" s="249"/>
      <c r="L99" s="249"/>
      <c r="M99" s="249"/>
      <c r="N99" s="249"/>
      <c r="O99" s="249"/>
      <c r="P99" s="249"/>
      <c r="Q99" s="249"/>
      <c r="R99" s="249"/>
      <c r="S99" s="249"/>
      <c r="T99" s="249"/>
      <c r="U99" s="249"/>
      <c r="V99" s="249"/>
      <c r="W99" s="249"/>
      <c r="X99" s="249"/>
      <c r="Y99" s="249"/>
      <c r="Z99" s="249"/>
    </row>
    <row r="100">
      <c r="A100" s="249"/>
      <c r="B100" s="249"/>
      <c r="C100" s="249"/>
      <c r="D100" s="249"/>
      <c r="E100" s="270"/>
      <c r="F100" s="270"/>
      <c r="G100" s="270"/>
      <c r="H100" s="249"/>
      <c r="I100" s="249"/>
      <c r="J100" s="249"/>
      <c r="K100" s="249"/>
      <c r="L100" s="249"/>
      <c r="M100" s="249"/>
      <c r="N100" s="249"/>
      <c r="O100" s="249"/>
      <c r="P100" s="249"/>
      <c r="Q100" s="249"/>
      <c r="R100" s="249"/>
      <c r="S100" s="249"/>
      <c r="T100" s="249"/>
      <c r="U100" s="249"/>
      <c r="V100" s="249"/>
      <c r="W100" s="249"/>
      <c r="X100" s="249"/>
      <c r="Y100" s="249"/>
      <c r="Z100" s="249"/>
    </row>
  </sheetData>
  <mergeCells count="1">
    <mergeCell ref="E1:G1"/>
  </mergeCells>
  <hyperlinks>
    <hyperlink r:id="rId1" ref="E2"/>
    <hyperlink r:id="rId2" ref="F2"/>
    <hyperlink r:id="rId3" ref="G2"/>
    <hyperlink r:id="rId4" ref="E3"/>
    <hyperlink r:id="rId5" ref="F3"/>
    <hyperlink r:id="rId6" ref="E4"/>
    <hyperlink r:id="rId7" ref="E5"/>
    <hyperlink r:id="rId8" ref="F5"/>
    <hyperlink r:id="rId9" ref="G5"/>
    <hyperlink r:id="rId10" location="2017_Catalan_independence_referendum" ref="E6"/>
    <hyperlink r:id="rId11" ref="F6"/>
    <hyperlink r:id="rId12" ref="E7"/>
    <hyperlink r:id="rId13" location="footnote1_szki9pg" ref="F7"/>
    <hyperlink r:id="rId14" ref="G7"/>
    <hyperlink r:id="rId15" ref="E8"/>
    <hyperlink r:id="rId16" ref="F8"/>
    <hyperlink r:id="rId17" ref="G8"/>
    <hyperlink r:id="rId18" ref="E9"/>
    <hyperlink r:id="rId19" ref="E10"/>
    <hyperlink r:id="rId20" ref="E11"/>
    <hyperlink r:id="rId21" ref="E12"/>
    <hyperlink r:id="rId22" ref="E13"/>
    <hyperlink r:id="rId23" ref="E14"/>
    <hyperlink r:id="rId24" ref="E15"/>
    <hyperlink r:id="rId25" ref="E16"/>
    <hyperlink r:id="rId26" ref="E17"/>
    <hyperlink r:id="rId27" ref="E18"/>
    <hyperlink r:id="rId28" ref="E19"/>
    <hyperlink r:id="rId29" ref="E20"/>
    <hyperlink r:id="rId30" ref="E21"/>
    <hyperlink r:id="rId31" ref="E22"/>
    <hyperlink r:id="rId32" ref="E23"/>
    <hyperlink r:id="rId33" ref="E24"/>
    <hyperlink r:id="rId34" ref="E25"/>
    <hyperlink r:id="rId35" ref="E26"/>
    <hyperlink r:id="rId36" ref="E27"/>
    <hyperlink r:id="rId37" ref="E28"/>
    <hyperlink r:id="rId38" ref="E29"/>
    <hyperlink r:id="rId39" ref="E30"/>
    <hyperlink r:id="rId40" ref="E31"/>
    <hyperlink r:id="rId41" ref="E32"/>
    <hyperlink r:id="rId42" ref="E33"/>
    <hyperlink r:id="rId43" ref="E34"/>
    <hyperlink r:id="rId44" ref="E35"/>
    <hyperlink r:id="rId45" ref="E36"/>
    <hyperlink r:id="rId46" ref="E37"/>
    <hyperlink r:id="rId47" ref="E38"/>
    <hyperlink r:id="rId48" ref="E39"/>
    <hyperlink r:id="rId49" ref="E40"/>
    <hyperlink r:id="rId50" ref="E41"/>
  </hyperlinks>
  <drawing r:id="rId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1" t="s">
        <v>1282</v>
      </c>
      <c r="N1" s="136"/>
      <c r="O1" s="136"/>
      <c r="P1" s="136"/>
      <c r="Q1" s="136"/>
      <c r="R1" s="136"/>
      <c r="S1" s="136"/>
      <c r="T1" s="136"/>
      <c r="U1" s="136"/>
      <c r="V1" s="136"/>
      <c r="W1" s="136"/>
      <c r="X1" s="136"/>
      <c r="Y1" s="136"/>
    </row>
    <row r="2">
      <c r="A2" s="100" t="s">
        <v>1283</v>
      </c>
      <c r="B2" s="100" t="s">
        <v>1284</v>
      </c>
      <c r="C2" s="100" t="s">
        <v>1285</v>
      </c>
      <c r="D2" s="100" t="s">
        <v>1286</v>
      </c>
      <c r="E2" s="234" t="s">
        <v>1287</v>
      </c>
      <c r="F2" s="234" t="s">
        <v>1288</v>
      </c>
      <c r="G2" s="234" t="s">
        <v>1289</v>
      </c>
      <c r="H2" s="234" t="s">
        <v>1290</v>
      </c>
      <c r="I2" s="234" t="s">
        <v>1291</v>
      </c>
      <c r="J2" s="234" t="s">
        <v>1292</v>
      </c>
      <c r="K2" s="234" t="s">
        <v>1293</v>
      </c>
      <c r="L2" s="234" t="s">
        <v>1294</v>
      </c>
      <c r="M2" s="234" t="s">
        <v>1295</v>
      </c>
      <c r="N2" s="234" t="s">
        <v>1296</v>
      </c>
      <c r="O2" s="234"/>
      <c r="P2" s="234"/>
      <c r="Q2" s="234"/>
      <c r="R2" s="234"/>
      <c r="S2" s="234"/>
      <c r="T2" s="234"/>
      <c r="U2" s="234"/>
      <c r="V2" s="234"/>
      <c r="W2" s="234"/>
      <c r="X2" s="234"/>
      <c r="Y2" s="234"/>
    </row>
    <row r="3">
      <c r="A3" s="272" t="s">
        <v>56</v>
      </c>
      <c r="B3" s="273" t="s">
        <v>55</v>
      </c>
      <c r="C3" s="273">
        <v>0.0</v>
      </c>
      <c r="D3" s="273">
        <v>2.2959516E7</v>
      </c>
      <c r="E3" s="274">
        <v>0.0</v>
      </c>
      <c r="F3" s="274">
        <v>0.0</v>
      </c>
      <c r="G3" s="274">
        <v>0.0</v>
      </c>
      <c r="H3" s="274">
        <v>0.0</v>
      </c>
      <c r="I3" s="273">
        <v>0.0</v>
      </c>
      <c r="J3" s="273">
        <v>0.0</v>
      </c>
      <c r="K3" s="273">
        <v>0.0</v>
      </c>
      <c r="L3" s="273">
        <v>4.0</v>
      </c>
      <c r="M3" s="273">
        <v>1.0</v>
      </c>
      <c r="N3" s="273" t="s">
        <v>1297</v>
      </c>
      <c r="P3" s="273"/>
      <c r="Q3" s="275"/>
      <c r="R3" s="275"/>
      <c r="S3" s="273"/>
      <c r="T3" s="276"/>
      <c r="U3" s="275"/>
      <c r="V3" s="273"/>
      <c r="W3" s="273"/>
      <c r="X3" s="273"/>
      <c r="Y3" s="273"/>
      <c r="Z3" s="273"/>
      <c r="AA3" s="273"/>
      <c r="AB3" s="273"/>
      <c r="AC3" s="273"/>
      <c r="AD3" s="273"/>
      <c r="AE3" s="273"/>
      <c r="AF3" s="273"/>
      <c r="AG3" s="273"/>
      <c r="AH3" s="273"/>
      <c r="AI3" s="273"/>
      <c r="AJ3" s="273"/>
      <c r="AK3" s="273"/>
      <c r="AL3" s="277"/>
      <c r="AM3" s="275"/>
      <c r="AN3" s="275"/>
      <c r="AO3" s="275"/>
      <c r="AP3" s="273"/>
      <c r="AQ3" s="275"/>
      <c r="AR3" s="273"/>
      <c r="AS3" s="273"/>
      <c r="AT3" s="277"/>
      <c r="AU3" s="275"/>
      <c r="AV3" s="273"/>
      <c r="AW3" s="275"/>
      <c r="AX3" s="275"/>
      <c r="AY3" s="275"/>
      <c r="AZ3" s="275"/>
      <c r="BA3" s="275"/>
    </row>
    <row r="4">
      <c r="A4" s="272" t="s">
        <v>79</v>
      </c>
      <c r="B4" s="273" t="s">
        <v>78</v>
      </c>
      <c r="C4" s="273">
        <v>1.0</v>
      </c>
      <c r="D4" s="273">
        <v>1.7997367E7</v>
      </c>
      <c r="E4" s="274">
        <v>0.0</v>
      </c>
      <c r="F4" s="274">
        <v>0.0</v>
      </c>
      <c r="G4" s="274">
        <v>1.0</v>
      </c>
      <c r="H4" s="274">
        <v>0.0</v>
      </c>
      <c r="I4" s="273">
        <v>0.0</v>
      </c>
      <c r="J4" s="273">
        <v>0.0</v>
      </c>
      <c r="K4" s="273">
        <v>1.0</v>
      </c>
      <c r="L4" s="273">
        <v>7.0</v>
      </c>
      <c r="M4" s="273">
        <v>0.0</v>
      </c>
      <c r="N4" s="273" t="s">
        <v>1297</v>
      </c>
      <c r="P4" s="273"/>
      <c r="Q4" s="275"/>
      <c r="R4" s="273"/>
      <c r="S4" s="273"/>
      <c r="T4" s="276"/>
      <c r="U4" s="276"/>
      <c r="V4" s="273"/>
      <c r="W4" s="273"/>
      <c r="X4" s="273"/>
      <c r="Y4" s="273"/>
      <c r="Z4" s="273"/>
      <c r="AA4" s="273"/>
      <c r="AB4" s="273"/>
      <c r="AC4" s="273"/>
      <c r="AD4" s="273"/>
      <c r="AE4" s="273"/>
      <c r="AF4" s="273"/>
      <c r="AG4" s="273"/>
      <c r="AH4" s="273"/>
      <c r="AI4" s="273"/>
      <c r="AJ4" s="273"/>
      <c r="AK4" s="273"/>
      <c r="AL4" s="273"/>
      <c r="AM4" s="273"/>
      <c r="AN4" s="275"/>
      <c r="AO4" s="275"/>
      <c r="AP4" s="275"/>
      <c r="AQ4" s="273"/>
      <c r="AR4" s="273"/>
      <c r="AS4" s="273"/>
      <c r="AT4" s="273"/>
      <c r="AU4" s="275"/>
      <c r="AV4" s="273"/>
      <c r="AW4" s="275"/>
      <c r="AX4" s="275"/>
      <c r="AY4" s="275"/>
      <c r="AZ4" s="275"/>
      <c r="BA4" s="275"/>
    </row>
    <row r="5">
      <c r="A5" s="272" t="s">
        <v>91</v>
      </c>
      <c r="B5" s="273" t="s">
        <v>90</v>
      </c>
      <c r="C5" s="273">
        <v>1.0</v>
      </c>
      <c r="D5" s="273">
        <v>844302.0</v>
      </c>
      <c r="E5" s="274">
        <v>1.0</v>
      </c>
      <c r="F5" s="274">
        <v>0.0</v>
      </c>
      <c r="G5" s="274">
        <v>0.0</v>
      </c>
      <c r="H5" s="274">
        <v>0.0</v>
      </c>
      <c r="I5" s="273">
        <v>0.0</v>
      </c>
      <c r="J5" s="273">
        <v>0.0</v>
      </c>
      <c r="K5" s="273">
        <v>1.0</v>
      </c>
      <c r="L5" s="273">
        <v>1.0</v>
      </c>
      <c r="M5" s="273">
        <v>0.0</v>
      </c>
      <c r="N5" s="273" t="s">
        <v>1297</v>
      </c>
      <c r="P5" s="273"/>
      <c r="Q5" s="275"/>
      <c r="R5" s="273"/>
      <c r="S5" s="273"/>
      <c r="T5" s="276"/>
      <c r="U5" s="276"/>
      <c r="V5" s="273"/>
      <c r="W5" s="273"/>
      <c r="X5" s="273"/>
      <c r="Y5" s="273"/>
      <c r="Z5" s="273"/>
      <c r="AA5" s="273"/>
      <c r="AB5" s="273"/>
      <c r="AC5" s="273"/>
      <c r="AD5" s="273"/>
      <c r="AE5" s="273"/>
      <c r="AF5" s="273"/>
      <c r="AG5" s="273"/>
      <c r="AH5" s="273"/>
      <c r="AI5" s="273"/>
      <c r="AJ5" s="273"/>
      <c r="AK5" s="273"/>
      <c r="AL5" s="273"/>
      <c r="AM5" s="273"/>
      <c r="AN5" s="275"/>
      <c r="AO5" s="275"/>
      <c r="AP5" s="275"/>
      <c r="AQ5" s="273"/>
      <c r="AR5" s="273"/>
      <c r="AS5" s="273"/>
      <c r="AT5" s="273"/>
      <c r="AU5" s="275"/>
      <c r="AV5" s="273"/>
      <c r="AW5" s="275"/>
      <c r="AX5" s="275"/>
      <c r="AY5" s="275"/>
      <c r="AZ5" s="275"/>
      <c r="BA5" s="275"/>
    </row>
    <row r="6">
      <c r="A6" s="272" t="s">
        <v>127</v>
      </c>
      <c r="B6" s="273" t="s">
        <v>126</v>
      </c>
      <c r="C6" s="273">
        <v>0.0</v>
      </c>
      <c r="D6" s="273">
        <v>3715522.0</v>
      </c>
      <c r="E6" s="274">
        <v>0.0</v>
      </c>
      <c r="F6" s="274">
        <v>0.0</v>
      </c>
      <c r="G6" s="274">
        <v>0.0</v>
      </c>
      <c r="H6" s="274">
        <v>0.0</v>
      </c>
      <c r="I6" s="273">
        <v>0.0</v>
      </c>
      <c r="J6" s="273">
        <v>0.0</v>
      </c>
      <c r="K6" s="273">
        <v>0.0</v>
      </c>
      <c r="L6" s="273">
        <v>2.0</v>
      </c>
      <c r="M6" s="273">
        <v>1.0</v>
      </c>
      <c r="N6" s="273" t="s">
        <v>1297</v>
      </c>
      <c r="P6" s="273"/>
      <c r="Q6" s="275"/>
      <c r="R6" s="275"/>
      <c r="S6" s="273"/>
      <c r="T6" s="276"/>
      <c r="U6" s="275"/>
      <c r="V6" s="273"/>
      <c r="W6" s="273"/>
      <c r="X6" s="273"/>
      <c r="Y6" s="273"/>
      <c r="Z6" s="273"/>
      <c r="AA6" s="273"/>
      <c r="AB6" s="273"/>
      <c r="AC6" s="273"/>
      <c r="AD6" s="273"/>
      <c r="AE6" s="273"/>
      <c r="AF6" s="273"/>
      <c r="AG6" s="273"/>
      <c r="AH6" s="273"/>
      <c r="AI6" s="273"/>
      <c r="AJ6" s="273"/>
      <c r="AK6" s="273"/>
      <c r="AL6" s="277"/>
      <c r="AM6" s="275"/>
      <c r="AN6" s="275"/>
      <c r="AO6" s="275"/>
      <c r="AP6" s="273"/>
      <c r="AQ6" s="275"/>
      <c r="AR6" s="273"/>
      <c r="AS6" s="273"/>
      <c r="AT6" s="277"/>
      <c r="AU6" s="273"/>
      <c r="AV6" s="273"/>
      <c r="AW6" s="275"/>
      <c r="AX6" s="275"/>
      <c r="AY6" s="275"/>
      <c r="AZ6" s="275"/>
      <c r="BA6" s="275"/>
    </row>
    <row r="7">
      <c r="A7" s="272" t="s">
        <v>139</v>
      </c>
      <c r="B7" s="273" t="s">
        <v>138</v>
      </c>
      <c r="C7" s="273">
        <v>0.0</v>
      </c>
      <c r="D7" s="273">
        <v>1.24937259E8</v>
      </c>
      <c r="E7" s="274">
        <v>0.0</v>
      </c>
      <c r="F7" s="274">
        <v>0.0</v>
      </c>
      <c r="G7" s="274">
        <v>0.0</v>
      </c>
      <c r="H7" s="274">
        <v>0.0</v>
      </c>
      <c r="I7" s="273">
        <v>0.0</v>
      </c>
      <c r="J7" s="273">
        <v>0.0</v>
      </c>
      <c r="K7" s="273">
        <v>0.0</v>
      </c>
      <c r="L7" s="273">
        <v>12.0</v>
      </c>
      <c r="M7" s="273">
        <v>2.0</v>
      </c>
      <c r="N7" s="273" t="s">
        <v>1297</v>
      </c>
      <c r="P7" s="273"/>
      <c r="Q7" s="275"/>
      <c r="R7" s="275"/>
      <c r="S7" s="273"/>
      <c r="T7" s="276"/>
      <c r="U7" s="275"/>
      <c r="V7" s="273"/>
      <c r="W7" s="273"/>
      <c r="X7" s="273"/>
      <c r="Y7" s="273"/>
      <c r="Z7" s="273"/>
      <c r="AA7" s="273"/>
      <c r="AB7" s="273"/>
      <c r="AC7" s="273"/>
      <c r="AD7" s="273"/>
      <c r="AE7" s="273"/>
      <c r="AF7" s="273"/>
      <c r="AG7" s="273"/>
      <c r="AH7" s="273"/>
      <c r="AI7" s="273"/>
      <c r="AJ7" s="273"/>
      <c r="AK7" s="273"/>
      <c r="AL7" s="277"/>
      <c r="AM7" s="275"/>
      <c r="AN7" s="275"/>
      <c r="AO7" s="275"/>
      <c r="AP7" s="273"/>
      <c r="AQ7" s="275"/>
      <c r="AR7" s="273"/>
      <c r="AS7" s="273"/>
      <c r="AT7" s="277"/>
      <c r="AU7" s="275"/>
      <c r="AV7" s="273"/>
      <c r="AW7" s="275"/>
      <c r="AX7" s="275"/>
      <c r="AY7" s="275"/>
      <c r="AZ7" s="275"/>
      <c r="BA7" s="275"/>
    </row>
    <row r="8">
      <c r="A8" s="272" t="s">
        <v>174</v>
      </c>
      <c r="B8" s="273" t="s">
        <v>173</v>
      </c>
      <c r="C8" s="273">
        <v>0.0</v>
      </c>
      <c r="D8" s="273">
        <v>1.4023588E7</v>
      </c>
      <c r="E8" s="274">
        <v>0.0</v>
      </c>
      <c r="F8" s="274">
        <v>0.0</v>
      </c>
      <c r="G8" s="274">
        <v>0.0</v>
      </c>
      <c r="H8" s="274">
        <v>0.0</v>
      </c>
      <c r="I8" s="273">
        <v>0.0</v>
      </c>
      <c r="J8" s="273">
        <v>0.0</v>
      </c>
      <c r="K8" s="273">
        <v>0.0</v>
      </c>
      <c r="L8" s="273">
        <v>5.0</v>
      </c>
      <c r="M8" s="273">
        <v>1.0</v>
      </c>
      <c r="N8" s="273" t="s">
        <v>1297</v>
      </c>
      <c r="P8" s="273"/>
      <c r="Q8" s="275"/>
      <c r="R8" s="275"/>
      <c r="S8" s="273"/>
      <c r="T8" s="276"/>
      <c r="U8" s="275"/>
      <c r="V8" s="273"/>
      <c r="W8" s="273"/>
      <c r="X8" s="273"/>
      <c r="Y8" s="273"/>
      <c r="Z8" s="273"/>
      <c r="AA8" s="273"/>
      <c r="AB8" s="273"/>
      <c r="AC8" s="273"/>
      <c r="AD8" s="273"/>
      <c r="AE8" s="273"/>
      <c r="AF8" s="273"/>
      <c r="AG8" s="273"/>
      <c r="AH8" s="273"/>
      <c r="AI8" s="273"/>
      <c r="AJ8" s="273"/>
      <c r="AK8" s="273"/>
      <c r="AL8" s="277"/>
      <c r="AM8" s="275"/>
      <c r="AN8" s="275"/>
      <c r="AO8" s="275"/>
      <c r="AP8" s="273"/>
      <c r="AQ8" s="275"/>
      <c r="AR8" s="273"/>
      <c r="AS8" s="273"/>
      <c r="AT8" s="277"/>
      <c r="AU8" s="275"/>
      <c r="AV8" s="273"/>
      <c r="AW8" s="275"/>
      <c r="AX8" s="275"/>
      <c r="AY8" s="275"/>
      <c r="AZ8" s="275"/>
      <c r="BA8" s="275"/>
    </row>
    <row r="9">
      <c r="A9" s="272" t="s">
        <v>184</v>
      </c>
      <c r="B9" s="273" t="s">
        <v>183</v>
      </c>
      <c r="C9" s="273">
        <v>2.0</v>
      </c>
      <c r="D9" s="273">
        <v>5.4555095E7</v>
      </c>
      <c r="E9" s="274">
        <v>1.0</v>
      </c>
      <c r="F9" s="274">
        <v>0.0</v>
      </c>
      <c r="G9" s="274">
        <v>1.0</v>
      </c>
      <c r="H9" s="274">
        <v>0.0</v>
      </c>
      <c r="I9" s="273">
        <v>1.0</v>
      </c>
      <c r="J9" s="273">
        <v>0.0</v>
      </c>
      <c r="K9" s="273">
        <v>1.0</v>
      </c>
      <c r="L9" s="273">
        <v>2.0</v>
      </c>
      <c r="M9" s="273">
        <v>1.0</v>
      </c>
      <c r="N9" s="273" t="s">
        <v>1297</v>
      </c>
      <c r="P9" s="273"/>
      <c r="Q9" s="273"/>
      <c r="R9" s="273"/>
      <c r="S9" s="273"/>
      <c r="T9" s="276"/>
      <c r="U9" s="275"/>
      <c r="V9" s="273"/>
      <c r="W9" s="273"/>
      <c r="X9" s="273"/>
      <c r="Y9" s="273"/>
      <c r="Z9" s="273"/>
      <c r="AA9" s="273"/>
      <c r="AB9" s="273"/>
      <c r="AC9" s="273"/>
      <c r="AD9" s="273"/>
      <c r="AE9" s="273"/>
      <c r="AF9" s="273"/>
      <c r="AG9" s="273"/>
      <c r="AH9" s="273"/>
      <c r="AI9" s="273"/>
      <c r="AJ9" s="273"/>
      <c r="AK9" s="273"/>
      <c r="AL9" s="277"/>
      <c r="AM9" s="275"/>
      <c r="AN9" s="275"/>
      <c r="AO9" s="275"/>
      <c r="AP9" s="273"/>
      <c r="AQ9" s="275"/>
      <c r="AR9" s="273"/>
      <c r="AS9" s="273"/>
      <c r="AT9" s="277"/>
      <c r="AU9" s="273"/>
      <c r="AV9" s="273"/>
      <c r="AW9" s="275"/>
      <c r="AX9" s="275"/>
      <c r="AY9" s="275"/>
      <c r="AZ9" s="275"/>
      <c r="BA9" s="275"/>
    </row>
    <row r="10">
      <c r="A10" s="272" t="s">
        <v>221</v>
      </c>
      <c r="B10" s="273" t="s">
        <v>220</v>
      </c>
      <c r="C10" s="273">
        <v>1.0</v>
      </c>
      <c r="D10" s="273">
        <v>1299804.0</v>
      </c>
      <c r="E10" s="274">
        <v>0.0</v>
      </c>
      <c r="F10" s="274">
        <v>1.0</v>
      </c>
      <c r="G10" s="274">
        <v>0.0</v>
      </c>
      <c r="H10" s="274">
        <v>0.0</v>
      </c>
      <c r="I10" s="273">
        <v>0.0</v>
      </c>
      <c r="J10" s="273">
        <v>0.0</v>
      </c>
      <c r="K10" s="273">
        <v>1.0</v>
      </c>
      <c r="L10" s="273">
        <v>1.0</v>
      </c>
      <c r="M10" s="273">
        <v>0.0</v>
      </c>
      <c r="N10" s="273" t="s">
        <v>1297</v>
      </c>
      <c r="P10" s="273"/>
      <c r="Q10" s="275"/>
      <c r="R10" s="273"/>
      <c r="S10" s="273"/>
      <c r="T10" s="276"/>
      <c r="U10" s="275"/>
      <c r="V10" s="273"/>
      <c r="W10" s="273"/>
      <c r="X10" s="273"/>
      <c r="Y10" s="273"/>
      <c r="Z10" s="273"/>
      <c r="AA10" s="273"/>
      <c r="AB10" s="273"/>
      <c r="AC10" s="273"/>
      <c r="AD10" s="273"/>
      <c r="AE10" s="273"/>
      <c r="AF10" s="273"/>
      <c r="AG10" s="273"/>
      <c r="AH10" s="273"/>
      <c r="AI10" s="273"/>
      <c r="AJ10" s="273"/>
      <c r="AK10" s="273"/>
      <c r="AL10" s="277"/>
      <c r="AM10" s="275"/>
      <c r="AN10" s="275"/>
      <c r="AO10" s="275"/>
      <c r="AP10" s="273"/>
      <c r="AQ10" s="275"/>
      <c r="AR10" s="273"/>
      <c r="AS10" s="273"/>
      <c r="AT10" s="277"/>
      <c r="AU10" s="275"/>
      <c r="AV10" s="273"/>
      <c r="AW10" s="275"/>
      <c r="AX10" s="275"/>
      <c r="AY10" s="275"/>
      <c r="AZ10" s="275"/>
      <c r="BA10" s="275"/>
    </row>
    <row r="11">
      <c r="A11" s="272" t="s">
        <v>228</v>
      </c>
      <c r="B11" s="273" t="s">
        <v>227</v>
      </c>
      <c r="C11" s="273">
        <v>8.0</v>
      </c>
      <c r="D11" s="273">
        <v>3.3420619E7</v>
      </c>
      <c r="E11" s="274">
        <v>8.0</v>
      </c>
      <c r="F11" s="274">
        <v>0.0</v>
      </c>
      <c r="G11" s="274">
        <v>0.0</v>
      </c>
      <c r="H11" s="274">
        <v>0.0</v>
      </c>
      <c r="I11" s="273">
        <v>2.0</v>
      </c>
      <c r="J11" s="273">
        <v>0.0</v>
      </c>
      <c r="K11" s="273">
        <v>6.0</v>
      </c>
      <c r="L11" s="273">
        <v>8.0</v>
      </c>
      <c r="M11" s="273">
        <v>2.0</v>
      </c>
      <c r="N11" s="273" t="s">
        <v>1297</v>
      </c>
      <c r="P11" s="273"/>
      <c r="Q11" s="273"/>
      <c r="R11" s="273"/>
      <c r="S11" s="273"/>
      <c r="T11" s="276"/>
      <c r="U11" s="275"/>
      <c r="V11" s="273"/>
      <c r="W11" s="273"/>
      <c r="X11" s="273"/>
      <c r="Y11" s="273"/>
      <c r="Z11" s="273"/>
      <c r="AA11" s="273"/>
      <c r="AB11" s="273"/>
      <c r="AC11" s="273"/>
      <c r="AD11" s="273"/>
      <c r="AE11" s="273"/>
      <c r="AF11" s="273"/>
      <c r="AG11" s="273"/>
      <c r="AH11" s="273"/>
      <c r="AI11" s="273"/>
      <c r="AJ11" s="273"/>
      <c r="AK11" s="273"/>
      <c r="AL11" s="277"/>
      <c r="AM11" s="275"/>
      <c r="AN11" s="273"/>
      <c r="AO11" s="275"/>
      <c r="AP11" s="275"/>
      <c r="AQ11" s="273"/>
      <c r="AR11" s="273"/>
      <c r="AS11" s="273"/>
      <c r="AT11" s="277"/>
      <c r="AU11" s="275"/>
      <c r="AV11" s="273"/>
      <c r="AW11" s="275"/>
      <c r="AX11" s="275"/>
      <c r="AY11" s="275"/>
      <c r="AZ11" s="275"/>
      <c r="BA11" s="275"/>
    </row>
    <row r="12">
      <c r="A12" s="272" t="s">
        <v>246</v>
      </c>
      <c r="B12" s="273" t="s">
        <v>245</v>
      </c>
      <c r="C12" s="273">
        <v>1.0</v>
      </c>
      <c r="D12" s="273">
        <v>2.21153992E8</v>
      </c>
      <c r="E12" s="274">
        <v>1.0</v>
      </c>
      <c r="F12" s="274">
        <v>0.0</v>
      </c>
      <c r="G12" s="274">
        <v>0.0</v>
      </c>
      <c r="H12" s="274">
        <v>0.0</v>
      </c>
      <c r="I12" s="273">
        <v>0.0</v>
      </c>
      <c r="J12" s="273">
        <v>0.0</v>
      </c>
      <c r="K12" s="273">
        <v>1.0</v>
      </c>
      <c r="L12" s="273">
        <v>2.0</v>
      </c>
      <c r="M12" s="273">
        <v>0.0</v>
      </c>
      <c r="N12" s="273" t="s">
        <v>1297</v>
      </c>
      <c r="P12" s="273"/>
      <c r="Q12" s="275"/>
      <c r="R12" s="275"/>
      <c r="S12" s="273"/>
      <c r="T12" s="276"/>
      <c r="U12" s="276"/>
      <c r="V12" s="273"/>
      <c r="W12" s="273"/>
      <c r="X12" s="273"/>
      <c r="Y12" s="273"/>
      <c r="Z12" s="273"/>
      <c r="AA12" s="273"/>
      <c r="AB12" s="273"/>
      <c r="AC12" s="273"/>
      <c r="AD12" s="273"/>
      <c r="AE12" s="273"/>
      <c r="AF12" s="273"/>
      <c r="AG12" s="273"/>
      <c r="AH12" s="273"/>
      <c r="AI12" s="273"/>
      <c r="AJ12" s="273"/>
      <c r="AK12" s="273"/>
      <c r="AL12" s="273"/>
      <c r="AM12" s="273"/>
      <c r="AN12" s="275"/>
      <c r="AO12" s="275"/>
      <c r="AP12" s="275"/>
      <c r="AQ12" s="273"/>
      <c r="AR12" s="273"/>
      <c r="AS12" s="273"/>
      <c r="AT12" s="273"/>
      <c r="AU12" s="275"/>
      <c r="AV12" s="273"/>
      <c r="AW12" s="275"/>
      <c r="AX12" s="275"/>
      <c r="AY12" s="275"/>
      <c r="AZ12" s="275"/>
      <c r="BA12" s="275"/>
    </row>
    <row r="13">
      <c r="A13" s="272" t="s">
        <v>259</v>
      </c>
      <c r="B13" s="273" t="s">
        <v>258</v>
      </c>
      <c r="C13" s="273">
        <v>2.0</v>
      </c>
      <c r="D13" s="273">
        <v>1.7536231E7</v>
      </c>
      <c r="E13" s="274">
        <v>1.0</v>
      </c>
      <c r="F13" s="274">
        <v>1.0</v>
      </c>
      <c r="G13" s="274">
        <v>0.0</v>
      </c>
      <c r="H13" s="274">
        <v>0.0</v>
      </c>
      <c r="I13" s="273">
        <v>0.0</v>
      </c>
      <c r="J13" s="273">
        <v>1.0</v>
      </c>
      <c r="K13" s="273">
        <v>1.0</v>
      </c>
      <c r="L13" s="273">
        <v>8.0</v>
      </c>
      <c r="M13" s="273">
        <v>1.0</v>
      </c>
      <c r="N13" s="273" t="s">
        <v>1297</v>
      </c>
      <c r="P13" s="273"/>
      <c r="Q13" s="275"/>
      <c r="R13" s="275"/>
      <c r="S13" s="273"/>
      <c r="T13" s="276"/>
      <c r="U13" s="276"/>
      <c r="V13" s="273"/>
      <c r="W13" s="273"/>
      <c r="X13" s="273"/>
      <c r="Y13" s="273"/>
      <c r="Z13" s="273"/>
      <c r="AA13" s="273"/>
      <c r="AB13" s="273"/>
      <c r="AC13" s="273"/>
      <c r="AD13" s="273"/>
      <c r="AE13" s="273"/>
      <c r="AF13" s="273"/>
      <c r="AG13" s="273"/>
      <c r="AH13" s="273"/>
      <c r="AI13" s="273"/>
      <c r="AJ13" s="273"/>
      <c r="AK13" s="273"/>
      <c r="AL13" s="273"/>
      <c r="AM13" s="273"/>
      <c r="AN13" s="275"/>
      <c r="AO13" s="275"/>
      <c r="AP13" s="275"/>
      <c r="AQ13" s="273"/>
      <c r="AR13" s="273"/>
      <c r="AS13" s="273"/>
      <c r="AT13" s="273"/>
      <c r="AU13" s="275"/>
      <c r="AV13" s="273"/>
      <c r="AW13" s="275"/>
      <c r="AX13" s="275"/>
      <c r="AY13" s="275"/>
      <c r="AZ13" s="275"/>
      <c r="BA13" s="275"/>
    </row>
    <row r="14">
      <c r="A14" s="272" t="s">
        <v>281</v>
      </c>
      <c r="B14" s="273" t="s">
        <v>280</v>
      </c>
      <c r="C14" s="273">
        <v>0.0</v>
      </c>
      <c r="D14" s="273">
        <v>1.786503E7</v>
      </c>
      <c r="E14" s="274">
        <v>0.0</v>
      </c>
      <c r="F14" s="274">
        <v>0.0</v>
      </c>
      <c r="G14" s="274">
        <v>0.0</v>
      </c>
      <c r="H14" s="274">
        <v>0.0</v>
      </c>
      <c r="I14" s="273">
        <v>0.0</v>
      </c>
      <c r="J14" s="273">
        <v>0.0</v>
      </c>
      <c r="K14" s="273">
        <v>0.0</v>
      </c>
      <c r="L14" s="273">
        <v>4.0</v>
      </c>
      <c r="M14" s="273">
        <v>1.0</v>
      </c>
      <c r="N14" s="273" t="s">
        <v>1297</v>
      </c>
      <c r="P14" s="273"/>
      <c r="Q14" s="275"/>
      <c r="R14" s="275"/>
      <c r="S14" s="273"/>
      <c r="T14" s="276"/>
      <c r="U14" s="276"/>
      <c r="V14" s="273"/>
      <c r="W14" s="273"/>
      <c r="X14" s="273"/>
      <c r="Y14" s="273"/>
      <c r="Z14" s="273"/>
      <c r="AA14" s="273"/>
      <c r="AB14" s="273"/>
      <c r="AC14" s="273"/>
      <c r="AD14" s="273"/>
      <c r="AE14" s="273"/>
      <c r="AF14" s="273"/>
      <c r="AG14" s="273"/>
      <c r="AH14" s="273"/>
      <c r="AI14" s="273"/>
      <c r="AJ14" s="273"/>
      <c r="AK14" s="273"/>
      <c r="AL14" s="273"/>
      <c r="AM14" s="273"/>
      <c r="AN14" s="275"/>
      <c r="AO14" s="275"/>
      <c r="AP14" s="275"/>
      <c r="AQ14" s="273"/>
      <c r="AR14" s="273"/>
      <c r="AS14" s="273"/>
      <c r="AT14" s="273"/>
      <c r="AU14" s="275"/>
      <c r="AV14" s="273"/>
      <c r="AW14" s="275"/>
      <c r="AX14" s="275"/>
      <c r="AY14" s="275"/>
      <c r="AZ14" s="275"/>
      <c r="BA14" s="275"/>
    </row>
    <row r="15">
      <c r="A15" s="272" t="s">
        <v>292</v>
      </c>
      <c r="B15" s="273" t="s">
        <v>291</v>
      </c>
      <c r="C15" s="273">
        <v>1.0</v>
      </c>
      <c r="D15" s="273">
        <v>4.7486909E7</v>
      </c>
      <c r="E15" s="274">
        <v>0.0</v>
      </c>
      <c r="F15" s="274">
        <v>0.0</v>
      </c>
      <c r="G15" s="274">
        <v>1.0</v>
      </c>
      <c r="H15" s="274">
        <v>0.0</v>
      </c>
      <c r="I15" s="273">
        <v>0.0</v>
      </c>
      <c r="J15" s="273">
        <v>0.0</v>
      </c>
      <c r="K15" s="273">
        <v>1.0</v>
      </c>
      <c r="L15" s="273">
        <v>13.0</v>
      </c>
      <c r="M15" s="273">
        <v>0.0</v>
      </c>
      <c r="N15" s="273" t="s">
        <v>1297</v>
      </c>
      <c r="P15" s="273"/>
      <c r="Q15" s="275"/>
      <c r="R15" s="275"/>
      <c r="S15" s="273"/>
      <c r="T15" s="276"/>
      <c r="U15" s="276"/>
      <c r="V15" s="273"/>
      <c r="W15" s="273"/>
      <c r="X15" s="273"/>
      <c r="Y15" s="273"/>
      <c r="Z15" s="273"/>
      <c r="AA15" s="273"/>
      <c r="AB15" s="273"/>
      <c r="AC15" s="273"/>
      <c r="AD15" s="273"/>
      <c r="AE15" s="273"/>
      <c r="AF15" s="273"/>
      <c r="AG15" s="273"/>
      <c r="AH15" s="273"/>
      <c r="AI15" s="273"/>
      <c r="AJ15" s="273"/>
      <c r="AK15" s="273"/>
      <c r="AL15" s="273"/>
      <c r="AM15" s="273"/>
      <c r="AN15" s="275"/>
      <c r="AO15" s="275"/>
      <c r="AP15" s="275"/>
      <c r="AQ15" s="273"/>
      <c r="AR15" s="273"/>
      <c r="AS15" s="273"/>
      <c r="AT15" s="273"/>
      <c r="AU15" s="275"/>
      <c r="AV15" s="273"/>
      <c r="AW15" s="275"/>
      <c r="AX15" s="275"/>
      <c r="AY15" s="275"/>
      <c r="AZ15" s="275"/>
      <c r="BA15" s="275"/>
    </row>
    <row r="16">
      <c r="A16" s="272" t="s">
        <v>359</v>
      </c>
      <c r="B16" s="273" t="s">
        <v>358</v>
      </c>
      <c r="C16" s="273">
        <v>0.0</v>
      </c>
      <c r="D16" s="273">
        <v>120000.0</v>
      </c>
      <c r="E16" s="274">
        <v>0.0</v>
      </c>
      <c r="F16" s="274">
        <v>0.0</v>
      </c>
      <c r="G16" s="274">
        <v>0.0</v>
      </c>
      <c r="H16" s="274">
        <v>0.0</v>
      </c>
      <c r="I16" s="273">
        <v>0.0</v>
      </c>
      <c r="J16" s="273">
        <v>0.0</v>
      </c>
      <c r="K16" s="273">
        <v>0.0</v>
      </c>
      <c r="L16" s="273">
        <v>3.0</v>
      </c>
      <c r="M16" s="273">
        <v>0.0</v>
      </c>
      <c r="N16" s="273" t="s">
        <v>1298</v>
      </c>
      <c r="P16" s="273"/>
      <c r="Q16" s="275"/>
      <c r="R16" s="275"/>
      <c r="S16" s="273"/>
      <c r="T16" s="276"/>
      <c r="U16" s="276"/>
      <c r="V16" s="273"/>
      <c r="W16" s="273"/>
      <c r="X16" s="273"/>
      <c r="Y16" s="273"/>
      <c r="Z16" s="273"/>
      <c r="AA16" s="273"/>
      <c r="AB16" s="273"/>
      <c r="AC16" s="273"/>
      <c r="AD16" s="273"/>
      <c r="AE16" s="273"/>
      <c r="AF16" s="273"/>
      <c r="AG16" s="273"/>
      <c r="AH16" s="273"/>
      <c r="AI16" s="273"/>
      <c r="AJ16" s="273"/>
      <c r="AK16" s="273"/>
      <c r="AL16" s="273"/>
      <c r="AM16" s="273"/>
      <c r="AN16" s="275"/>
      <c r="AO16" s="275"/>
      <c r="AP16" s="275"/>
      <c r="AQ16" s="273"/>
      <c r="AR16" s="273"/>
      <c r="AS16" s="273"/>
      <c r="AT16" s="273"/>
      <c r="AU16" s="275"/>
      <c r="AV16" s="273"/>
      <c r="AW16" s="275"/>
      <c r="AX16" s="275"/>
      <c r="AY16" s="275"/>
      <c r="AZ16" s="275"/>
      <c r="BA16" s="275"/>
    </row>
    <row r="17">
      <c r="A17" s="272" t="s">
        <v>371</v>
      </c>
      <c r="B17" s="273" t="s">
        <v>370</v>
      </c>
      <c r="C17" s="273">
        <v>4.0</v>
      </c>
      <c r="D17" s="273">
        <v>1.72075151E8</v>
      </c>
      <c r="E17" s="274">
        <v>4.0</v>
      </c>
      <c r="F17" s="274">
        <v>0.0</v>
      </c>
      <c r="G17" s="274">
        <v>0.0</v>
      </c>
      <c r="H17" s="274">
        <v>0.0</v>
      </c>
      <c r="I17" s="273">
        <v>2.0</v>
      </c>
      <c r="J17" s="273">
        <v>0.0</v>
      </c>
      <c r="K17" s="273">
        <v>2.0</v>
      </c>
      <c r="L17" s="273">
        <v>10.0</v>
      </c>
      <c r="M17" s="273">
        <v>1.0</v>
      </c>
      <c r="N17" s="273" t="s">
        <v>1298</v>
      </c>
      <c r="P17" s="273"/>
      <c r="Q17" s="273"/>
      <c r="R17" s="275"/>
      <c r="S17" s="273"/>
      <c r="T17" s="276"/>
      <c r="U17" s="276"/>
      <c r="V17" s="273"/>
      <c r="W17" s="273"/>
      <c r="X17" s="273"/>
      <c r="Y17" s="273"/>
      <c r="Z17" s="273"/>
      <c r="AA17" s="273"/>
      <c r="AB17" s="273"/>
      <c r="AC17" s="273"/>
      <c r="AD17" s="273"/>
      <c r="AE17" s="273"/>
      <c r="AF17" s="273"/>
      <c r="AG17" s="273"/>
      <c r="AH17" s="273"/>
      <c r="AI17" s="273"/>
      <c r="AJ17" s="273"/>
      <c r="AK17" s="273"/>
      <c r="AL17" s="273"/>
      <c r="AM17" s="273"/>
      <c r="AN17" s="275"/>
      <c r="AO17" s="275"/>
      <c r="AP17" s="275"/>
      <c r="AQ17" s="273"/>
      <c r="AR17" s="273"/>
      <c r="AS17" s="273"/>
      <c r="AT17" s="273"/>
      <c r="AU17" s="275"/>
      <c r="AV17" s="273"/>
      <c r="AW17" s="275"/>
      <c r="AX17" s="275"/>
      <c r="AY17" s="275"/>
      <c r="AZ17" s="275"/>
      <c r="BA17" s="275"/>
    </row>
    <row r="18">
      <c r="A18" s="272" t="s">
        <v>394</v>
      </c>
      <c r="B18" s="273" t="s">
        <v>393</v>
      </c>
      <c r="C18" s="273">
        <v>0.0</v>
      </c>
      <c r="D18" s="273">
        <v>1.425849288E9</v>
      </c>
      <c r="E18" s="274">
        <v>0.0</v>
      </c>
      <c r="F18" s="274">
        <v>0.0</v>
      </c>
      <c r="G18" s="274">
        <v>0.0</v>
      </c>
      <c r="H18" s="274">
        <v>0.0</v>
      </c>
      <c r="I18" s="273">
        <v>0.0</v>
      </c>
      <c r="J18" s="273">
        <v>0.0</v>
      </c>
      <c r="K18" s="273">
        <v>0.0</v>
      </c>
      <c r="L18" s="273">
        <v>4.0</v>
      </c>
      <c r="M18" s="273">
        <v>4.0</v>
      </c>
      <c r="N18" s="273" t="s">
        <v>1298</v>
      </c>
      <c r="P18" s="273"/>
      <c r="Q18" s="275"/>
      <c r="R18" s="275"/>
      <c r="S18" s="273"/>
      <c r="T18" s="276"/>
      <c r="U18" s="276"/>
      <c r="V18" s="273"/>
      <c r="W18" s="273"/>
      <c r="X18" s="273"/>
      <c r="Y18" s="273"/>
      <c r="Z18" s="273"/>
      <c r="AA18" s="273"/>
      <c r="AB18" s="273"/>
      <c r="AC18" s="273"/>
      <c r="AD18" s="273"/>
      <c r="AE18" s="273"/>
      <c r="AF18" s="273"/>
      <c r="AG18" s="273"/>
      <c r="AH18" s="273"/>
      <c r="AI18" s="273"/>
      <c r="AJ18" s="273"/>
      <c r="AK18" s="273"/>
      <c r="AL18" s="273"/>
      <c r="AM18" s="273"/>
      <c r="AN18" s="275"/>
      <c r="AO18" s="275"/>
      <c r="AP18" s="275"/>
      <c r="AQ18" s="273"/>
      <c r="AR18" s="273"/>
      <c r="AS18" s="273"/>
      <c r="AT18" s="273"/>
      <c r="AU18" s="275"/>
      <c r="AV18" s="273"/>
      <c r="AW18" s="275"/>
      <c r="AX18" s="275"/>
      <c r="AY18" s="275"/>
      <c r="AZ18" s="275"/>
      <c r="BA18" s="275"/>
    </row>
    <row r="19">
      <c r="A19" s="272" t="s">
        <v>403</v>
      </c>
      <c r="B19" s="273" t="s">
        <v>402</v>
      </c>
      <c r="C19" s="273">
        <v>0.0</v>
      </c>
      <c r="D19" s="273">
        <v>2.6116716E7</v>
      </c>
      <c r="E19" s="274">
        <v>0.0</v>
      </c>
      <c r="F19" s="274">
        <v>0.0</v>
      </c>
      <c r="G19" s="274">
        <v>0.0</v>
      </c>
      <c r="H19" s="274">
        <v>0.0</v>
      </c>
      <c r="I19" s="273">
        <v>0.0</v>
      </c>
      <c r="J19" s="273">
        <v>0.0</v>
      </c>
      <c r="K19" s="273">
        <v>0.0</v>
      </c>
      <c r="L19" s="273">
        <v>3.0</v>
      </c>
      <c r="M19" s="273">
        <v>3.0</v>
      </c>
      <c r="N19" s="273" t="s">
        <v>1298</v>
      </c>
      <c r="P19" s="273"/>
      <c r="Q19" s="275"/>
      <c r="R19" s="275"/>
      <c r="S19" s="273"/>
      <c r="T19" s="276"/>
      <c r="U19" s="275"/>
      <c r="V19" s="273"/>
      <c r="W19" s="273"/>
      <c r="X19" s="273"/>
      <c r="Y19" s="273"/>
      <c r="Z19" s="273"/>
      <c r="AA19" s="273"/>
      <c r="AB19" s="273"/>
      <c r="AC19" s="273"/>
      <c r="AD19" s="273"/>
      <c r="AE19" s="273"/>
      <c r="AF19" s="273"/>
      <c r="AG19" s="273"/>
      <c r="AH19" s="273"/>
      <c r="AI19" s="273"/>
      <c r="AJ19" s="273"/>
      <c r="AK19" s="273"/>
      <c r="AL19" s="277"/>
      <c r="AM19" s="275"/>
      <c r="AN19" s="273"/>
      <c r="AO19" s="275"/>
      <c r="AP19" s="275"/>
      <c r="AQ19" s="273"/>
      <c r="AR19" s="273"/>
      <c r="AS19" s="273"/>
      <c r="AT19" s="277"/>
      <c r="AU19" s="275"/>
      <c r="AV19" s="273"/>
      <c r="AW19" s="275"/>
      <c r="AX19" s="275"/>
      <c r="AY19" s="275"/>
      <c r="AZ19" s="275"/>
      <c r="BA19" s="275"/>
    </row>
    <row r="20">
      <c r="A20" s="272" t="s">
        <v>417</v>
      </c>
      <c r="B20" s="273" t="s">
        <v>416</v>
      </c>
      <c r="C20" s="273">
        <v>23.0</v>
      </c>
      <c r="D20" s="273">
        <v>1.422026528E9</v>
      </c>
      <c r="E20" s="274">
        <v>13.0</v>
      </c>
      <c r="F20" s="274">
        <v>0.0</v>
      </c>
      <c r="G20" s="274">
        <v>10.0</v>
      </c>
      <c r="H20" s="274">
        <v>0.0</v>
      </c>
      <c r="I20" s="273">
        <v>0.0</v>
      </c>
      <c r="J20" s="273">
        <v>23.0</v>
      </c>
      <c r="K20" s="273">
        <v>0.0</v>
      </c>
      <c r="L20" s="273">
        <v>136.0</v>
      </c>
      <c r="M20" s="273">
        <v>2.0</v>
      </c>
      <c r="N20" s="273" t="s">
        <v>1298</v>
      </c>
      <c r="P20" s="273"/>
      <c r="Q20" s="275"/>
      <c r="R20" s="275"/>
      <c r="S20" s="273"/>
      <c r="T20" s="276"/>
      <c r="U20" s="275"/>
      <c r="V20" s="273"/>
      <c r="W20" s="273"/>
      <c r="X20" s="273"/>
      <c r="Y20" s="273"/>
      <c r="Z20" s="273"/>
      <c r="AA20" s="273"/>
      <c r="AB20" s="273"/>
      <c r="AC20" s="273"/>
      <c r="AD20" s="273"/>
      <c r="AE20" s="273"/>
      <c r="AF20" s="273"/>
      <c r="AG20" s="273"/>
      <c r="AH20" s="273"/>
      <c r="AI20" s="273"/>
      <c r="AJ20" s="273"/>
      <c r="AK20" s="273"/>
      <c r="AL20" s="277"/>
      <c r="AM20" s="275"/>
      <c r="AN20" s="273"/>
      <c r="AO20" s="275"/>
      <c r="AP20" s="275"/>
      <c r="AQ20" s="273"/>
      <c r="AR20" s="273"/>
      <c r="AS20" s="273"/>
      <c r="AT20" s="277"/>
      <c r="AU20" s="275"/>
      <c r="AV20" s="273"/>
      <c r="AW20" s="275"/>
      <c r="AX20" s="275"/>
      <c r="AY20" s="275"/>
      <c r="AZ20" s="275"/>
      <c r="BA20" s="275"/>
    </row>
    <row r="21">
      <c r="A21" s="272" t="s">
        <v>523</v>
      </c>
      <c r="B21" s="273" t="s">
        <v>522</v>
      </c>
      <c r="C21" s="273">
        <v>1.0</v>
      </c>
      <c r="D21" s="273">
        <v>8.8844498E7</v>
      </c>
      <c r="E21" s="274">
        <v>0.0</v>
      </c>
      <c r="F21" s="274">
        <v>0.0</v>
      </c>
      <c r="G21" s="274">
        <v>1.0</v>
      </c>
      <c r="H21" s="274">
        <v>0.0</v>
      </c>
      <c r="I21" s="273">
        <v>0.0</v>
      </c>
      <c r="J21" s="273">
        <v>0.0</v>
      </c>
      <c r="K21" s="273">
        <v>1.0</v>
      </c>
      <c r="L21" s="273">
        <v>57.0</v>
      </c>
      <c r="M21" s="273">
        <v>4.0</v>
      </c>
      <c r="N21" s="273" t="s">
        <v>1298</v>
      </c>
      <c r="P21" s="273"/>
      <c r="Q21" s="275"/>
      <c r="R21" s="275"/>
      <c r="S21" s="273"/>
      <c r="T21" s="276"/>
      <c r="U21" s="276"/>
      <c r="V21" s="273"/>
      <c r="W21" s="273"/>
      <c r="X21" s="273"/>
      <c r="Y21" s="273"/>
      <c r="Z21" s="273"/>
      <c r="AA21" s="273"/>
      <c r="AB21" s="273"/>
      <c r="AC21" s="273"/>
      <c r="AD21" s="273"/>
      <c r="AE21" s="273"/>
      <c r="AF21" s="273"/>
      <c r="AG21" s="273"/>
      <c r="AH21" s="273"/>
      <c r="AI21" s="273"/>
      <c r="AJ21" s="273"/>
      <c r="AK21" s="273"/>
      <c r="AL21" s="273"/>
      <c r="AM21" s="273"/>
      <c r="AN21" s="275"/>
      <c r="AO21" s="275"/>
      <c r="AP21" s="275"/>
      <c r="AQ21" s="273"/>
      <c r="AR21" s="273"/>
      <c r="AS21" s="273"/>
      <c r="AT21" s="273"/>
      <c r="AU21" s="275"/>
      <c r="AV21" s="273"/>
      <c r="AW21" s="275"/>
      <c r="AX21" s="275"/>
      <c r="AY21" s="275"/>
      <c r="AZ21" s="275"/>
      <c r="BA21" s="275"/>
    </row>
    <row r="22">
      <c r="A22" s="272" t="s">
        <v>590</v>
      </c>
      <c r="B22" s="273" t="s">
        <v>589</v>
      </c>
      <c r="C22" s="273">
        <v>0.0</v>
      </c>
      <c r="D22" s="273">
        <v>4.4996074E7</v>
      </c>
      <c r="E22" s="274">
        <v>0.0</v>
      </c>
      <c r="F22" s="274">
        <v>0.0</v>
      </c>
      <c r="G22" s="274">
        <v>0.0</v>
      </c>
      <c r="H22" s="274">
        <v>0.0</v>
      </c>
      <c r="I22" s="273">
        <v>0.0</v>
      </c>
      <c r="J22" s="273">
        <v>0.0</v>
      </c>
      <c r="K22" s="273">
        <v>0.0</v>
      </c>
      <c r="L22" s="273">
        <v>7.0</v>
      </c>
      <c r="M22" s="273">
        <v>1.0</v>
      </c>
      <c r="N22" s="273" t="s">
        <v>1298</v>
      </c>
      <c r="P22" s="273"/>
      <c r="Q22" s="275"/>
      <c r="R22" s="275"/>
      <c r="S22" s="273"/>
      <c r="T22" s="276"/>
      <c r="U22" s="276"/>
      <c r="V22" s="273"/>
      <c r="W22" s="273"/>
      <c r="X22" s="273"/>
      <c r="Y22" s="273"/>
      <c r="Z22" s="273"/>
      <c r="AA22" s="273"/>
      <c r="AB22" s="273"/>
      <c r="AC22" s="273"/>
      <c r="AD22" s="273"/>
      <c r="AE22" s="273"/>
      <c r="AF22" s="273"/>
      <c r="AG22" s="273"/>
      <c r="AH22" s="273"/>
      <c r="AI22" s="273"/>
      <c r="AJ22" s="273"/>
      <c r="AK22" s="273"/>
      <c r="AL22" s="273"/>
      <c r="AM22" s="273"/>
      <c r="AN22" s="275"/>
      <c r="AO22" s="275"/>
      <c r="AP22" s="275"/>
      <c r="AQ22" s="273"/>
      <c r="AR22" s="273"/>
      <c r="AS22" s="273"/>
      <c r="AT22" s="273"/>
      <c r="AU22" s="275"/>
      <c r="AV22" s="273"/>
      <c r="AW22" s="275"/>
      <c r="AX22" s="275"/>
      <c r="AY22" s="275"/>
      <c r="AZ22" s="275"/>
      <c r="BA22" s="275"/>
    </row>
    <row r="23">
      <c r="A23" s="272" t="s">
        <v>604</v>
      </c>
      <c r="B23" s="273" t="s">
        <v>603</v>
      </c>
      <c r="C23" s="273">
        <v>2.0</v>
      </c>
      <c r="D23" s="273">
        <v>1.360632E7</v>
      </c>
      <c r="E23" s="274">
        <v>1.0</v>
      </c>
      <c r="F23" s="274">
        <v>0.0</v>
      </c>
      <c r="G23" s="274">
        <v>1.0</v>
      </c>
      <c r="H23" s="274">
        <v>0.0</v>
      </c>
      <c r="I23" s="273">
        <v>0.0</v>
      </c>
      <c r="J23" s="273">
        <v>2.0</v>
      </c>
      <c r="K23" s="273">
        <v>0.0</v>
      </c>
      <c r="L23" s="273">
        <v>330.0</v>
      </c>
      <c r="M23" s="273">
        <v>0.0</v>
      </c>
      <c r="N23" s="273" t="s">
        <v>1298</v>
      </c>
      <c r="P23" s="273"/>
      <c r="Q23" s="275"/>
      <c r="R23" s="275"/>
      <c r="S23" s="273"/>
      <c r="T23" s="276"/>
      <c r="U23" s="276"/>
      <c r="V23" s="273"/>
      <c r="W23" s="273"/>
      <c r="X23" s="273"/>
      <c r="Y23" s="273"/>
      <c r="Z23" s="273"/>
      <c r="AA23" s="273"/>
      <c r="AB23" s="273"/>
      <c r="AC23" s="273"/>
      <c r="AD23" s="273"/>
      <c r="AE23" s="273"/>
      <c r="AF23" s="273"/>
      <c r="AG23" s="273"/>
      <c r="AH23" s="273"/>
      <c r="AI23" s="273"/>
      <c r="AJ23" s="273"/>
      <c r="AK23" s="273"/>
      <c r="AL23" s="273"/>
      <c r="AM23" s="273"/>
      <c r="AN23" s="275"/>
      <c r="AO23" s="275"/>
      <c r="AP23" s="275"/>
      <c r="AQ23" s="273"/>
      <c r="AR23" s="273"/>
      <c r="AS23" s="273"/>
      <c r="AT23" s="273"/>
      <c r="AU23" s="275"/>
      <c r="AV23" s="273"/>
      <c r="AW23" s="275"/>
      <c r="AX23" s="275"/>
      <c r="AY23" s="275"/>
      <c r="AZ23" s="275"/>
      <c r="BA23" s="275"/>
    </row>
    <row r="24">
      <c r="A24" s="272" t="s">
        <v>642</v>
      </c>
      <c r="B24" s="273" t="s">
        <v>641</v>
      </c>
      <c r="C24" s="273">
        <v>0.0</v>
      </c>
      <c r="D24" s="273">
        <v>1.1315547E7</v>
      </c>
      <c r="E24" s="274">
        <v>0.0</v>
      </c>
      <c r="F24" s="274">
        <v>0.0</v>
      </c>
      <c r="G24" s="274">
        <v>0.0</v>
      </c>
      <c r="H24" s="274">
        <v>0.0</v>
      </c>
      <c r="I24" s="273">
        <v>0.0</v>
      </c>
      <c r="J24" s="273">
        <v>0.0</v>
      </c>
      <c r="K24" s="273">
        <v>0.0</v>
      </c>
      <c r="L24" s="273">
        <v>5.0</v>
      </c>
      <c r="M24" s="273">
        <v>1.0</v>
      </c>
      <c r="N24" s="273" t="s">
        <v>1298</v>
      </c>
      <c r="P24" s="273"/>
      <c r="Q24" s="275"/>
      <c r="R24" s="275"/>
      <c r="S24" s="273"/>
      <c r="T24" s="276"/>
      <c r="U24" s="276"/>
      <c r="V24" s="273"/>
      <c r="W24" s="273"/>
      <c r="X24" s="273"/>
      <c r="Y24" s="273"/>
      <c r="Z24" s="273"/>
      <c r="AA24" s="273"/>
      <c r="AB24" s="273"/>
      <c r="AC24" s="273"/>
      <c r="AD24" s="273"/>
      <c r="AE24" s="273"/>
      <c r="AF24" s="273"/>
      <c r="AG24" s="273"/>
      <c r="AH24" s="273"/>
      <c r="AI24" s="273"/>
      <c r="AJ24" s="273"/>
      <c r="AK24" s="273"/>
      <c r="AL24" s="273"/>
      <c r="AM24" s="273"/>
      <c r="AN24" s="275"/>
      <c r="AO24" s="275"/>
      <c r="AP24" s="275"/>
      <c r="AQ24" s="273"/>
      <c r="AR24" s="273"/>
      <c r="AS24" s="273"/>
      <c r="AT24" s="273"/>
      <c r="AU24" s="275"/>
      <c r="AV24" s="273"/>
      <c r="AW24" s="275"/>
      <c r="AX24" s="275"/>
      <c r="AY24" s="275"/>
      <c r="AZ24" s="275"/>
      <c r="BA24" s="275"/>
    </row>
    <row r="25">
      <c r="A25" s="272" t="s">
        <v>681</v>
      </c>
      <c r="B25" s="273" t="s">
        <v>680</v>
      </c>
      <c r="C25" s="273">
        <v>0.0</v>
      </c>
      <c r="D25" s="273">
        <v>5.4380868E7</v>
      </c>
      <c r="E25" s="274">
        <v>0.0</v>
      </c>
      <c r="F25" s="274">
        <v>0.0</v>
      </c>
      <c r="G25" s="274">
        <v>0.0</v>
      </c>
      <c r="H25" s="274">
        <v>0.0</v>
      </c>
      <c r="I25" s="273">
        <v>0.0</v>
      </c>
      <c r="J25" s="273">
        <v>0.0</v>
      </c>
      <c r="K25" s="273">
        <v>0.0</v>
      </c>
      <c r="L25" s="273">
        <v>6.0</v>
      </c>
      <c r="M25" s="273">
        <v>2.0</v>
      </c>
      <c r="N25" s="273" t="s">
        <v>1298</v>
      </c>
      <c r="P25" s="273"/>
      <c r="Q25" s="275"/>
      <c r="R25" s="275"/>
      <c r="S25" s="273"/>
      <c r="T25" s="276"/>
      <c r="U25" s="275"/>
      <c r="V25" s="273"/>
      <c r="W25" s="273"/>
      <c r="X25" s="273"/>
      <c r="Y25" s="273"/>
      <c r="Z25" s="273"/>
      <c r="AA25" s="273"/>
      <c r="AB25" s="273"/>
      <c r="AC25" s="273"/>
      <c r="AD25" s="273"/>
      <c r="AE25" s="273"/>
      <c r="AF25" s="273"/>
      <c r="AG25" s="273"/>
      <c r="AH25" s="273"/>
      <c r="AI25" s="273"/>
      <c r="AJ25" s="273"/>
      <c r="AK25" s="273"/>
      <c r="AL25" s="277"/>
      <c r="AM25" s="275"/>
      <c r="AN25" s="275"/>
      <c r="AO25" s="275"/>
      <c r="AP25" s="273"/>
      <c r="AQ25" s="275"/>
      <c r="AR25" s="273"/>
      <c r="AS25" s="273"/>
      <c r="AT25" s="277"/>
      <c r="AU25" s="275"/>
      <c r="AV25" s="273"/>
      <c r="AW25" s="275"/>
      <c r="AX25" s="275"/>
      <c r="AY25" s="275"/>
      <c r="AZ25" s="275"/>
      <c r="BA25" s="275"/>
    </row>
    <row r="26">
      <c r="A26" s="272" t="s">
        <v>697</v>
      </c>
      <c r="B26" s="273" t="s">
        <v>696</v>
      </c>
      <c r="C26" s="273">
        <v>0.0</v>
      </c>
      <c r="D26" s="273">
        <v>4609315.0</v>
      </c>
      <c r="E26" s="274">
        <v>0.0</v>
      </c>
      <c r="F26" s="274">
        <v>0.0</v>
      </c>
      <c r="G26" s="274">
        <v>0.0</v>
      </c>
      <c r="H26" s="274">
        <v>0.0</v>
      </c>
      <c r="I26" s="273">
        <v>0.0</v>
      </c>
      <c r="J26" s="273">
        <v>0.0</v>
      </c>
      <c r="K26" s="273">
        <v>0.0</v>
      </c>
      <c r="L26" s="273">
        <v>3.0</v>
      </c>
      <c r="M26" s="273">
        <v>3.0</v>
      </c>
      <c r="N26" s="273" t="s">
        <v>1298</v>
      </c>
      <c r="P26" s="273"/>
      <c r="Q26" s="275"/>
      <c r="R26" s="275"/>
      <c r="S26" s="273"/>
      <c r="T26" s="276"/>
      <c r="U26" s="275"/>
      <c r="V26" s="273"/>
      <c r="W26" s="273"/>
      <c r="X26" s="273"/>
      <c r="Y26" s="273"/>
      <c r="Z26" s="273"/>
      <c r="AA26" s="273"/>
      <c r="AB26" s="273"/>
      <c r="AC26" s="273"/>
      <c r="AD26" s="273"/>
      <c r="AE26" s="273"/>
      <c r="AF26" s="273"/>
      <c r="AG26" s="273"/>
      <c r="AH26" s="273"/>
      <c r="AI26" s="273"/>
      <c r="AJ26" s="273"/>
      <c r="AK26" s="273"/>
      <c r="AL26" s="277"/>
      <c r="AM26" s="275"/>
      <c r="AN26" s="275"/>
      <c r="AO26" s="275"/>
      <c r="AP26" s="273"/>
      <c r="AQ26" s="275"/>
      <c r="AR26" s="273"/>
      <c r="AS26" s="273"/>
      <c r="AT26" s="277"/>
      <c r="AU26" s="275"/>
      <c r="AV26" s="273"/>
      <c r="AW26" s="275"/>
      <c r="AX26" s="275"/>
      <c r="AY26" s="275"/>
      <c r="AZ26" s="275"/>
      <c r="BA26" s="275"/>
    </row>
    <row r="27">
      <c r="A27" s="272" t="s">
        <v>704</v>
      </c>
      <c r="B27" s="273" t="s">
        <v>703</v>
      </c>
      <c r="C27" s="273">
        <v>8.0</v>
      </c>
      <c r="D27" s="273">
        <v>2.38126113E8</v>
      </c>
      <c r="E27" s="274">
        <v>1.0</v>
      </c>
      <c r="F27" s="274">
        <v>3.0</v>
      </c>
      <c r="G27" s="274">
        <v>3.0</v>
      </c>
      <c r="H27" s="274">
        <v>1.0</v>
      </c>
      <c r="I27" s="273">
        <v>6.0</v>
      </c>
      <c r="J27" s="273">
        <v>1.0</v>
      </c>
      <c r="K27" s="273">
        <v>1.0</v>
      </c>
      <c r="L27" s="273">
        <v>24.0</v>
      </c>
      <c r="M27" s="273">
        <v>4.0</v>
      </c>
      <c r="N27" s="273" t="s">
        <v>1298</v>
      </c>
      <c r="P27" s="273"/>
      <c r="Q27" s="273"/>
      <c r="R27" s="275"/>
      <c r="S27" s="273"/>
      <c r="T27" s="276"/>
      <c r="U27" s="275"/>
      <c r="V27" s="273"/>
      <c r="W27" s="273"/>
      <c r="X27" s="273"/>
      <c r="Y27" s="273"/>
      <c r="Z27" s="273"/>
      <c r="AA27" s="273"/>
      <c r="AB27" s="273"/>
      <c r="AC27" s="273"/>
      <c r="AD27" s="273"/>
      <c r="AE27" s="273"/>
      <c r="AF27" s="273"/>
      <c r="AG27" s="273"/>
      <c r="AH27" s="273"/>
      <c r="AI27" s="273"/>
      <c r="AJ27" s="273"/>
      <c r="AK27" s="273"/>
      <c r="AL27" s="277"/>
      <c r="AM27" s="275"/>
      <c r="AN27" s="273"/>
      <c r="AO27" s="275"/>
      <c r="AP27" s="275"/>
      <c r="AQ27" s="273"/>
      <c r="AR27" s="273"/>
      <c r="AS27" s="273"/>
      <c r="AT27" s="277"/>
      <c r="AU27" s="275"/>
      <c r="AV27" s="273"/>
      <c r="AW27" s="275"/>
      <c r="AX27" s="275"/>
      <c r="AY27" s="275"/>
      <c r="AZ27" s="275"/>
      <c r="BA27" s="275"/>
    </row>
    <row r="28">
      <c r="A28" s="272" t="s">
        <v>755</v>
      </c>
      <c r="B28" s="273" t="s">
        <v>754</v>
      </c>
      <c r="C28" s="273">
        <v>0.0</v>
      </c>
      <c r="D28" s="273">
        <v>2705914.0</v>
      </c>
      <c r="E28" s="274">
        <v>0.0</v>
      </c>
      <c r="F28" s="274">
        <v>0.0</v>
      </c>
      <c r="G28" s="274">
        <v>0.0</v>
      </c>
      <c r="H28" s="274">
        <v>0.0</v>
      </c>
      <c r="I28" s="273">
        <v>0.0</v>
      </c>
      <c r="J28" s="273">
        <v>0.0</v>
      </c>
      <c r="K28" s="273">
        <v>0.0</v>
      </c>
      <c r="L28" s="273">
        <v>1.0</v>
      </c>
      <c r="M28" s="273">
        <v>1.0</v>
      </c>
      <c r="N28" s="273" t="s">
        <v>1298</v>
      </c>
      <c r="P28" s="273"/>
      <c r="Q28" s="275"/>
      <c r="R28" s="275"/>
      <c r="S28" s="273"/>
      <c r="T28" s="276"/>
      <c r="U28" s="275"/>
      <c r="V28" s="273"/>
      <c r="W28" s="273"/>
      <c r="X28" s="273"/>
      <c r="Y28" s="273"/>
      <c r="Z28" s="273"/>
      <c r="AA28" s="273"/>
      <c r="AB28" s="273"/>
      <c r="AC28" s="273"/>
      <c r="AD28" s="273"/>
      <c r="AE28" s="273"/>
      <c r="AF28" s="273"/>
      <c r="AG28" s="273"/>
      <c r="AH28" s="273"/>
      <c r="AI28" s="273"/>
      <c r="AJ28" s="273"/>
      <c r="AK28" s="273"/>
      <c r="AL28" s="277"/>
      <c r="AM28" s="275"/>
      <c r="AN28" s="275"/>
      <c r="AO28" s="275"/>
      <c r="AP28" s="273"/>
      <c r="AQ28" s="275"/>
      <c r="AR28" s="273"/>
      <c r="AS28" s="273"/>
      <c r="AT28" s="277"/>
      <c r="AU28" s="275"/>
      <c r="AV28" s="273"/>
      <c r="AW28" s="275"/>
      <c r="AX28" s="275"/>
      <c r="AY28" s="275"/>
      <c r="AZ28" s="275"/>
      <c r="BA28" s="275"/>
    </row>
    <row r="29">
      <c r="A29" s="272" t="s">
        <v>779</v>
      </c>
      <c r="B29" s="273" t="s">
        <v>778</v>
      </c>
      <c r="C29" s="273">
        <v>1.0</v>
      </c>
      <c r="D29" s="273">
        <v>2.2660911E7</v>
      </c>
      <c r="E29" s="274">
        <v>0.0</v>
      </c>
      <c r="F29" s="274">
        <v>0.0</v>
      </c>
      <c r="G29" s="274">
        <v>1.0</v>
      </c>
      <c r="H29" s="274">
        <v>0.0</v>
      </c>
      <c r="I29" s="273">
        <v>0.0</v>
      </c>
      <c r="J29" s="273">
        <v>0.0</v>
      </c>
      <c r="K29" s="273">
        <v>1.0</v>
      </c>
      <c r="L29" s="273">
        <v>3.0</v>
      </c>
      <c r="M29" s="273">
        <v>0.0</v>
      </c>
      <c r="N29" s="273" t="s">
        <v>1298</v>
      </c>
      <c r="P29" s="273"/>
      <c r="Q29" s="275"/>
      <c r="R29" s="275"/>
      <c r="S29" s="273"/>
      <c r="T29" s="276"/>
      <c r="U29" s="275"/>
      <c r="V29" s="273"/>
      <c r="W29" s="273"/>
      <c r="X29" s="273"/>
      <c r="Y29" s="273"/>
      <c r="Z29" s="273"/>
      <c r="AA29" s="273"/>
      <c r="AB29" s="273"/>
      <c r="AC29" s="273"/>
      <c r="AD29" s="273"/>
      <c r="AE29" s="273"/>
      <c r="AF29" s="273"/>
      <c r="AG29" s="273"/>
      <c r="AH29" s="273"/>
      <c r="AI29" s="273"/>
      <c r="AJ29" s="273"/>
      <c r="AK29" s="273"/>
      <c r="AL29" s="277"/>
      <c r="AM29" s="275"/>
      <c r="AN29" s="275"/>
      <c r="AO29" s="275"/>
      <c r="AP29" s="273"/>
      <c r="AQ29" s="275"/>
      <c r="AR29" s="273"/>
      <c r="AS29" s="273"/>
      <c r="AT29" s="277"/>
      <c r="AU29" s="275"/>
      <c r="AV29" s="273"/>
      <c r="AW29" s="275"/>
      <c r="AX29" s="275"/>
      <c r="AY29" s="275"/>
      <c r="AZ29" s="275"/>
      <c r="BA29" s="275"/>
    </row>
    <row r="30">
      <c r="A30" s="272" t="s">
        <v>794</v>
      </c>
      <c r="B30" s="273" t="s">
        <v>793</v>
      </c>
      <c r="C30" s="273">
        <v>0.0</v>
      </c>
      <c r="D30" s="273">
        <v>7.1753808E7</v>
      </c>
      <c r="E30" s="274">
        <v>0.0</v>
      </c>
      <c r="F30" s="274">
        <v>0.0</v>
      </c>
      <c r="G30" s="274">
        <v>0.0</v>
      </c>
      <c r="H30" s="274">
        <v>0.0</v>
      </c>
      <c r="I30" s="273">
        <v>0.0</v>
      </c>
      <c r="J30" s="273">
        <v>0.0</v>
      </c>
      <c r="K30" s="273">
        <v>0.0</v>
      </c>
      <c r="L30" s="273">
        <v>1.0</v>
      </c>
      <c r="M30" s="273">
        <v>1.0</v>
      </c>
      <c r="N30" s="273" t="s">
        <v>1298</v>
      </c>
      <c r="P30" s="273"/>
      <c r="Q30" s="275"/>
      <c r="R30" s="275"/>
      <c r="S30" s="273"/>
      <c r="T30" s="276"/>
      <c r="U30" s="276"/>
      <c r="V30" s="273"/>
      <c r="W30" s="273"/>
      <c r="X30" s="273"/>
      <c r="Y30" s="273"/>
      <c r="Z30" s="273"/>
      <c r="AA30" s="273"/>
      <c r="AB30" s="273"/>
      <c r="AC30" s="273"/>
      <c r="AD30" s="273"/>
      <c r="AE30" s="273"/>
      <c r="AF30" s="273"/>
      <c r="AG30" s="273"/>
      <c r="AH30" s="273"/>
      <c r="AI30" s="273"/>
      <c r="AJ30" s="273"/>
      <c r="AK30" s="273"/>
      <c r="AL30" s="273"/>
      <c r="AM30" s="273"/>
      <c r="AN30" s="275"/>
      <c r="AO30" s="275"/>
      <c r="AP30" s="275"/>
      <c r="AQ30" s="273"/>
      <c r="AR30" s="273"/>
      <c r="AS30" s="273"/>
      <c r="AT30" s="273"/>
      <c r="AU30" s="275"/>
      <c r="AV30" s="273"/>
      <c r="AW30" s="275"/>
      <c r="AX30" s="275"/>
      <c r="AY30" s="275"/>
      <c r="AZ30" s="275"/>
      <c r="BA30" s="275"/>
    </row>
    <row r="31">
      <c r="A31" s="273" t="s">
        <v>799</v>
      </c>
      <c r="B31" s="273" t="s">
        <v>798</v>
      </c>
      <c r="C31" s="273">
        <v>4.0</v>
      </c>
      <c r="D31" s="273">
        <v>8.5590849E7</v>
      </c>
      <c r="E31" s="274">
        <v>1.0</v>
      </c>
      <c r="F31" s="274">
        <v>0.0</v>
      </c>
      <c r="G31" s="274">
        <v>2.0</v>
      </c>
      <c r="H31" s="274">
        <v>1.0</v>
      </c>
      <c r="I31" s="273">
        <v>4.0</v>
      </c>
      <c r="J31" s="273">
        <v>0.0</v>
      </c>
      <c r="K31" s="273">
        <v>0.0</v>
      </c>
      <c r="L31" s="273">
        <v>16.0</v>
      </c>
      <c r="M31" s="273">
        <v>1.0</v>
      </c>
      <c r="N31" s="273" t="s">
        <v>1298</v>
      </c>
      <c r="P31" s="273"/>
      <c r="Q31" s="273"/>
      <c r="R31" s="275"/>
      <c r="S31" s="273"/>
      <c r="T31" s="276"/>
      <c r="U31" s="275"/>
      <c r="V31" s="273"/>
      <c r="W31" s="273"/>
      <c r="X31" s="273"/>
      <c r="Y31" s="273"/>
      <c r="Z31" s="273"/>
      <c r="AA31" s="273"/>
      <c r="AB31" s="273"/>
      <c r="AC31" s="273"/>
      <c r="AD31" s="273"/>
      <c r="AE31" s="273"/>
      <c r="AF31" s="273"/>
      <c r="AG31" s="273"/>
      <c r="AH31" s="273"/>
      <c r="AI31" s="273"/>
      <c r="AJ31" s="273"/>
      <c r="AK31" s="273"/>
      <c r="AL31" s="277"/>
      <c r="AM31" s="275"/>
      <c r="AN31" s="273"/>
      <c r="AO31" s="275"/>
      <c r="AP31" s="275"/>
      <c r="AQ31" s="273"/>
      <c r="AR31" s="273"/>
      <c r="AS31" s="273"/>
      <c r="AT31" s="277"/>
      <c r="AU31" s="275"/>
      <c r="AV31" s="273"/>
      <c r="AW31" s="275"/>
      <c r="AX31" s="275"/>
      <c r="AY31" s="275"/>
      <c r="AZ31" s="275"/>
      <c r="BA31" s="275"/>
    </row>
    <row r="32">
      <c r="A32" s="272" t="s">
        <v>825</v>
      </c>
      <c r="B32" s="273" t="s">
        <v>824</v>
      </c>
      <c r="C32" s="273">
        <v>0.0</v>
      </c>
      <c r="D32" s="273">
        <v>6474341.0</v>
      </c>
      <c r="E32" s="274">
        <v>0.0</v>
      </c>
      <c r="F32" s="274">
        <v>0.0</v>
      </c>
      <c r="G32" s="274">
        <v>0.0</v>
      </c>
      <c r="H32" s="274">
        <v>0.0</v>
      </c>
      <c r="I32" s="273">
        <v>0.0</v>
      </c>
      <c r="J32" s="273">
        <v>0.0</v>
      </c>
      <c r="K32" s="278">
        <v>0.0</v>
      </c>
      <c r="L32" s="273">
        <v>4.0</v>
      </c>
      <c r="M32" s="273">
        <v>4.0</v>
      </c>
      <c r="N32" s="273" t="s">
        <v>1298</v>
      </c>
      <c r="P32" s="273"/>
      <c r="Q32" s="275"/>
      <c r="R32" s="275"/>
      <c r="S32" s="273"/>
      <c r="T32" s="276"/>
      <c r="U32" s="276"/>
      <c r="V32" s="273"/>
      <c r="W32" s="273"/>
      <c r="X32" s="273"/>
      <c r="Y32" s="273"/>
      <c r="Z32" s="273"/>
      <c r="AA32" s="273"/>
      <c r="AB32" s="273"/>
      <c r="AC32" s="273"/>
      <c r="AD32" s="273"/>
      <c r="AE32" s="273"/>
      <c r="AF32" s="273"/>
      <c r="AG32" s="273"/>
      <c r="AH32" s="273"/>
      <c r="AI32" s="273"/>
      <c r="AJ32" s="273"/>
      <c r="AK32" s="273"/>
      <c r="AL32" s="273"/>
      <c r="AM32" s="273"/>
      <c r="AN32" s="275"/>
      <c r="AO32" s="275"/>
      <c r="AP32" s="275"/>
      <c r="AQ32" s="273"/>
      <c r="AR32" s="273"/>
      <c r="AS32" s="273"/>
      <c r="AT32" s="273"/>
      <c r="AU32" s="275"/>
      <c r="AV32" s="273"/>
      <c r="AW32" s="275"/>
      <c r="AX32" s="275"/>
      <c r="AY32" s="275"/>
      <c r="AZ32" s="275"/>
      <c r="BA32" s="275"/>
    </row>
    <row r="33">
      <c r="A33" s="272" t="s">
        <v>837</v>
      </c>
      <c r="B33" s="273" t="s">
        <v>1299</v>
      </c>
      <c r="C33" s="273">
        <v>0.0</v>
      </c>
      <c r="D33" s="273">
        <v>9478996.0</v>
      </c>
      <c r="E33" s="274">
        <v>0.0</v>
      </c>
      <c r="F33" s="274">
        <v>0.0</v>
      </c>
      <c r="G33" s="274">
        <v>0.0</v>
      </c>
      <c r="H33" s="274">
        <v>0.0</v>
      </c>
      <c r="I33" s="273">
        <v>0.0</v>
      </c>
      <c r="J33" s="273">
        <v>0.0</v>
      </c>
      <c r="K33" s="278">
        <v>0.0</v>
      </c>
      <c r="L33" s="273">
        <v>2.0</v>
      </c>
      <c r="M33" s="273">
        <v>2.0</v>
      </c>
      <c r="N33" s="273" t="s">
        <v>1298</v>
      </c>
      <c r="P33" s="273"/>
      <c r="Q33" s="275"/>
      <c r="R33" s="275"/>
      <c r="S33" s="273"/>
      <c r="T33" s="276"/>
      <c r="U33" s="276"/>
      <c r="V33" s="273"/>
      <c r="W33" s="273"/>
      <c r="X33" s="273"/>
      <c r="Y33" s="273"/>
      <c r="Z33" s="273"/>
      <c r="AA33" s="273"/>
      <c r="AB33" s="273"/>
      <c r="AC33" s="273"/>
      <c r="AD33" s="273"/>
      <c r="AE33" s="273"/>
      <c r="AF33" s="273"/>
      <c r="AG33" s="273"/>
      <c r="AH33" s="273"/>
      <c r="AI33" s="273"/>
      <c r="AJ33" s="273"/>
      <c r="AK33" s="273"/>
      <c r="AL33" s="273"/>
      <c r="AM33" s="273"/>
      <c r="AN33" s="275"/>
      <c r="AO33" s="275"/>
      <c r="AP33" s="275"/>
      <c r="AQ33" s="273"/>
      <c r="AR33" s="273"/>
      <c r="AS33" s="273"/>
      <c r="AT33" s="273"/>
      <c r="AU33" s="275"/>
      <c r="AV33" s="273"/>
      <c r="AW33" s="275"/>
      <c r="AX33" s="275"/>
      <c r="AY33" s="275"/>
      <c r="AZ33" s="275"/>
      <c r="BA33" s="275"/>
    </row>
    <row r="34">
      <c r="A34" s="272" t="s">
        <v>846</v>
      </c>
      <c r="B34" s="273" t="s">
        <v>845</v>
      </c>
      <c r="C34" s="273">
        <v>0.0</v>
      </c>
      <c r="D34" s="273">
        <v>3.4902257E7</v>
      </c>
      <c r="E34" s="274">
        <v>0.0</v>
      </c>
      <c r="F34" s="274">
        <v>0.0</v>
      </c>
      <c r="G34" s="274">
        <v>0.0</v>
      </c>
      <c r="H34" s="274">
        <v>0.0</v>
      </c>
      <c r="I34" s="273">
        <v>0.0</v>
      </c>
      <c r="J34" s="273">
        <v>0.0</v>
      </c>
      <c r="K34" s="278">
        <v>0.0</v>
      </c>
      <c r="L34" s="273">
        <v>6.0</v>
      </c>
      <c r="M34" s="273">
        <v>3.0</v>
      </c>
      <c r="N34" s="273" t="s">
        <v>1298</v>
      </c>
      <c r="P34" s="273"/>
      <c r="Q34" s="275"/>
      <c r="R34" s="275"/>
      <c r="S34" s="273"/>
      <c r="T34" s="276"/>
      <c r="U34" s="275"/>
      <c r="V34" s="273"/>
      <c r="W34" s="273"/>
      <c r="X34" s="273"/>
      <c r="Y34" s="273"/>
      <c r="Z34" s="273"/>
      <c r="AA34" s="273"/>
      <c r="AB34" s="273"/>
      <c r="AC34" s="273"/>
      <c r="AD34" s="273"/>
      <c r="AE34" s="273"/>
      <c r="AF34" s="273"/>
      <c r="AG34" s="273"/>
      <c r="AH34" s="273"/>
      <c r="AI34" s="273"/>
      <c r="AJ34" s="273"/>
      <c r="AK34" s="273"/>
      <c r="AL34" s="277"/>
      <c r="AM34" s="275"/>
      <c r="AN34" s="275"/>
      <c r="AO34" s="275"/>
      <c r="AP34" s="273"/>
      <c r="AQ34" s="275"/>
      <c r="AR34" s="273"/>
      <c r="AS34" s="273"/>
      <c r="AT34" s="277"/>
      <c r="AU34" s="273"/>
      <c r="AV34" s="273"/>
      <c r="AW34" s="275"/>
      <c r="AX34" s="275"/>
      <c r="AY34" s="275"/>
      <c r="AZ34" s="275"/>
      <c r="BA34" s="275"/>
    </row>
    <row r="35">
      <c r="A35" s="273" t="s">
        <v>861</v>
      </c>
      <c r="B35" s="273" t="s">
        <v>860</v>
      </c>
      <c r="C35" s="273">
        <v>0.0</v>
      </c>
      <c r="D35" s="273">
        <v>3.4070907E7</v>
      </c>
      <c r="E35" s="274">
        <v>0.0</v>
      </c>
      <c r="F35" s="274">
        <v>0.0</v>
      </c>
      <c r="G35" s="274">
        <v>0.0</v>
      </c>
      <c r="H35" s="274">
        <v>0.0</v>
      </c>
      <c r="I35" s="273">
        <v>0.0</v>
      </c>
      <c r="J35" s="273">
        <v>0.0</v>
      </c>
      <c r="K35" s="278">
        <v>0.0</v>
      </c>
      <c r="L35" s="273">
        <v>6.0</v>
      </c>
      <c r="M35" s="273">
        <v>3.0</v>
      </c>
      <c r="N35" s="273" t="s">
        <v>1298</v>
      </c>
      <c r="P35" s="273"/>
      <c r="Q35" s="275"/>
      <c r="R35" s="275"/>
      <c r="S35" s="273"/>
      <c r="T35" s="276"/>
      <c r="U35" s="275"/>
      <c r="V35" s="273"/>
      <c r="W35" s="273"/>
      <c r="X35" s="273"/>
      <c r="Y35" s="273"/>
      <c r="Z35" s="273"/>
      <c r="AA35" s="273"/>
      <c r="AB35" s="273"/>
      <c r="AC35" s="273"/>
      <c r="AD35" s="273"/>
      <c r="AE35" s="273"/>
      <c r="AF35" s="273"/>
      <c r="AG35" s="273"/>
      <c r="AH35" s="273"/>
      <c r="AI35" s="273"/>
      <c r="AJ35" s="273"/>
      <c r="AK35" s="273"/>
      <c r="AL35" s="277"/>
      <c r="AM35" s="275"/>
      <c r="AN35" s="275"/>
      <c r="AO35" s="275"/>
      <c r="AP35" s="273"/>
      <c r="AQ35" s="275"/>
      <c r="AR35" s="273"/>
      <c r="AS35" s="273"/>
      <c r="AT35" s="277"/>
      <c r="AU35" s="273"/>
      <c r="AV35" s="273"/>
      <c r="AW35" s="275"/>
      <c r="AX35" s="275"/>
      <c r="AY35" s="275"/>
      <c r="AZ35" s="275"/>
      <c r="BA35" s="275"/>
    </row>
    <row r="36">
      <c r="A36" s="273" t="s">
        <v>953</v>
      </c>
      <c r="B36" s="273" t="s">
        <v>952</v>
      </c>
      <c r="C36" s="273">
        <v>2.0</v>
      </c>
      <c r="D36" s="273">
        <v>1.44694112E8</v>
      </c>
      <c r="E36" s="274">
        <v>0.0</v>
      </c>
      <c r="F36" s="274">
        <v>0.0</v>
      </c>
      <c r="G36" s="274">
        <v>1.0</v>
      </c>
      <c r="H36" s="274">
        <v>1.0</v>
      </c>
      <c r="I36" s="273">
        <v>2.0</v>
      </c>
      <c r="J36" s="273">
        <v>0.0</v>
      </c>
      <c r="K36" s="278">
        <v>0.0</v>
      </c>
      <c r="L36" s="273">
        <v>11.0</v>
      </c>
      <c r="M36" s="273">
        <v>6.0</v>
      </c>
      <c r="N36" s="273" t="s">
        <v>1300</v>
      </c>
      <c r="P36" s="273"/>
      <c r="Q36" s="273"/>
      <c r="R36" s="275"/>
      <c r="S36" s="273"/>
      <c r="T36" s="276"/>
      <c r="U36" s="275"/>
      <c r="V36" s="273"/>
      <c r="W36" s="273"/>
      <c r="X36" s="273"/>
      <c r="Y36" s="273"/>
      <c r="Z36" s="273"/>
      <c r="AA36" s="273"/>
      <c r="AB36" s="273"/>
      <c r="AC36" s="273"/>
      <c r="AD36" s="273"/>
      <c r="AE36" s="273"/>
      <c r="AF36" s="273"/>
      <c r="AG36" s="273"/>
      <c r="AH36" s="273"/>
      <c r="AI36" s="273"/>
      <c r="AJ36" s="273"/>
      <c r="AK36" s="273"/>
      <c r="AL36" s="277"/>
      <c r="AM36" s="275"/>
      <c r="AN36" s="275"/>
      <c r="AO36" s="275"/>
      <c r="AP36" s="273"/>
      <c r="AQ36" s="275"/>
      <c r="AR36" s="273"/>
      <c r="AS36" s="273"/>
      <c r="AT36" s="277"/>
      <c r="AU36" s="273"/>
      <c r="AV36" s="273"/>
      <c r="AW36" s="275"/>
      <c r="AX36" s="275"/>
      <c r="AY36" s="275"/>
      <c r="AZ36" s="275"/>
      <c r="BA36" s="275"/>
    </row>
    <row r="37">
      <c r="A37" s="273" t="s">
        <v>986</v>
      </c>
      <c r="B37" s="273" t="s">
        <v>985</v>
      </c>
      <c r="C37" s="273">
        <v>0.0</v>
      </c>
      <c r="D37" s="273">
        <v>3.6069274E7</v>
      </c>
      <c r="E37" s="274">
        <v>0.0</v>
      </c>
      <c r="F37" s="274">
        <v>0.0</v>
      </c>
      <c r="G37" s="274">
        <v>0.0</v>
      </c>
      <c r="H37" s="274">
        <v>0.0</v>
      </c>
      <c r="I37" s="273">
        <v>0.0</v>
      </c>
      <c r="J37" s="273">
        <v>0.0</v>
      </c>
      <c r="K37" s="278">
        <v>0.0</v>
      </c>
      <c r="L37" s="273">
        <v>1.0</v>
      </c>
      <c r="M37" s="273">
        <v>1.0</v>
      </c>
      <c r="N37" s="273" t="s">
        <v>1300</v>
      </c>
      <c r="P37" s="273"/>
      <c r="Q37" s="275"/>
      <c r="R37" s="275"/>
      <c r="S37" s="273"/>
      <c r="T37" s="276"/>
      <c r="U37" s="275"/>
      <c r="V37" s="273"/>
      <c r="W37" s="273"/>
      <c r="X37" s="273"/>
      <c r="Y37" s="273"/>
      <c r="Z37" s="273"/>
      <c r="AA37" s="273"/>
      <c r="AB37" s="273"/>
      <c r="AC37" s="273"/>
      <c r="AD37" s="273"/>
      <c r="AE37" s="273"/>
      <c r="AF37" s="273"/>
      <c r="AG37" s="273"/>
      <c r="AH37" s="273"/>
      <c r="AI37" s="273"/>
      <c r="AJ37" s="273"/>
      <c r="AK37" s="273"/>
      <c r="AL37" s="277"/>
      <c r="AM37" s="275"/>
      <c r="AN37" s="275"/>
      <c r="AO37" s="275"/>
      <c r="AP37" s="273"/>
      <c r="AQ37" s="275"/>
      <c r="AR37" s="273"/>
      <c r="AS37" s="273"/>
      <c r="AT37" s="277"/>
      <c r="AU37" s="273"/>
      <c r="AV37" s="273"/>
      <c r="AW37" s="275"/>
      <c r="AX37" s="275"/>
      <c r="AY37" s="275"/>
      <c r="AZ37" s="275"/>
      <c r="BA37" s="275"/>
    </row>
    <row r="38">
      <c r="A38" s="273" t="s">
        <v>1021</v>
      </c>
      <c r="B38" s="273" t="s">
        <v>1020</v>
      </c>
      <c r="C38" s="273">
        <v>1.0</v>
      </c>
      <c r="D38" s="273">
        <v>6348989.0</v>
      </c>
      <c r="E38" s="274">
        <v>0.0</v>
      </c>
      <c r="F38" s="274">
        <v>0.0</v>
      </c>
      <c r="G38" s="274">
        <v>1.0</v>
      </c>
      <c r="H38" s="274">
        <v>0.0</v>
      </c>
      <c r="I38" s="273">
        <v>1.0</v>
      </c>
      <c r="J38" s="273">
        <v>0.0</v>
      </c>
      <c r="K38" s="278">
        <v>0.0</v>
      </c>
      <c r="L38" s="273">
        <v>2.0</v>
      </c>
      <c r="M38" s="273">
        <v>0.0</v>
      </c>
      <c r="N38" s="273" t="s">
        <v>1301</v>
      </c>
      <c r="P38" s="273"/>
      <c r="Q38" s="273"/>
      <c r="R38" s="275"/>
      <c r="S38" s="273"/>
      <c r="T38" s="276"/>
      <c r="U38" s="275"/>
      <c r="V38" s="273"/>
      <c r="W38" s="273"/>
      <c r="X38" s="273"/>
      <c r="Y38" s="273"/>
      <c r="Z38" s="273"/>
      <c r="AA38" s="273"/>
      <c r="AB38" s="273"/>
      <c r="AC38" s="273"/>
      <c r="AD38" s="273"/>
      <c r="AE38" s="273"/>
      <c r="AF38" s="273"/>
      <c r="AG38" s="273"/>
      <c r="AH38" s="273"/>
      <c r="AI38" s="273"/>
      <c r="AJ38" s="273"/>
      <c r="AK38" s="273"/>
      <c r="AL38" s="277"/>
      <c r="AM38" s="275"/>
      <c r="AN38" s="275"/>
      <c r="AO38" s="275"/>
      <c r="AP38" s="273"/>
      <c r="AQ38" s="275"/>
      <c r="AR38" s="273"/>
      <c r="AS38" s="273"/>
      <c r="AT38" s="277"/>
      <c r="AU38" s="273"/>
      <c r="AV38" s="273"/>
      <c r="AW38" s="275"/>
      <c r="AX38" s="275"/>
      <c r="AY38" s="275"/>
      <c r="AZ38" s="275"/>
      <c r="BA38" s="275"/>
    </row>
    <row r="39">
      <c r="A39" s="273" t="s">
        <v>1058</v>
      </c>
      <c r="B39" s="273" t="s">
        <v>1057</v>
      </c>
      <c r="C39" s="273">
        <v>0.0</v>
      </c>
      <c r="D39" s="273">
        <v>2.15802222E8</v>
      </c>
      <c r="E39" s="274">
        <v>0.0</v>
      </c>
      <c r="F39" s="274">
        <v>0.0</v>
      </c>
      <c r="G39" s="274">
        <v>0.0</v>
      </c>
      <c r="H39" s="274">
        <v>0.0</v>
      </c>
      <c r="I39" s="273">
        <v>0.0</v>
      </c>
      <c r="J39" s="273">
        <v>0.0</v>
      </c>
      <c r="K39" s="278">
        <v>0.0</v>
      </c>
      <c r="L39" s="273">
        <v>6.0</v>
      </c>
      <c r="M39" s="273">
        <v>0.0</v>
      </c>
      <c r="N39" s="273" t="s">
        <v>1302</v>
      </c>
      <c r="P39" s="273"/>
      <c r="Q39" s="275"/>
      <c r="R39" s="275"/>
      <c r="S39" s="273"/>
      <c r="T39" s="276"/>
      <c r="U39" s="275"/>
      <c r="V39" s="273"/>
      <c r="W39" s="273"/>
      <c r="X39" s="273"/>
      <c r="Y39" s="273"/>
      <c r="Z39" s="273"/>
      <c r="AA39" s="273"/>
      <c r="AB39" s="273"/>
      <c r="AC39" s="273"/>
      <c r="AD39" s="273"/>
      <c r="AE39" s="273"/>
      <c r="AF39" s="273"/>
      <c r="AG39" s="273"/>
      <c r="AH39" s="273"/>
      <c r="AI39" s="273"/>
      <c r="AJ39" s="273"/>
      <c r="AK39" s="273"/>
      <c r="AL39" s="277"/>
      <c r="AM39" s="275"/>
      <c r="AN39" s="275"/>
      <c r="AO39" s="275"/>
      <c r="AP39" s="273"/>
      <c r="AQ39" s="275"/>
      <c r="AR39" s="273"/>
      <c r="AS39" s="273"/>
      <c r="AT39" s="277"/>
      <c r="AU39" s="273"/>
      <c r="AV39" s="273"/>
      <c r="AW39" s="275"/>
      <c r="AX39" s="275"/>
      <c r="AY39" s="275"/>
      <c r="AZ39" s="275"/>
      <c r="BA39" s="275"/>
    </row>
    <row r="40">
      <c r="A40" s="273" t="s">
        <v>1093</v>
      </c>
      <c r="B40" s="273" t="s">
        <v>1092</v>
      </c>
      <c r="C40" s="273">
        <v>0.0</v>
      </c>
      <c r="D40" s="273">
        <v>2.8555733E7</v>
      </c>
      <c r="E40" s="274">
        <v>0.0</v>
      </c>
      <c r="F40" s="274">
        <v>0.0</v>
      </c>
      <c r="G40" s="274">
        <v>0.0</v>
      </c>
      <c r="H40" s="274">
        <v>0.0</v>
      </c>
      <c r="I40" s="273">
        <v>0.0</v>
      </c>
      <c r="J40" s="273">
        <v>0.0</v>
      </c>
      <c r="K40" s="278">
        <v>0.0</v>
      </c>
      <c r="L40" s="273">
        <v>36.0</v>
      </c>
      <c r="M40" s="273">
        <v>0.0</v>
      </c>
      <c r="N40" s="273" t="s">
        <v>1302</v>
      </c>
      <c r="P40" s="273"/>
      <c r="Q40" s="275"/>
      <c r="R40" s="275"/>
      <c r="S40" s="273"/>
      <c r="T40" s="276"/>
      <c r="U40" s="275"/>
      <c r="V40" s="273"/>
      <c r="W40" s="273"/>
      <c r="X40" s="273"/>
      <c r="Y40" s="273"/>
      <c r="Z40" s="273"/>
      <c r="AA40" s="273"/>
      <c r="AB40" s="273"/>
      <c r="AC40" s="273"/>
      <c r="AD40" s="273"/>
      <c r="AE40" s="273"/>
      <c r="AF40" s="273"/>
      <c r="AG40" s="273"/>
      <c r="AH40" s="273"/>
      <c r="AI40" s="273"/>
      <c r="AJ40" s="273"/>
      <c r="AK40" s="273"/>
      <c r="AL40" s="277"/>
      <c r="AM40" s="275"/>
      <c r="AN40" s="275"/>
      <c r="AO40" s="275"/>
      <c r="AP40" s="273"/>
      <c r="AQ40" s="275"/>
      <c r="AR40" s="273"/>
      <c r="AS40" s="273"/>
      <c r="AT40" s="277"/>
      <c r="AU40" s="273"/>
      <c r="AV40" s="273"/>
      <c r="AW40" s="275"/>
      <c r="AX40" s="275"/>
      <c r="AY40" s="275"/>
      <c r="AZ40" s="275"/>
    </row>
    <row r="41">
      <c r="A41" s="136"/>
      <c r="B41" s="136"/>
      <c r="C41" s="136"/>
      <c r="D41" s="136"/>
      <c r="E41" s="136"/>
      <c r="F41" s="136"/>
      <c r="G41" s="136"/>
      <c r="H41" s="136"/>
      <c r="I41" s="136"/>
      <c r="J41" s="136"/>
      <c r="K41" s="136"/>
      <c r="L41" s="136" t="s">
        <v>1303</v>
      </c>
      <c r="M41" s="136"/>
      <c r="N41" s="136"/>
      <c r="O41" s="136"/>
      <c r="P41" s="136"/>
      <c r="Q41" s="136"/>
      <c r="R41" s="136"/>
      <c r="S41" s="136"/>
      <c r="T41" s="136"/>
      <c r="U41" s="136"/>
      <c r="V41" s="136"/>
      <c r="W41" s="136"/>
      <c r="X41" s="136"/>
      <c r="Y41" s="136"/>
    </row>
    <row r="42">
      <c r="A42" s="136"/>
      <c r="B42" s="136"/>
      <c r="C42" s="136"/>
      <c r="D42" s="136"/>
      <c r="E42" s="136"/>
      <c r="F42" s="136"/>
      <c r="G42" s="136"/>
      <c r="H42" s="136"/>
      <c r="I42" s="136"/>
      <c r="J42" s="136"/>
      <c r="K42" s="136"/>
      <c r="L42" s="136" t="s">
        <v>1303</v>
      </c>
      <c r="M42" s="136"/>
      <c r="N42" s="136"/>
      <c r="O42" s="136"/>
      <c r="P42" s="136"/>
      <c r="Q42" s="136"/>
      <c r="R42" s="136"/>
      <c r="S42" s="136"/>
      <c r="T42" s="136"/>
      <c r="U42" s="136"/>
      <c r="V42" s="136"/>
      <c r="W42" s="136"/>
      <c r="X42" s="136"/>
      <c r="Y42" s="136"/>
    </row>
    <row r="43">
      <c r="A43" s="279" t="s">
        <v>1304</v>
      </c>
    </row>
    <row r="44">
      <c r="A44" s="30" t="s">
        <v>1305</v>
      </c>
      <c r="B44" s="30" t="s">
        <v>1306</v>
      </c>
      <c r="C44" s="30" t="s">
        <v>1307</v>
      </c>
      <c r="D44" s="30" t="s">
        <v>1308</v>
      </c>
      <c r="E44" s="30" t="s">
        <v>1287</v>
      </c>
      <c r="F44" s="30" t="s">
        <v>1288</v>
      </c>
      <c r="G44" s="30" t="s">
        <v>1289</v>
      </c>
      <c r="H44" s="30" t="s">
        <v>1290</v>
      </c>
      <c r="I44" s="114" t="s">
        <v>1309</v>
      </c>
      <c r="J44" s="30" t="s">
        <v>1296</v>
      </c>
      <c r="K44" s="114" t="s">
        <v>1310</v>
      </c>
      <c r="L44" s="30" t="s">
        <v>1311</v>
      </c>
      <c r="M44" s="30" t="s">
        <v>1312</v>
      </c>
      <c r="N44" s="30" t="s">
        <v>1313</v>
      </c>
      <c r="O44" s="30" t="s">
        <v>1314</v>
      </c>
      <c r="P44" s="30" t="s">
        <v>1315</v>
      </c>
      <c r="Q44" s="30" t="s">
        <v>1316</v>
      </c>
      <c r="R44" s="30" t="s">
        <v>1317</v>
      </c>
      <c r="S44" s="30" t="s">
        <v>1318</v>
      </c>
      <c r="T44" s="30" t="s">
        <v>1319</v>
      </c>
      <c r="U44" s="30" t="s">
        <v>1320</v>
      </c>
      <c r="V44" s="30" t="s">
        <v>1321</v>
      </c>
      <c r="W44" s="30" t="s">
        <v>1322</v>
      </c>
      <c r="X44" s="30" t="s">
        <v>1323</v>
      </c>
      <c r="Y44" s="30"/>
    </row>
    <row r="45">
      <c r="A45" s="280" t="s">
        <v>359</v>
      </c>
      <c r="B45" s="281">
        <v>45188.0</v>
      </c>
      <c r="C45" s="282"/>
      <c r="D45" s="283">
        <v>11232.0</v>
      </c>
      <c r="E45" s="284" t="b">
        <v>0</v>
      </c>
      <c r="F45" s="284" t="b">
        <v>0</v>
      </c>
      <c r="G45" s="284" t="b">
        <v>1</v>
      </c>
      <c r="H45" s="284" t="b">
        <v>0</v>
      </c>
      <c r="I45" s="280" t="s">
        <v>361</v>
      </c>
      <c r="J45" s="280" t="s">
        <v>1298</v>
      </c>
      <c r="K45" s="283">
        <v>120000.0</v>
      </c>
      <c r="L45" s="284" t="b">
        <v>0</v>
      </c>
      <c r="M45" s="284" t="b">
        <v>0</v>
      </c>
      <c r="N45" s="284" t="b">
        <v>0</v>
      </c>
      <c r="O45" s="284" t="b">
        <v>0</v>
      </c>
      <c r="P45" s="284" t="b">
        <v>0</v>
      </c>
      <c r="Q45" s="284" t="b">
        <v>0</v>
      </c>
      <c r="R45" s="284" t="b">
        <v>0</v>
      </c>
      <c r="S45" s="284" t="b">
        <v>0</v>
      </c>
      <c r="T45" s="285"/>
      <c r="U45" s="286"/>
      <c r="V45" s="286"/>
      <c r="W45" s="280" t="s">
        <v>1324</v>
      </c>
      <c r="X45" s="285"/>
      <c r="Y45" s="287"/>
      <c r="Z45" s="287"/>
      <c r="AA45" s="287"/>
      <c r="AB45" s="287"/>
      <c r="AC45" s="287"/>
      <c r="AD45" s="287"/>
      <c r="AE45" s="287"/>
      <c r="AF45" s="287"/>
      <c r="AG45" s="287"/>
      <c r="AH45" s="287"/>
      <c r="AI45" s="287"/>
      <c r="AJ45" s="287"/>
    </row>
    <row r="46">
      <c r="A46" s="280" t="s">
        <v>371</v>
      </c>
      <c r="B46" s="281">
        <v>45509.0</v>
      </c>
      <c r="C46" s="281">
        <v>45509.0</v>
      </c>
      <c r="D46" s="288">
        <v>4.0</v>
      </c>
      <c r="E46" s="284" t="b">
        <v>1</v>
      </c>
      <c r="F46" s="284" t="b">
        <v>0</v>
      </c>
      <c r="G46" s="284" t="b">
        <v>0</v>
      </c>
      <c r="H46" s="284" t="b">
        <v>0</v>
      </c>
      <c r="I46" s="280" t="s">
        <v>38</v>
      </c>
      <c r="J46" s="280" t="s">
        <v>1298</v>
      </c>
      <c r="K46" s="283">
        <v>1.72075151E8</v>
      </c>
      <c r="L46" s="284" t="b">
        <v>0</v>
      </c>
      <c r="M46" s="284" t="b">
        <v>0</v>
      </c>
      <c r="N46" s="284" t="b">
        <v>0</v>
      </c>
      <c r="O46" s="284" t="b">
        <v>0</v>
      </c>
      <c r="P46" s="284" t="b">
        <v>0</v>
      </c>
      <c r="Q46" s="284" t="b">
        <v>0</v>
      </c>
      <c r="R46" s="284" t="b">
        <v>0</v>
      </c>
      <c r="S46" s="284" t="b">
        <v>0</v>
      </c>
      <c r="T46" s="289" t="s">
        <v>1324</v>
      </c>
      <c r="U46" s="285"/>
      <c r="V46" s="286"/>
      <c r="W46" s="286"/>
      <c r="X46" s="280" t="s">
        <v>1324</v>
      </c>
      <c r="Y46" s="290"/>
      <c r="Z46" s="287"/>
      <c r="AA46" s="287"/>
      <c r="AB46" s="287"/>
      <c r="AC46" s="287"/>
      <c r="AD46" s="287"/>
      <c r="AE46" s="287"/>
      <c r="AF46" s="287"/>
      <c r="AG46" s="287"/>
      <c r="AH46" s="287"/>
      <c r="AI46" s="287"/>
      <c r="AJ46" s="287"/>
    </row>
    <row r="47">
      <c r="A47" s="280" t="s">
        <v>371</v>
      </c>
      <c r="B47" s="281">
        <v>45506.0</v>
      </c>
      <c r="C47" s="282"/>
      <c r="D47" s="283">
        <v>3600.0</v>
      </c>
      <c r="E47" s="284" t="b">
        <v>1</v>
      </c>
      <c r="F47" s="284" t="b">
        <v>0</v>
      </c>
      <c r="G47" s="284" t="b">
        <v>0</v>
      </c>
      <c r="H47" s="284" t="b">
        <v>0</v>
      </c>
      <c r="I47" s="280" t="s">
        <v>38</v>
      </c>
      <c r="J47" s="280" t="s">
        <v>1298</v>
      </c>
      <c r="K47" s="283">
        <v>1.72075151E8</v>
      </c>
      <c r="L47" s="284" t="b">
        <v>1</v>
      </c>
      <c r="M47" s="284" t="b">
        <v>0</v>
      </c>
      <c r="N47" s="284" t="b">
        <v>0</v>
      </c>
      <c r="O47" s="284" t="b">
        <v>0</v>
      </c>
      <c r="P47" s="284" t="b">
        <v>0</v>
      </c>
      <c r="Q47" s="284" t="b">
        <v>1</v>
      </c>
      <c r="R47" s="284" t="b">
        <v>0</v>
      </c>
      <c r="S47" s="284" t="b">
        <v>0</v>
      </c>
      <c r="T47" s="285"/>
      <c r="U47" s="289" t="s">
        <v>1324</v>
      </c>
      <c r="V47" s="286"/>
      <c r="W47" s="286"/>
      <c r="X47" s="280" t="s">
        <v>1324</v>
      </c>
      <c r="Y47" s="287"/>
      <c r="Z47" s="287"/>
      <c r="AA47" s="287"/>
      <c r="AB47" s="287"/>
      <c r="AC47" s="287"/>
      <c r="AD47" s="287"/>
      <c r="AE47" s="287"/>
      <c r="AF47" s="287"/>
      <c r="AG47" s="287"/>
      <c r="AH47" s="287"/>
      <c r="AI47" s="287"/>
      <c r="AJ47" s="287"/>
    </row>
    <row r="48">
      <c r="A48" s="280" t="s">
        <v>371</v>
      </c>
      <c r="B48" s="281">
        <v>45491.0</v>
      </c>
      <c r="C48" s="281">
        <v>45501.0</v>
      </c>
      <c r="D48" s="283">
        <v>264.0</v>
      </c>
      <c r="E48" s="284" t="b">
        <v>1</v>
      </c>
      <c r="F48" s="284" t="b">
        <v>0</v>
      </c>
      <c r="G48" s="284" t="b">
        <v>0</v>
      </c>
      <c r="H48" s="284" t="b">
        <v>0</v>
      </c>
      <c r="I48" s="280" t="s">
        <v>38</v>
      </c>
      <c r="J48" s="280" t="s">
        <v>1298</v>
      </c>
      <c r="K48" s="283">
        <v>1.72075151E8</v>
      </c>
      <c r="L48" s="284" t="b">
        <v>0</v>
      </c>
      <c r="M48" s="284" t="b">
        <v>0</v>
      </c>
      <c r="N48" s="284" t="b">
        <v>0</v>
      </c>
      <c r="O48" s="284" t="b">
        <v>0</v>
      </c>
      <c r="P48" s="284" t="b">
        <v>0</v>
      </c>
      <c r="Q48" s="284" t="b">
        <v>0</v>
      </c>
      <c r="R48" s="284" t="b">
        <v>0</v>
      </c>
      <c r="S48" s="284" t="b">
        <v>0</v>
      </c>
      <c r="T48" s="289" t="s">
        <v>1324</v>
      </c>
      <c r="U48" s="286"/>
      <c r="V48" s="285"/>
      <c r="W48" s="286"/>
      <c r="X48" s="280" t="s">
        <v>1324</v>
      </c>
      <c r="Y48" s="290"/>
      <c r="Z48" s="287"/>
      <c r="AA48" s="287"/>
      <c r="AB48" s="287"/>
      <c r="AC48" s="287"/>
      <c r="AD48" s="287"/>
      <c r="AE48" s="287"/>
      <c r="AF48" s="287"/>
      <c r="AG48" s="287"/>
      <c r="AH48" s="287"/>
      <c r="AI48" s="287"/>
      <c r="AJ48" s="287"/>
    </row>
    <row r="49">
      <c r="A49" s="280" t="s">
        <v>371</v>
      </c>
      <c r="B49" s="281">
        <v>45489.0</v>
      </c>
      <c r="C49" s="281">
        <v>45504.0</v>
      </c>
      <c r="D49" s="283">
        <v>360.0</v>
      </c>
      <c r="E49" s="284" t="b">
        <v>1</v>
      </c>
      <c r="F49" s="284" t="b">
        <v>0</v>
      </c>
      <c r="G49" s="284" t="b">
        <v>0</v>
      </c>
      <c r="H49" s="284" t="b">
        <v>0</v>
      </c>
      <c r="I49" s="280" t="s">
        <v>38</v>
      </c>
      <c r="J49" s="280" t="s">
        <v>1298</v>
      </c>
      <c r="K49" s="283">
        <v>1.72075151E8</v>
      </c>
      <c r="L49" s="284" t="b">
        <v>1</v>
      </c>
      <c r="M49" s="284" t="b">
        <v>0</v>
      </c>
      <c r="N49" s="284" t="b">
        <v>0</v>
      </c>
      <c r="O49" s="284" t="b">
        <v>0</v>
      </c>
      <c r="P49" s="284" t="b">
        <v>0</v>
      </c>
      <c r="Q49" s="284" t="b">
        <v>0</v>
      </c>
      <c r="R49" s="284" t="b">
        <v>0</v>
      </c>
      <c r="S49" s="284" t="b">
        <v>0</v>
      </c>
      <c r="T49" s="289" t="s">
        <v>1324</v>
      </c>
      <c r="U49" s="286"/>
      <c r="V49" s="285"/>
      <c r="W49" s="286"/>
      <c r="X49" s="280" t="s">
        <v>1324</v>
      </c>
      <c r="Y49" s="290"/>
      <c r="Z49" s="287"/>
      <c r="AA49" s="287"/>
      <c r="AB49" s="287"/>
      <c r="AC49" s="287"/>
      <c r="AD49" s="287"/>
      <c r="AE49" s="287"/>
      <c r="AF49" s="287"/>
      <c r="AG49" s="287"/>
      <c r="AH49" s="287"/>
      <c r="AI49" s="287"/>
      <c r="AJ49" s="287"/>
    </row>
    <row r="50">
      <c r="A50" s="280" t="s">
        <v>56</v>
      </c>
      <c r="B50" s="281">
        <v>44572.0</v>
      </c>
      <c r="C50" s="282"/>
      <c r="D50" s="283">
        <v>26016.0</v>
      </c>
      <c r="E50" s="284" t="b">
        <v>0</v>
      </c>
      <c r="F50" s="284" t="b">
        <v>0</v>
      </c>
      <c r="G50" s="284" t="b">
        <v>1</v>
      </c>
      <c r="H50" s="284" t="b">
        <v>0</v>
      </c>
      <c r="I50" s="280" t="s">
        <v>38</v>
      </c>
      <c r="J50" s="280" t="s">
        <v>1297</v>
      </c>
      <c r="K50" s="283">
        <v>2.2959516E7</v>
      </c>
      <c r="L50" s="284" t="b">
        <v>1</v>
      </c>
      <c r="M50" s="284" t="b">
        <v>0</v>
      </c>
      <c r="N50" s="284" t="b">
        <v>0</v>
      </c>
      <c r="O50" s="284" t="b">
        <v>0</v>
      </c>
      <c r="P50" s="284" t="b">
        <v>0</v>
      </c>
      <c r="Q50" s="284" t="b">
        <v>0</v>
      </c>
      <c r="R50" s="284" t="b">
        <v>0</v>
      </c>
      <c r="S50" s="284" t="b">
        <v>0</v>
      </c>
      <c r="T50" s="285"/>
      <c r="U50" s="286"/>
      <c r="V50" s="286"/>
      <c r="W50" s="280" t="s">
        <v>1324</v>
      </c>
      <c r="X50" s="285"/>
      <c r="Y50" s="287"/>
      <c r="Z50" s="287"/>
      <c r="AA50" s="287"/>
      <c r="AB50" s="287"/>
      <c r="AC50" s="287"/>
      <c r="AD50" s="287"/>
      <c r="AE50" s="287"/>
      <c r="AF50" s="287"/>
      <c r="AG50" s="287"/>
      <c r="AH50" s="287"/>
      <c r="AI50" s="287"/>
      <c r="AJ50" s="287"/>
    </row>
    <row r="51">
      <c r="A51" s="280" t="s">
        <v>1058</v>
      </c>
      <c r="B51" s="281">
        <v>45535.0</v>
      </c>
      <c r="C51" s="281">
        <v>45573.0</v>
      </c>
      <c r="D51" s="288">
        <v>912.0</v>
      </c>
      <c r="E51" s="284" t="b">
        <v>0</v>
      </c>
      <c r="F51" s="284" t="b">
        <v>0</v>
      </c>
      <c r="G51" s="284" t="b">
        <v>0</v>
      </c>
      <c r="H51" s="284" t="b">
        <v>1</v>
      </c>
      <c r="I51" s="280" t="s">
        <v>38</v>
      </c>
      <c r="J51" s="280" t="s">
        <v>1302</v>
      </c>
      <c r="K51" s="283">
        <v>2.15802222E8</v>
      </c>
      <c r="L51" s="284" t="b">
        <v>0</v>
      </c>
      <c r="M51" s="284" t="b">
        <v>1</v>
      </c>
      <c r="N51" s="284" t="b">
        <v>0</v>
      </c>
      <c r="O51" s="284" t="b">
        <v>0</v>
      </c>
      <c r="P51" s="284" t="b">
        <v>0</v>
      </c>
      <c r="Q51" s="284" t="b">
        <v>0</v>
      </c>
      <c r="R51" s="284" t="b">
        <v>0</v>
      </c>
      <c r="S51" s="284" t="b">
        <v>0</v>
      </c>
      <c r="T51" s="289" t="s">
        <v>1324</v>
      </c>
      <c r="U51" s="285"/>
      <c r="V51" s="286"/>
      <c r="W51" s="286"/>
      <c r="X51" s="280" t="s">
        <v>1324</v>
      </c>
      <c r="Y51" s="290"/>
      <c r="Z51" s="287"/>
      <c r="AA51" s="287"/>
      <c r="AB51" s="287"/>
      <c r="AC51" s="287"/>
      <c r="AD51" s="287"/>
      <c r="AE51" s="287"/>
      <c r="AF51" s="287"/>
      <c r="AG51" s="287"/>
      <c r="AH51" s="287"/>
      <c r="AI51" s="287"/>
      <c r="AJ51" s="287"/>
    </row>
    <row r="52">
      <c r="A52" s="280" t="s">
        <v>139</v>
      </c>
      <c r="B52" s="281">
        <v>44967.0</v>
      </c>
      <c r="C52" s="282"/>
      <c r="D52" s="283">
        <v>16536.0</v>
      </c>
      <c r="E52" s="284" t="b">
        <v>1</v>
      </c>
      <c r="F52" s="284" t="b">
        <v>0</v>
      </c>
      <c r="G52" s="284" t="b">
        <v>0</v>
      </c>
      <c r="H52" s="284" t="b">
        <v>0</v>
      </c>
      <c r="I52" s="280" t="s">
        <v>38</v>
      </c>
      <c r="J52" s="280" t="s">
        <v>1297</v>
      </c>
      <c r="K52" s="283">
        <v>1.24937259E8</v>
      </c>
      <c r="L52" s="284" t="b">
        <v>0</v>
      </c>
      <c r="M52" s="284" t="b">
        <v>0</v>
      </c>
      <c r="N52" s="284" t="b">
        <v>1</v>
      </c>
      <c r="O52" s="284" t="b">
        <v>0</v>
      </c>
      <c r="P52" s="284" t="b">
        <v>0</v>
      </c>
      <c r="Q52" s="284" t="b">
        <v>0</v>
      </c>
      <c r="R52" s="284" t="b">
        <v>0</v>
      </c>
      <c r="S52" s="284" t="b">
        <v>0</v>
      </c>
      <c r="T52" s="285"/>
      <c r="U52" s="286"/>
      <c r="V52" s="285"/>
      <c r="W52" s="280" t="s">
        <v>1324</v>
      </c>
      <c r="X52" s="285"/>
      <c r="Y52" s="290"/>
      <c r="Z52" s="287"/>
      <c r="AA52" s="287"/>
      <c r="AB52" s="287"/>
      <c r="AC52" s="287"/>
      <c r="AD52" s="287"/>
      <c r="AE52" s="287"/>
      <c r="AF52" s="287"/>
      <c r="AG52" s="287"/>
      <c r="AH52" s="287"/>
      <c r="AI52" s="287"/>
      <c r="AJ52" s="287"/>
    </row>
    <row r="53">
      <c r="A53" s="280" t="s">
        <v>139</v>
      </c>
      <c r="B53" s="281">
        <v>44966.0</v>
      </c>
      <c r="C53" s="282"/>
      <c r="D53" s="283">
        <v>16560.0</v>
      </c>
      <c r="E53" s="284" t="b">
        <v>1</v>
      </c>
      <c r="F53" s="284" t="b">
        <v>0</v>
      </c>
      <c r="G53" s="284" t="b">
        <v>0</v>
      </c>
      <c r="H53" s="284" t="b">
        <v>0</v>
      </c>
      <c r="I53" s="280" t="s">
        <v>38</v>
      </c>
      <c r="J53" s="280" t="s">
        <v>1297</v>
      </c>
      <c r="K53" s="283">
        <v>1.24937259E8</v>
      </c>
      <c r="L53" s="284" t="b">
        <v>1</v>
      </c>
      <c r="M53" s="284" t="b">
        <v>0</v>
      </c>
      <c r="N53" s="284" t="b">
        <v>0</v>
      </c>
      <c r="O53" s="284" t="b">
        <v>0</v>
      </c>
      <c r="P53" s="284" t="b">
        <v>1</v>
      </c>
      <c r="Q53" s="284" t="b">
        <v>0</v>
      </c>
      <c r="R53" s="284" t="b">
        <v>1</v>
      </c>
      <c r="S53" s="284" t="b">
        <v>0</v>
      </c>
      <c r="T53" s="285"/>
      <c r="U53" s="286"/>
      <c r="V53" s="285"/>
      <c r="W53" s="280" t="s">
        <v>1324</v>
      </c>
      <c r="X53" s="285"/>
      <c r="Y53" s="290"/>
      <c r="Z53" s="287"/>
      <c r="AA53" s="287"/>
      <c r="AB53" s="287"/>
      <c r="AC53" s="287"/>
      <c r="AD53" s="287"/>
      <c r="AE53" s="287"/>
      <c r="AF53" s="287"/>
      <c r="AG53" s="287"/>
      <c r="AH53" s="287"/>
      <c r="AI53" s="287"/>
      <c r="AJ53" s="287"/>
    </row>
    <row r="54">
      <c r="A54" s="280" t="s">
        <v>174</v>
      </c>
      <c r="B54" s="281">
        <v>45254.0</v>
      </c>
      <c r="C54" s="282"/>
      <c r="D54" s="283">
        <v>9648.0</v>
      </c>
      <c r="E54" s="284" t="b">
        <v>0</v>
      </c>
      <c r="F54" s="284" t="b">
        <v>0</v>
      </c>
      <c r="G54" s="284" t="b">
        <v>1</v>
      </c>
      <c r="H54" s="284" t="b">
        <v>0</v>
      </c>
      <c r="I54" s="280" t="s">
        <v>38</v>
      </c>
      <c r="J54" s="280" t="s">
        <v>1297</v>
      </c>
      <c r="K54" s="283">
        <v>1.4023588E7</v>
      </c>
      <c r="L54" s="284" t="b">
        <v>1</v>
      </c>
      <c r="M54" s="284" t="b">
        <v>0</v>
      </c>
      <c r="N54" s="284" t="b">
        <v>0</v>
      </c>
      <c r="O54" s="284" t="b">
        <v>0</v>
      </c>
      <c r="P54" s="284" t="b">
        <v>1</v>
      </c>
      <c r="Q54" s="284" t="b">
        <v>1</v>
      </c>
      <c r="R54" s="284" t="b">
        <v>0</v>
      </c>
      <c r="S54" s="284" t="b">
        <v>0</v>
      </c>
      <c r="T54" s="285"/>
      <c r="U54" s="285"/>
      <c r="V54" s="286"/>
      <c r="W54" s="280" t="s">
        <v>1324</v>
      </c>
      <c r="X54" s="285"/>
      <c r="Y54" s="290"/>
      <c r="Z54" s="287"/>
      <c r="AA54" s="287"/>
      <c r="AB54" s="287"/>
      <c r="AC54" s="287"/>
      <c r="AD54" s="287"/>
      <c r="AE54" s="287"/>
      <c r="AF54" s="287"/>
      <c r="AG54" s="287"/>
      <c r="AH54" s="287"/>
      <c r="AI54" s="287"/>
      <c r="AJ54" s="287"/>
    </row>
    <row r="55">
      <c r="A55" s="280" t="s">
        <v>417</v>
      </c>
      <c r="B55" s="281">
        <v>45640.0</v>
      </c>
      <c r="C55" s="281">
        <v>45641.0</v>
      </c>
      <c r="D55" s="283">
        <v>24.0</v>
      </c>
      <c r="E55" s="284" t="b">
        <v>1</v>
      </c>
      <c r="F55" s="284" t="b">
        <v>0</v>
      </c>
      <c r="G55" s="284" t="b">
        <v>0</v>
      </c>
      <c r="H55" s="284" t="b">
        <v>0</v>
      </c>
      <c r="I55" s="280" t="s">
        <v>419</v>
      </c>
      <c r="J55" s="280" t="s">
        <v>1298</v>
      </c>
      <c r="K55" s="283">
        <v>3.087E7</v>
      </c>
      <c r="L55" s="284" t="b">
        <v>0</v>
      </c>
      <c r="M55" s="284" t="b">
        <v>0</v>
      </c>
      <c r="N55" s="284" t="b">
        <v>0</v>
      </c>
      <c r="O55" s="284" t="b">
        <v>0</v>
      </c>
      <c r="P55" s="284" t="b">
        <v>0</v>
      </c>
      <c r="Q55" s="284" t="b">
        <v>0</v>
      </c>
      <c r="R55" s="284" t="b">
        <v>0</v>
      </c>
      <c r="S55" s="284" t="b">
        <v>0</v>
      </c>
      <c r="T55" s="289" t="s">
        <v>1324</v>
      </c>
      <c r="U55" s="285"/>
      <c r="V55" s="286"/>
      <c r="W55" s="286"/>
      <c r="X55" s="280" t="s">
        <v>1324</v>
      </c>
      <c r="Y55" s="290"/>
      <c r="Z55" s="287"/>
      <c r="AA55" s="287"/>
      <c r="AB55" s="287"/>
      <c r="AC55" s="287"/>
      <c r="AD55" s="287"/>
      <c r="AE55" s="287"/>
      <c r="AF55" s="287"/>
      <c r="AG55" s="287"/>
      <c r="AH55" s="287"/>
      <c r="AI55" s="287"/>
      <c r="AJ55" s="287"/>
    </row>
    <row r="56">
      <c r="A56" s="280" t="s">
        <v>417</v>
      </c>
      <c r="B56" s="281">
        <v>45632.0</v>
      </c>
      <c r="C56" s="281">
        <v>45633.0</v>
      </c>
      <c r="D56" s="283">
        <v>24.0</v>
      </c>
      <c r="E56" s="284" t="b">
        <v>1</v>
      </c>
      <c r="F56" s="284" t="b">
        <v>0</v>
      </c>
      <c r="G56" s="284" t="b">
        <v>0</v>
      </c>
      <c r="H56" s="284" t="b">
        <v>0</v>
      </c>
      <c r="I56" s="280" t="s">
        <v>419</v>
      </c>
      <c r="J56" s="280" t="s">
        <v>1298</v>
      </c>
      <c r="K56" s="283">
        <v>3.087E7</v>
      </c>
      <c r="L56" s="284" t="b">
        <v>0</v>
      </c>
      <c r="M56" s="284" t="b">
        <v>0</v>
      </c>
      <c r="N56" s="284" t="b">
        <v>0</v>
      </c>
      <c r="O56" s="284" t="b">
        <v>0</v>
      </c>
      <c r="P56" s="284" t="b">
        <v>0</v>
      </c>
      <c r="Q56" s="284" t="b">
        <v>0</v>
      </c>
      <c r="R56" s="284" t="b">
        <v>0</v>
      </c>
      <c r="S56" s="284" t="b">
        <v>0</v>
      </c>
      <c r="T56" s="289" t="s">
        <v>1324</v>
      </c>
      <c r="U56" s="285"/>
      <c r="V56" s="285"/>
      <c r="W56" s="286"/>
      <c r="X56" s="280" t="s">
        <v>1324</v>
      </c>
      <c r="Y56" s="290"/>
      <c r="Z56" s="287"/>
      <c r="AA56" s="287"/>
      <c r="AB56" s="287"/>
      <c r="AC56" s="287"/>
      <c r="AD56" s="287"/>
      <c r="AE56" s="287"/>
      <c r="AF56" s="287"/>
      <c r="AG56" s="287"/>
      <c r="AH56" s="287"/>
      <c r="AI56" s="287"/>
      <c r="AJ56" s="287"/>
    </row>
    <row r="57">
      <c r="A57" s="280" t="s">
        <v>417</v>
      </c>
      <c r="B57" s="281">
        <v>45620.0</v>
      </c>
      <c r="C57" s="281">
        <v>45621.0</v>
      </c>
      <c r="D57" s="288">
        <v>24.0</v>
      </c>
      <c r="E57" s="284" t="b">
        <v>0</v>
      </c>
      <c r="F57" s="284" t="b">
        <v>0</v>
      </c>
      <c r="G57" s="284" t="b">
        <v>1</v>
      </c>
      <c r="H57" s="284" t="b">
        <v>0</v>
      </c>
      <c r="I57" s="280" t="s">
        <v>423</v>
      </c>
      <c r="J57" s="280" t="s">
        <v>1298</v>
      </c>
      <c r="K57" s="283">
        <v>312000.0</v>
      </c>
      <c r="L57" s="284" t="b">
        <v>0</v>
      </c>
      <c r="M57" s="284" t="b">
        <v>0</v>
      </c>
      <c r="N57" s="284" t="b">
        <v>0</v>
      </c>
      <c r="O57" s="284" t="b">
        <v>0</v>
      </c>
      <c r="P57" s="284" t="b">
        <v>0</v>
      </c>
      <c r="Q57" s="284" t="b">
        <v>0</v>
      </c>
      <c r="R57" s="284" t="b">
        <v>0</v>
      </c>
      <c r="S57" s="284" t="b">
        <v>0</v>
      </c>
      <c r="T57" s="289" t="s">
        <v>1324</v>
      </c>
      <c r="U57" s="285"/>
      <c r="V57" s="286"/>
      <c r="W57" s="286"/>
      <c r="X57" s="280" t="s">
        <v>1324</v>
      </c>
      <c r="Y57" s="290"/>
      <c r="Z57" s="287"/>
      <c r="AA57" s="287"/>
      <c r="AB57" s="287"/>
      <c r="AC57" s="287"/>
      <c r="AD57" s="287"/>
      <c r="AE57" s="287"/>
      <c r="AF57" s="287"/>
      <c r="AG57" s="287"/>
      <c r="AH57" s="287"/>
      <c r="AI57" s="287"/>
      <c r="AJ57" s="287"/>
    </row>
    <row r="58">
      <c r="A58" s="280" t="s">
        <v>417</v>
      </c>
      <c r="B58" s="281">
        <v>45612.0</v>
      </c>
      <c r="C58" s="281">
        <v>45612.0</v>
      </c>
      <c r="D58" s="288">
        <v>24.0</v>
      </c>
      <c r="E58" s="284" t="b">
        <v>0</v>
      </c>
      <c r="F58" s="284" t="b">
        <v>0</v>
      </c>
      <c r="G58" s="284" t="b">
        <v>1</v>
      </c>
      <c r="H58" s="284" t="b">
        <v>0</v>
      </c>
      <c r="I58" s="280" t="s">
        <v>425</v>
      </c>
      <c r="J58" s="280" t="s">
        <v>1298</v>
      </c>
      <c r="K58" s="283">
        <v>44019.0</v>
      </c>
      <c r="L58" s="284" t="b">
        <v>0</v>
      </c>
      <c r="M58" s="284" t="b">
        <v>0</v>
      </c>
      <c r="N58" s="284" t="b">
        <v>0</v>
      </c>
      <c r="O58" s="284" t="b">
        <v>0</v>
      </c>
      <c r="P58" s="284" t="b">
        <v>0</v>
      </c>
      <c r="Q58" s="284" t="b">
        <v>0</v>
      </c>
      <c r="R58" s="284" t="b">
        <v>0</v>
      </c>
      <c r="S58" s="284" t="b">
        <v>0</v>
      </c>
      <c r="T58" s="289" t="s">
        <v>1324</v>
      </c>
      <c r="U58" s="285"/>
      <c r="V58" s="286"/>
      <c r="W58" s="286"/>
      <c r="X58" s="280" t="s">
        <v>1324</v>
      </c>
      <c r="Y58" s="290"/>
      <c r="Z58" s="287"/>
      <c r="AA58" s="287"/>
      <c r="AB58" s="287"/>
      <c r="AC58" s="287"/>
      <c r="AD58" s="287"/>
      <c r="AE58" s="287"/>
      <c r="AF58" s="287"/>
      <c r="AG58" s="287"/>
      <c r="AH58" s="287"/>
      <c r="AI58" s="287"/>
      <c r="AJ58" s="287"/>
    </row>
    <row r="59">
      <c r="A59" s="280" t="s">
        <v>417</v>
      </c>
      <c r="B59" s="281">
        <v>45612.0</v>
      </c>
      <c r="C59" s="281">
        <v>45633.0</v>
      </c>
      <c r="D59" s="283">
        <v>504.0</v>
      </c>
      <c r="E59" s="284" t="b">
        <v>0</v>
      </c>
      <c r="F59" s="284" t="b">
        <v>0</v>
      </c>
      <c r="G59" s="284" t="b">
        <v>1</v>
      </c>
      <c r="H59" s="284" t="b">
        <v>0</v>
      </c>
      <c r="I59" s="280" t="s">
        <v>427</v>
      </c>
      <c r="J59" s="280" t="s">
        <v>1298</v>
      </c>
      <c r="K59" s="283">
        <v>3436948.0</v>
      </c>
      <c r="L59" s="284" t="b">
        <v>0</v>
      </c>
      <c r="M59" s="284" t="b">
        <v>0</v>
      </c>
      <c r="N59" s="284" t="b">
        <v>0</v>
      </c>
      <c r="O59" s="284" t="b">
        <v>0</v>
      </c>
      <c r="P59" s="284" t="b">
        <v>0</v>
      </c>
      <c r="Q59" s="284" t="b">
        <v>0</v>
      </c>
      <c r="R59" s="284" t="b">
        <v>0</v>
      </c>
      <c r="S59" s="284" t="b">
        <v>0</v>
      </c>
      <c r="T59" s="289" t="s">
        <v>1324</v>
      </c>
      <c r="U59" s="285"/>
      <c r="V59" s="286"/>
      <c r="W59" s="286"/>
      <c r="X59" s="280" t="s">
        <v>1324</v>
      </c>
      <c r="Y59" s="290"/>
      <c r="Z59" s="287"/>
      <c r="AA59" s="287"/>
      <c r="AB59" s="287"/>
      <c r="AC59" s="287"/>
      <c r="AD59" s="287"/>
      <c r="AE59" s="287"/>
      <c r="AF59" s="287"/>
      <c r="AG59" s="287"/>
      <c r="AH59" s="287"/>
      <c r="AI59" s="287"/>
      <c r="AJ59" s="287"/>
    </row>
    <row r="60">
      <c r="A60" s="280" t="s">
        <v>417</v>
      </c>
      <c r="B60" s="281">
        <v>45608.0</v>
      </c>
      <c r="C60" s="281">
        <v>45495.0</v>
      </c>
      <c r="D60" s="288">
        <v>24.0</v>
      </c>
      <c r="E60" s="284" t="b">
        <v>0</v>
      </c>
      <c r="F60" s="284" t="b">
        <v>0</v>
      </c>
      <c r="G60" s="284" t="b">
        <v>1</v>
      </c>
      <c r="H60" s="284" t="b">
        <v>0</v>
      </c>
      <c r="I60" s="280" t="s">
        <v>430</v>
      </c>
      <c r="J60" s="280" t="s">
        <v>1298</v>
      </c>
      <c r="K60" s="283">
        <v>24010.0</v>
      </c>
      <c r="L60" s="284" t="b">
        <v>0</v>
      </c>
      <c r="M60" s="284" t="b">
        <v>0</v>
      </c>
      <c r="N60" s="284" t="b">
        <v>0</v>
      </c>
      <c r="O60" s="284" t="b">
        <v>0</v>
      </c>
      <c r="P60" s="284" t="b">
        <v>0</v>
      </c>
      <c r="Q60" s="284" t="b">
        <v>0</v>
      </c>
      <c r="R60" s="284" t="b">
        <v>0</v>
      </c>
      <c r="S60" s="284" t="b">
        <v>0</v>
      </c>
      <c r="T60" s="289" t="s">
        <v>1324</v>
      </c>
      <c r="U60" s="285"/>
      <c r="V60" s="286"/>
      <c r="W60" s="286"/>
      <c r="X60" s="280" t="s">
        <v>1324</v>
      </c>
      <c r="Y60" s="290"/>
      <c r="Z60" s="287"/>
      <c r="AA60" s="287"/>
      <c r="AB60" s="287"/>
      <c r="AC60" s="287"/>
      <c r="AD60" s="287"/>
      <c r="AE60" s="287"/>
      <c r="AF60" s="287"/>
      <c r="AG60" s="287"/>
      <c r="AH60" s="287"/>
      <c r="AI60" s="287"/>
      <c r="AJ60" s="287"/>
    </row>
    <row r="61">
      <c r="A61" s="280" t="s">
        <v>417</v>
      </c>
      <c r="B61" s="281">
        <v>45580.0</v>
      </c>
      <c r="C61" s="281">
        <v>45583.0</v>
      </c>
      <c r="D61" s="283">
        <v>72.0</v>
      </c>
      <c r="E61" s="284" t="b">
        <v>1</v>
      </c>
      <c r="F61" s="284" t="b">
        <v>0</v>
      </c>
      <c r="G61" s="284" t="b">
        <v>0</v>
      </c>
      <c r="H61" s="284" t="b">
        <v>0</v>
      </c>
      <c r="I61" s="280" t="s">
        <v>1325</v>
      </c>
      <c r="J61" s="280" t="s">
        <v>1298</v>
      </c>
      <c r="K61" s="283">
        <v>693947.0</v>
      </c>
      <c r="L61" s="284" t="b">
        <v>0</v>
      </c>
      <c r="M61" s="284" t="b">
        <v>0</v>
      </c>
      <c r="N61" s="284" t="b">
        <v>0</v>
      </c>
      <c r="O61" s="284" t="b">
        <v>0</v>
      </c>
      <c r="P61" s="284" t="b">
        <v>0</v>
      </c>
      <c r="Q61" s="284" t="b">
        <v>0</v>
      </c>
      <c r="R61" s="284" t="b">
        <v>0</v>
      </c>
      <c r="S61" s="284" t="b">
        <v>0</v>
      </c>
      <c r="T61" s="289" t="s">
        <v>1324</v>
      </c>
      <c r="U61" s="285"/>
      <c r="V61" s="285"/>
      <c r="W61" s="286"/>
      <c r="X61" s="280" t="s">
        <v>1324</v>
      </c>
      <c r="Y61" s="290"/>
      <c r="Z61" s="287"/>
      <c r="AA61" s="287"/>
      <c r="AB61" s="287"/>
      <c r="AC61" s="287"/>
      <c r="AD61" s="287"/>
      <c r="AE61" s="287"/>
      <c r="AF61" s="287"/>
      <c r="AG61" s="287"/>
      <c r="AH61" s="287"/>
      <c r="AI61" s="287"/>
      <c r="AJ61" s="287"/>
    </row>
    <row r="62">
      <c r="A62" s="280" t="s">
        <v>417</v>
      </c>
      <c r="B62" s="281">
        <v>45579.0</v>
      </c>
      <c r="C62" s="281">
        <v>45579.0</v>
      </c>
      <c r="D62" s="283">
        <v>24.0</v>
      </c>
      <c r="E62" s="284" t="b">
        <v>1</v>
      </c>
      <c r="F62" s="284" t="b">
        <v>0</v>
      </c>
      <c r="G62" s="284" t="b">
        <v>0</v>
      </c>
      <c r="H62" s="284" t="b">
        <v>0</v>
      </c>
      <c r="I62" s="280" t="s">
        <v>436</v>
      </c>
      <c r="J62" s="280" t="s">
        <v>1298</v>
      </c>
      <c r="K62" s="283">
        <v>3487731.0</v>
      </c>
      <c r="L62" s="284" t="b">
        <v>0</v>
      </c>
      <c r="M62" s="284" t="b">
        <v>0</v>
      </c>
      <c r="N62" s="284" t="b">
        <v>0</v>
      </c>
      <c r="O62" s="284" t="b">
        <v>0</v>
      </c>
      <c r="P62" s="284" t="b">
        <v>0</v>
      </c>
      <c r="Q62" s="284" t="b">
        <v>0</v>
      </c>
      <c r="R62" s="284" t="b">
        <v>0</v>
      </c>
      <c r="S62" s="284" t="b">
        <v>0</v>
      </c>
      <c r="T62" s="289" t="s">
        <v>1324</v>
      </c>
      <c r="U62" s="286"/>
      <c r="V62" s="285"/>
      <c r="W62" s="286"/>
      <c r="X62" s="280" t="s">
        <v>1324</v>
      </c>
      <c r="Y62" s="290"/>
      <c r="Z62" s="287"/>
      <c r="AA62" s="287"/>
      <c r="AB62" s="287"/>
      <c r="AC62" s="287"/>
      <c r="AD62" s="287"/>
      <c r="AE62" s="287"/>
      <c r="AF62" s="287"/>
      <c r="AG62" s="287"/>
      <c r="AH62" s="287"/>
      <c r="AI62" s="287"/>
      <c r="AJ62" s="287"/>
    </row>
    <row r="63">
      <c r="A63" s="280" t="s">
        <v>417</v>
      </c>
      <c r="B63" s="281">
        <v>45563.0</v>
      </c>
      <c r="C63" s="281">
        <v>45565.0</v>
      </c>
      <c r="D63" s="283">
        <v>48.0</v>
      </c>
      <c r="E63" s="284" t="b">
        <v>1</v>
      </c>
      <c r="F63" s="284" t="b">
        <v>0</v>
      </c>
      <c r="G63" s="284" t="b">
        <v>0</v>
      </c>
      <c r="H63" s="284" t="b">
        <v>0</v>
      </c>
      <c r="I63" s="280" t="s">
        <v>439</v>
      </c>
      <c r="J63" s="280" t="s">
        <v>1298</v>
      </c>
      <c r="K63" s="283">
        <v>1506337.0</v>
      </c>
      <c r="L63" s="284" t="b">
        <v>0</v>
      </c>
      <c r="M63" s="284" t="b">
        <v>0</v>
      </c>
      <c r="N63" s="284" t="b">
        <v>0</v>
      </c>
      <c r="O63" s="284" t="b">
        <v>0</v>
      </c>
      <c r="P63" s="284" t="b">
        <v>0</v>
      </c>
      <c r="Q63" s="284" t="b">
        <v>0</v>
      </c>
      <c r="R63" s="284" t="b">
        <v>0</v>
      </c>
      <c r="S63" s="284" t="b">
        <v>0</v>
      </c>
      <c r="T63" s="289" t="s">
        <v>1324</v>
      </c>
      <c r="U63" s="285"/>
      <c r="V63" s="286"/>
      <c r="W63" s="286"/>
      <c r="X63" s="280" t="s">
        <v>1324</v>
      </c>
      <c r="Y63" s="290"/>
      <c r="Z63" s="287"/>
      <c r="AA63" s="287"/>
      <c r="AB63" s="287"/>
      <c r="AC63" s="287"/>
      <c r="AD63" s="287"/>
      <c r="AE63" s="287"/>
      <c r="AF63" s="287"/>
      <c r="AG63" s="287"/>
      <c r="AH63" s="287"/>
      <c r="AI63" s="287"/>
      <c r="AJ63" s="287"/>
    </row>
    <row r="64">
      <c r="A64" s="280" t="s">
        <v>417</v>
      </c>
      <c r="B64" s="281">
        <v>45556.0</v>
      </c>
      <c r="C64" s="281">
        <v>45557.0</v>
      </c>
      <c r="D64" s="288">
        <v>6.0</v>
      </c>
      <c r="E64" s="284" t="b">
        <v>0</v>
      </c>
      <c r="F64" s="284" t="b">
        <v>0</v>
      </c>
      <c r="G64" s="284" t="b">
        <v>1</v>
      </c>
      <c r="H64" s="284" t="b">
        <v>0</v>
      </c>
      <c r="I64" s="280" t="s">
        <v>442</v>
      </c>
      <c r="J64" s="280" t="s">
        <v>1298</v>
      </c>
      <c r="K64" s="283">
        <v>3.2988134E7</v>
      </c>
      <c r="L64" s="284" t="b">
        <v>0</v>
      </c>
      <c r="M64" s="284" t="b">
        <v>0</v>
      </c>
      <c r="N64" s="284" t="b">
        <v>0</v>
      </c>
      <c r="O64" s="284" t="b">
        <v>0</v>
      </c>
      <c r="P64" s="284" t="b">
        <v>0</v>
      </c>
      <c r="Q64" s="284" t="b">
        <v>0</v>
      </c>
      <c r="R64" s="284" t="b">
        <v>0</v>
      </c>
      <c r="S64" s="284" t="b">
        <v>0</v>
      </c>
      <c r="T64" s="289" t="s">
        <v>1324</v>
      </c>
      <c r="U64" s="285"/>
      <c r="V64" s="286"/>
      <c r="W64" s="286"/>
      <c r="X64" s="280" t="s">
        <v>1324</v>
      </c>
      <c r="Y64" s="290"/>
      <c r="Z64" s="287"/>
      <c r="AA64" s="287"/>
      <c r="AB64" s="287"/>
      <c r="AC64" s="287"/>
      <c r="AD64" s="287"/>
      <c r="AE64" s="287"/>
      <c r="AF64" s="287"/>
      <c r="AG64" s="287"/>
      <c r="AH64" s="287"/>
      <c r="AI64" s="287"/>
      <c r="AJ64" s="287"/>
    </row>
    <row r="65">
      <c r="A65" s="280" t="s">
        <v>417</v>
      </c>
      <c r="B65" s="281">
        <v>45540.0</v>
      </c>
      <c r="C65" s="281">
        <v>45541.0</v>
      </c>
      <c r="D65" s="283">
        <v>24.0</v>
      </c>
      <c r="E65" s="284" t="b">
        <v>0</v>
      </c>
      <c r="F65" s="284" t="b">
        <v>0</v>
      </c>
      <c r="G65" s="284" t="b">
        <v>1</v>
      </c>
      <c r="H65" s="284" t="b">
        <v>0</v>
      </c>
      <c r="I65" s="280" t="s">
        <v>1326</v>
      </c>
      <c r="J65" s="280" t="s">
        <v>1298</v>
      </c>
      <c r="K65" s="283">
        <v>29401.0</v>
      </c>
      <c r="L65" s="284" t="b">
        <v>0</v>
      </c>
      <c r="M65" s="284" t="b">
        <v>0</v>
      </c>
      <c r="N65" s="284" t="b">
        <v>0</v>
      </c>
      <c r="O65" s="284" t="b">
        <v>0</v>
      </c>
      <c r="P65" s="284" t="b">
        <v>0</v>
      </c>
      <c r="Q65" s="284" t="b">
        <v>0</v>
      </c>
      <c r="R65" s="284" t="b">
        <v>0</v>
      </c>
      <c r="S65" s="284" t="b">
        <v>0</v>
      </c>
      <c r="T65" s="289" t="s">
        <v>1324</v>
      </c>
      <c r="U65" s="286"/>
      <c r="V65" s="285"/>
      <c r="W65" s="286"/>
      <c r="X65" s="280" t="s">
        <v>1324</v>
      </c>
      <c r="Y65" s="290"/>
      <c r="Z65" s="287"/>
      <c r="AA65" s="287"/>
      <c r="AB65" s="287"/>
      <c r="AC65" s="287"/>
      <c r="AD65" s="287"/>
      <c r="AE65" s="287"/>
      <c r="AF65" s="287"/>
      <c r="AG65" s="287"/>
      <c r="AH65" s="287"/>
      <c r="AI65" s="287"/>
      <c r="AJ65" s="287"/>
    </row>
    <row r="66">
      <c r="A66" s="280" t="s">
        <v>417</v>
      </c>
      <c r="B66" s="281">
        <v>45545.0</v>
      </c>
      <c r="C66" s="281">
        <v>45550.0</v>
      </c>
      <c r="D66" s="283">
        <v>120.0</v>
      </c>
      <c r="E66" s="284" t="b">
        <v>1</v>
      </c>
      <c r="F66" s="284" t="b">
        <v>0</v>
      </c>
      <c r="G66" s="284" t="b">
        <v>0</v>
      </c>
      <c r="H66" s="284" t="b">
        <v>0</v>
      </c>
      <c r="I66" s="280" t="s">
        <v>427</v>
      </c>
      <c r="J66" s="280" t="s">
        <v>1298</v>
      </c>
      <c r="K66" s="283">
        <v>3436948.0</v>
      </c>
      <c r="L66" s="284" t="b">
        <v>0</v>
      </c>
      <c r="M66" s="284" t="b">
        <v>0</v>
      </c>
      <c r="N66" s="284" t="b">
        <v>0</v>
      </c>
      <c r="O66" s="284" t="b">
        <v>0</v>
      </c>
      <c r="P66" s="284" t="b">
        <v>0</v>
      </c>
      <c r="Q66" s="284" t="b">
        <v>0</v>
      </c>
      <c r="R66" s="284" t="b">
        <v>0</v>
      </c>
      <c r="S66" s="284" t="b">
        <v>0</v>
      </c>
      <c r="T66" s="289" t="s">
        <v>1324</v>
      </c>
      <c r="U66" s="286"/>
      <c r="V66" s="286"/>
      <c r="W66" s="286"/>
      <c r="X66" s="280" t="s">
        <v>1324</v>
      </c>
      <c r="Y66" s="287"/>
      <c r="Z66" s="287"/>
      <c r="AA66" s="287"/>
      <c r="AB66" s="287"/>
      <c r="AC66" s="287"/>
      <c r="AD66" s="287"/>
      <c r="AE66" s="287"/>
      <c r="AF66" s="287"/>
      <c r="AG66" s="287"/>
      <c r="AH66" s="287"/>
      <c r="AI66" s="287"/>
      <c r="AJ66" s="287"/>
    </row>
    <row r="67">
      <c r="A67" s="280" t="s">
        <v>417</v>
      </c>
      <c r="B67" s="281">
        <v>45550.0</v>
      </c>
      <c r="C67" s="281">
        <v>45551.0</v>
      </c>
      <c r="D67" s="283">
        <v>24.0</v>
      </c>
      <c r="E67" s="284" t="b">
        <v>0</v>
      </c>
      <c r="F67" s="284" t="b">
        <v>0</v>
      </c>
      <c r="G67" s="284" t="b">
        <v>1</v>
      </c>
      <c r="H67" s="284" t="b">
        <v>0</v>
      </c>
      <c r="I67" s="280" t="s">
        <v>450</v>
      </c>
      <c r="J67" s="280" t="s">
        <v>1298</v>
      </c>
      <c r="K67" s="283">
        <v>3.1205576E7</v>
      </c>
      <c r="L67" s="284" t="b">
        <v>0</v>
      </c>
      <c r="M67" s="284" t="b">
        <v>0</v>
      </c>
      <c r="N67" s="284" t="b">
        <v>0</v>
      </c>
      <c r="O67" s="284" t="b">
        <v>0</v>
      </c>
      <c r="P67" s="284" t="b">
        <v>0</v>
      </c>
      <c r="Q67" s="284" t="b">
        <v>0</v>
      </c>
      <c r="R67" s="284" t="b">
        <v>0</v>
      </c>
      <c r="S67" s="284" t="b">
        <v>0</v>
      </c>
      <c r="T67" s="289" t="s">
        <v>1324</v>
      </c>
      <c r="U67" s="286"/>
      <c r="V67" s="286"/>
      <c r="W67" s="286"/>
      <c r="X67" s="280" t="s">
        <v>1324</v>
      </c>
      <c r="Y67" s="287"/>
      <c r="Z67" s="287"/>
      <c r="AA67" s="287"/>
      <c r="AB67" s="287"/>
      <c r="AC67" s="287"/>
      <c r="AD67" s="287"/>
      <c r="AE67" s="287"/>
      <c r="AF67" s="287"/>
      <c r="AG67" s="287"/>
      <c r="AH67" s="287"/>
      <c r="AI67" s="287"/>
      <c r="AJ67" s="287"/>
    </row>
    <row r="68">
      <c r="A68" s="280" t="s">
        <v>417</v>
      </c>
      <c r="B68" s="281">
        <v>45525.0</v>
      </c>
      <c r="C68" s="281">
        <v>45526.0</v>
      </c>
      <c r="D68" s="283">
        <v>24.0</v>
      </c>
      <c r="E68" s="284" t="b">
        <v>1</v>
      </c>
      <c r="F68" s="284" t="b">
        <v>0</v>
      </c>
      <c r="G68" s="284" t="b">
        <v>0</v>
      </c>
      <c r="H68" s="284" t="b">
        <v>0</v>
      </c>
      <c r="I68" s="280" t="s">
        <v>452</v>
      </c>
      <c r="J68" s="280" t="s">
        <v>1298</v>
      </c>
      <c r="K68" s="283">
        <v>1.12374333E8</v>
      </c>
      <c r="L68" s="284" t="b">
        <v>0</v>
      </c>
      <c r="M68" s="284" t="b">
        <v>0</v>
      </c>
      <c r="N68" s="284" t="b">
        <v>0</v>
      </c>
      <c r="O68" s="284" t="b">
        <v>0</v>
      </c>
      <c r="P68" s="284" t="b">
        <v>0</v>
      </c>
      <c r="Q68" s="284" t="b">
        <v>0</v>
      </c>
      <c r="R68" s="284" t="b">
        <v>0</v>
      </c>
      <c r="S68" s="284" t="b">
        <v>0</v>
      </c>
      <c r="T68" s="289" t="s">
        <v>1324</v>
      </c>
      <c r="U68" s="286"/>
      <c r="V68" s="286"/>
      <c r="W68" s="286"/>
      <c r="X68" s="280" t="s">
        <v>1324</v>
      </c>
      <c r="Y68" s="287"/>
      <c r="Z68" s="287"/>
      <c r="AA68" s="287"/>
      <c r="AB68" s="287"/>
      <c r="AC68" s="287"/>
      <c r="AD68" s="287"/>
      <c r="AE68" s="287"/>
      <c r="AF68" s="287"/>
      <c r="AG68" s="287"/>
      <c r="AH68" s="287"/>
      <c r="AI68" s="287"/>
      <c r="AJ68" s="287"/>
    </row>
    <row r="69">
      <c r="A69" s="280" t="s">
        <v>417</v>
      </c>
      <c r="B69" s="281">
        <v>45521.0</v>
      </c>
      <c r="C69" s="281">
        <v>45523.0</v>
      </c>
      <c r="D69" s="283">
        <v>72.0</v>
      </c>
      <c r="E69" s="284" t="b">
        <v>0</v>
      </c>
      <c r="F69" s="284" t="b">
        <v>0</v>
      </c>
      <c r="G69" s="284" t="b">
        <v>1</v>
      </c>
      <c r="H69" s="284" t="b">
        <v>0</v>
      </c>
      <c r="I69" s="280" t="s">
        <v>455</v>
      </c>
      <c r="J69" s="280" t="s">
        <v>1298</v>
      </c>
      <c r="K69" s="283">
        <v>672000.0</v>
      </c>
      <c r="L69" s="284" t="b">
        <v>0</v>
      </c>
      <c r="M69" s="284" t="b">
        <v>0</v>
      </c>
      <c r="N69" s="284" t="b">
        <v>0</v>
      </c>
      <c r="O69" s="284" t="b">
        <v>0</v>
      </c>
      <c r="P69" s="284" t="b">
        <v>0</v>
      </c>
      <c r="Q69" s="284" t="b">
        <v>0</v>
      </c>
      <c r="R69" s="284" t="b">
        <v>0</v>
      </c>
      <c r="S69" s="284" t="b">
        <v>0</v>
      </c>
      <c r="T69" s="289" t="s">
        <v>1324</v>
      </c>
      <c r="U69" s="286"/>
      <c r="V69" s="286"/>
      <c r="W69" s="286"/>
      <c r="X69" s="280" t="s">
        <v>1324</v>
      </c>
      <c r="Y69" s="287"/>
      <c r="Z69" s="287"/>
      <c r="AA69" s="287"/>
      <c r="AB69" s="287"/>
      <c r="AC69" s="287"/>
      <c r="AD69" s="287"/>
      <c r="AE69" s="287"/>
      <c r="AF69" s="287"/>
      <c r="AG69" s="287"/>
      <c r="AH69" s="287"/>
      <c r="AI69" s="287"/>
      <c r="AJ69" s="287"/>
    </row>
    <row r="70">
      <c r="A70" s="280" t="s">
        <v>417</v>
      </c>
      <c r="B70" s="281">
        <v>45494.0</v>
      </c>
      <c r="C70" s="281">
        <v>45495.0</v>
      </c>
      <c r="D70" s="283">
        <v>24.0</v>
      </c>
      <c r="E70" s="284" t="b">
        <v>0</v>
      </c>
      <c r="F70" s="284" t="b">
        <v>0</v>
      </c>
      <c r="G70" s="284" t="b">
        <v>1</v>
      </c>
      <c r="H70" s="284" t="b">
        <v>0</v>
      </c>
      <c r="I70" s="280" t="s">
        <v>457</v>
      </c>
      <c r="J70" s="280" t="s">
        <v>1298</v>
      </c>
      <c r="K70" s="283">
        <v>16260.0</v>
      </c>
      <c r="L70" s="284" t="b">
        <v>0</v>
      </c>
      <c r="M70" s="284" t="b">
        <v>0</v>
      </c>
      <c r="N70" s="284" t="b">
        <v>0</v>
      </c>
      <c r="O70" s="284" t="b">
        <v>0</v>
      </c>
      <c r="P70" s="284" t="b">
        <v>0</v>
      </c>
      <c r="Q70" s="284" t="b">
        <v>0</v>
      </c>
      <c r="R70" s="284" t="b">
        <v>0</v>
      </c>
      <c r="S70" s="284" t="b">
        <v>0</v>
      </c>
      <c r="T70" s="289" t="s">
        <v>1324</v>
      </c>
      <c r="U70" s="286"/>
      <c r="V70" s="286"/>
      <c r="W70" s="286"/>
      <c r="X70" s="280" t="s">
        <v>1324</v>
      </c>
      <c r="Y70" s="287"/>
      <c r="Z70" s="287"/>
      <c r="AA70" s="287"/>
      <c r="AB70" s="287"/>
      <c r="AC70" s="287"/>
      <c r="AD70" s="287"/>
      <c r="AE70" s="287"/>
      <c r="AF70" s="287"/>
      <c r="AG70" s="287"/>
      <c r="AH70" s="287"/>
      <c r="AI70" s="287"/>
      <c r="AJ70" s="287"/>
    </row>
    <row r="71">
      <c r="A71" s="280" t="s">
        <v>417</v>
      </c>
      <c r="B71" s="281">
        <v>45461.0</v>
      </c>
      <c r="C71" s="281">
        <v>45465.0</v>
      </c>
      <c r="D71" s="283">
        <v>96.0</v>
      </c>
      <c r="E71" s="284" t="b">
        <v>0</v>
      </c>
      <c r="F71" s="284" t="b">
        <v>0</v>
      </c>
      <c r="G71" s="284" t="b">
        <v>1</v>
      </c>
      <c r="H71" s="284" t="b">
        <v>0</v>
      </c>
      <c r="I71" s="280" t="s">
        <v>460</v>
      </c>
      <c r="J71" s="280" t="s">
        <v>1298</v>
      </c>
      <c r="K71" s="283">
        <v>2680000.0</v>
      </c>
      <c r="L71" s="284" t="b">
        <v>0</v>
      </c>
      <c r="M71" s="284" t="b">
        <v>0</v>
      </c>
      <c r="N71" s="284" t="b">
        <v>0</v>
      </c>
      <c r="O71" s="284" t="b">
        <v>0</v>
      </c>
      <c r="P71" s="284" t="b">
        <v>0</v>
      </c>
      <c r="Q71" s="284" t="b">
        <v>0</v>
      </c>
      <c r="R71" s="284" t="b">
        <v>0</v>
      </c>
      <c r="S71" s="284" t="b">
        <v>0</v>
      </c>
      <c r="T71" s="289" t="s">
        <v>1324</v>
      </c>
      <c r="U71" s="286"/>
      <c r="V71" s="286"/>
      <c r="W71" s="286"/>
      <c r="X71" s="280" t="s">
        <v>1324</v>
      </c>
      <c r="Y71" s="287"/>
      <c r="Z71" s="287"/>
      <c r="AA71" s="287"/>
      <c r="AB71" s="287"/>
      <c r="AC71" s="287"/>
      <c r="AD71" s="287"/>
      <c r="AE71" s="287"/>
      <c r="AF71" s="287"/>
      <c r="AG71" s="287"/>
      <c r="AH71" s="287"/>
      <c r="AI71" s="287"/>
      <c r="AJ71" s="287"/>
    </row>
    <row r="72">
      <c r="A72" s="280" t="s">
        <v>417</v>
      </c>
      <c r="B72" s="281">
        <v>45433.0</v>
      </c>
      <c r="C72" s="281">
        <v>45435.0</v>
      </c>
      <c r="D72" s="283">
        <v>48.0</v>
      </c>
      <c r="E72" s="284" t="b">
        <v>1</v>
      </c>
      <c r="F72" s="284" t="b">
        <v>0</v>
      </c>
      <c r="G72" s="284" t="b">
        <v>0</v>
      </c>
      <c r="H72" s="284" t="b">
        <v>0</v>
      </c>
      <c r="I72" s="280" t="s">
        <v>463</v>
      </c>
      <c r="J72" s="280" t="s">
        <v>1298</v>
      </c>
      <c r="K72" s="280" t="s">
        <v>1327</v>
      </c>
      <c r="L72" s="284" t="b">
        <v>0</v>
      </c>
      <c r="M72" s="284" t="b">
        <v>0</v>
      </c>
      <c r="N72" s="284" t="b">
        <v>0</v>
      </c>
      <c r="O72" s="284" t="b">
        <v>0</v>
      </c>
      <c r="P72" s="284" t="b">
        <v>0</v>
      </c>
      <c r="Q72" s="284" t="b">
        <v>0</v>
      </c>
      <c r="R72" s="284" t="b">
        <v>0</v>
      </c>
      <c r="S72" s="284" t="b">
        <v>0</v>
      </c>
      <c r="T72" s="289" t="s">
        <v>1324</v>
      </c>
      <c r="U72" s="286"/>
      <c r="V72" s="286"/>
      <c r="W72" s="286"/>
      <c r="X72" s="280" t="s">
        <v>1324</v>
      </c>
      <c r="Y72" s="287"/>
      <c r="Z72" s="287"/>
      <c r="AA72" s="287"/>
      <c r="AB72" s="287"/>
      <c r="AC72" s="287"/>
      <c r="AD72" s="287"/>
      <c r="AE72" s="287"/>
      <c r="AF72" s="287"/>
      <c r="AG72" s="287"/>
      <c r="AH72" s="287"/>
      <c r="AI72" s="287"/>
      <c r="AJ72" s="287"/>
    </row>
    <row r="73">
      <c r="A73" s="280" t="s">
        <v>417</v>
      </c>
      <c r="B73" s="281">
        <v>45426.0</v>
      </c>
      <c r="C73" s="281">
        <v>45428.0</v>
      </c>
      <c r="D73" s="283">
        <v>48.0</v>
      </c>
      <c r="E73" s="284" t="b">
        <v>1</v>
      </c>
      <c r="F73" s="284" t="b">
        <v>0</v>
      </c>
      <c r="G73" s="284" t="b">
        <v>0</v>
      </c>
      <c r="H73" s="284" t="b">
        <v>0</v>
      </c>
      <c r="I73" s="280" t="s">
        <v>463</v>
      </c>
      <c r="J73" s="280" t="s">
        <v>1298</v>
      </c>
      <c r="K73" s="280" t="s">
        <v>1327</v>
      </c>
      <c r="L73" s="284" t="b">
        <v>0</v>
      </c>
      <c r="M73" s="284" t="b">
        <v>0</v>
      </c>
      <c r="N73" s="284" t="b">
        <v>0</v>
      </c>
      <c r="O73" s="284" t="b">
        <v>0</v>
      </c>
      <c r="P73" s="284" t="b">
        <v>0</v>
      </c>
      <c r="Q73" s="284" t="b">
        <v>0</v>
      </c>
      <c r="R73" s="284" t="b">
        <v>0</v>
      </c>
      <c r="S73" s="284" t="b">
        <v>0</v>
      </c>
      <c r="T73" s="289" t="s">
        <v>1324</v>
      </c>
      <c r="U73" s="286"/>
      <c r="V73" s="285"/>
      <c r="W73" s="286"/>
      <c r="X73" s="280" t="s">
        <v>1324</v>
      </c>
      <c r="Y73" s="290"/>
      <c r="Z73" s="287"/>
      <c r="AA73" s="287"/>
      <c r="AB73" s="287"/>
      <c r="AC73" s="287"/>
      <c r="AD73" s="287"/>
      <c r="AE73" s="287"/>
      <c r="AF73" s="287"/>
      <c r="AG73" s="287"/>
      <c r="AH73" s="287"/>
      <c r="AI73" s="287"/>
      <c r="AJ73" s="287"/>
    </row>
    <row r="74">
      <c r="A74" s="280" t="s">
        <v>417</v>
      </c>
      <c r="B74" s="281">
        <v>45388.0</v>
      </c>
      <c r="C74" s="281">
        <v>45389.0</v>
      </c>
      <c r="D74" s="283">
        <v>24.0</v>
      </c>
      <c r="E74" s="284" t="b">
        <v>1</v>
      </c>
      <c r="F74" s="284" t="b">
        <v>0</v>
      </c>
      <c r="G74" s="284" t="b">
        <v>0</v>
      </c>
      <c r="H74" s="284" t="b">
        <v>0</v>
      </c>
      <c r="I74" s="280" t="s">
        <v>468</v>
      </c>
      <c r="J74" s="280" t="s">
        <v>1298</v>
      </c>
      <c r="K74" s="283">
        <v>133487.0</v>
      </c>
      <c r="L74" s="284" t="b">
        <v>0</v>
      </c>
      <c r="M74" s="284" t="b">
        <v>0</v>
      </c>
      <c r="N74" s="284" t="b">
        <v>0</v>
      </c>
      <c r="O74" s="284" t="b">
        <v>0</v>
      </c>
      <c r="P74" s="284" t="b">
        <v>0</v>
      </c>
      <c r="Q74" s="284" t="b">
        <v>0</v>
      </c>
      <c r="R74" s="284" t="b">
        <v>0</v>
      </c>
      <c r="S74" s="284" t="b">
        <v>0</v>
      </c>
      <c r="T74" s="289" t="s">
        <v>1324</v>
      </c>
      <c r="U74" s="286"/>
      <c r="V74" s="285"/>
      <c r="W74" s="286"/>
      <c r="X74" s="280" t="s">
        <v>1324</v>
      </c>
      <c r="Y74" s="290"/>
      <c r="Z74" s="287"/>
      <c r="AA74" s="287"/>
      <c r="AB74" s="287"/>
      <c r="AC74" s="287"/>
      <c r="AD74" s="287"/>
      <c r="AE74" s="287"/>
      <c r="AF74" s="287"/>
      <c r="AG74" s="287"/>
      <c r="AH74" s="287"/>
      <c r="AI74" s="287"/>
      <c r="AJ74" s="287"/>
    </row>
    <row r="75">
      <c r="A75" s="280" t="s">
        <v>417</v>
      </c>
      <c r="B75" s="281">
        <v>45338.0</v>
      </c>
      <c r="C75" s="281">
        <v>45353.0</v>
      </c>
      <c r="D75" s="283">
        <v>384.0</v>
      </c>
      <c r="E75" s="284" t="b">
        <v>1</v>
      </c>
      <c r="F75" s="284" t="b">
        <v>0</v>
      </c>
      <c r="G75" s="284" t="b">
        <v>0</v>
      </c>
      <c r="H75" s="284" t="b">
        <v>0</v>
      </c>
      <c r="I75" s="280" t="s">
        <v>427</v>
      </c>
      <c r="J75" s="280" t="s">
        <v>1298</v>
      </c>
      <c r="K75" s="283">
        <v>3436948.0</v>
      </c>
      <c r="L75" s="284" t="b">
        <v>0</v>
      </c>
      <c r="M75" s="284" t="b">
        <v>0</v>
      </c>
      <c r="N75" s="284" t="b">
        <v>0</v>
      </c>
      <c r="O75" s="284" t="b">
        <v>0</v>
      </c>
      <c r="P75" s="284" t="b">
        <v>0</v>
      </c>
      <c r="Q75" s="284" t="b">
        <v>0</v>
      </c>
      <c r="R75" s="284" t="b">
        <v>0</v>
      </c>
      <c r="S75" s="284" t="b">
        <v>0</v>
      </c>
      <c r="T75" s="289" t="s">
        <v>1324</v>
      </c>
      <c r="U75" s="286"/>
      <c r="V75" s="286"/>
      <c r="W75" s="286"/>
      <c r="X75" s="280" t="s">
        <v>1324</v>
      </c>
      <c r="Y75" s="287"/>
      <c r="Z75" s="287"/>
      <c r="AA75" s="287"/>
      <c r="AB75" s="287"/>
      <c r="AC75" s="287"/>
      <c r="AD75" s="287"/>
      <c r="AE75" s="287"/>
      <c r="AF75" s="287"/>
      <c r="AG75" s="287"/>
      <c r="AH75" s="287"/>
      <c r="AI75" s="287"/>
      <c r="AJ75" s="287"/>
    </row>
    <row r="76">
      <c r="A76" s="280" t="s">
        <v>417</v>
      </c>
      <c r="B76" s="281">
        <v>45333.0</v>
      </c>
      <c r="C76" s="281">
        <v>45351.0</v>
      </c>
      <c r="D76" s="288">
        <v>456.0</v>
      </c>
      <c r="E76" s="284" t="b">
        <v>1</v>
      </c>
      <c r="F76" s="284" t="b">
        <v>0</v>
      </c>
      <c r="G76" s="284" t="b">
        <v>0</v>
      </c>
      <c r="H76" s="284" t="b">
        <v>0</v>
      </c>
      <c r="I76" s="280" t="s">
        <v>419</v>
      </c>
      <c r="J76" s="280" t="s">
        <v>1298</v>
      </c>
      <c r="K76" s="283">
        <v>3.087E7</v>
      </c>
      <c r="L76" s="284" t="b">
        <v>0</v>
      </c>
      <c r="M76" s="284" t="b">
        <v>0</v>
      </c>
      <c r="N76" s="284" t="b">
        <v>0</v>
      </c>
      <c r="O76" s="284" t="b">
        <v>0</v>
      </c>
      <c r="P76" s="284" t="b">
        <v>0</v>
      </c>
      <c r="Q76" s="284" t="b">
        <v>0</v>
      </c>
      <c r="R76" s="284" t="b">
        <v>0</v>
      </c>
      <c r="S76" s="284" t="b">
        <v>0</v>
      </c>
      <c r="T76" s="289" t="s">
        <v>1324</v>
      </c>
      <c r="U76" s="285"/>
      <c r="V76" s="286"/>
      <c r="W76" s="286"/>
      <c r="X76" s="280" t="s">
        <v>1324</v>
      </c>
      <c r="Y76" s="290"/>
      <c r="Z76" s="287"/>
      <c r="AA76" s="287"/>
      <c r="AB76" s="287"/>
      <c r="AC76" s="287"/>
      <c r="AD76" s="287"/>
      <c r="AE76" s="287"/>
      <c r="AF76" s="287"/>
      <c r="AG76" s="287"/>
      <c r="AH76" s="287"/>
      <c r="AI76" s="287"/>
      <c r="AJ76" s="287"/>
    </row>
    <row r="77">
      <c r="A77" s="280" t="s">
        <v>417</v>
      </c>
      <c r="B77" s="281">
        <v>45332.0</v>
      </c>
      <c r="C77" s="281">
        <v>45346.0</v>
      </c>
      <c r="D77" s="288">
        <v>360.0</v>
      </c>
      <c r="E77" s="284" t="b">
        <v>1</v>
      </c>
      <c r="F77" s="284" t="b">
        <v>0</v>
      </c>
      <c r="G77" s="284" t="b">
        <v>0</v>
      </c>
      <c r="H77" s="284" t="b">
        <v>0</v>
      </c>
      <c r="I77" s="280" t="s">
        <v>475</v>
      </c>
      <c r="J77" s="280" t="s">
        <v>1298</v>
      </c>
      <c r="K77" s="283">
        <v>2.77E7</v>
      </c>
      <c r="L77" s="284" t="b">
        <v>0</v>
      </c>
      <c r="M77" s="284" t="b">
        <v>0</v>
      </c>
      <c r="N77" s="284" t="b">
        <v>0</v>
      </c>
      <c r="O77" s="284" t="b">
        <v>0</v>
      </c>
      <c r="P77" s="284" t="b">
        <v>0</v>
      </c>
      <c r="Q77" s="284" t="b">
        <v>0</v>
      </c>
      <c r="R77" s="284" t="b">
        <v>0</v>
      </c>
      <c r="S77" s="284" t="b">
        <v>0</v>
      </c>
      <c r="T77" s="289" t="s">
        <v>1324</v>
      </c>
      <c r="U77" s="285"/>
      <c r="V77" s="286"/>
      <c r="W77" s="286"/>
      <c r="X77" s="280" t="s">
        <v>1324</v>
      </c>
      <c r="Y77" s="290"/>
      <c r="Z77" s="287"/>
      <c r="AA77" s="287"/>
      <c r="AB77" s="287"/>
      <c r="AC77" s="287"/>
      <c r="AD77" s="287"/>
      <c r="AE77" s="287"/>
      <c r="AF77" s="287"/>
      <c r="AG77" s="287"/>
      <c r="AH77" s="287"/>
      <c r="AI77" s="287"/>
      <c r="AJ77" s="287"/>
    </row>
    <row r="78">
      <c r="A78" s="280" t="s">
        <v>417</v>
      </c>
      <c r="B78" s="281">
        <v>45049.0</v>
      </c>
      <c r="C78" s="282"/>
      <c r="D78" s="283">
        <v>14568.0</v>
      </c>
      <c r="E78" s="284" t="b">
        <v>1</v>
      </c>
      <c r="F78" s="284" t="b">
        <v>0</v>
      </c>
      <c r="G78" s="284" t="b">
        <v>0</v>
      </c>
      <c r="H78" s="284" t="b">
        <v>0</v>
      </c>
      <c r="I78" s="280" t="s">
        <v>427</v>
      </c>
      <c r="J78" s="280" t="s">
        <v>1298</v>
      </c>
      <c r="K78" s="283">
        <v>3436948.0</v>
      </c>
      <c r="L78" s="284" t="b">
        <v>0</v>
      </c>
      <c r="M78" s="284" t="b">
        <v>0</v>
      </c>
      <c r="N78" s="284" t="b">
        <v>0</v>
      </c>
      <c r="O78" s="284" t="b">
        <v>0</v>
      </c>
      <c r="P78" s="284" t="b">
        <v>0</v>
      </c>
      <c r="Q78" s="284" t="b">
        <v>0</v>
      </c>
      <c r="R78" s="284" t="b">
        <v>0</v>
      </c>
      <c r="S78" s="284" t="b">
        <v>0</v>
      </c>
      <c r="T78" s="285"/>
      <c r="U78" s="285"/>
      <c r="V78" s="286"/>
      <c r="W78" s="280" t="s">
        <v>1324</v>
      </c>
      <c r="X78" s="285"/>
      <c r="Y78" s="290"/>
      <c r="Z78" s="287"/>
      <c r="AA78" s="287"/>
      <c r="AB78" s="287"/>
      <c r="AC78" s="287"/>
      <c r="AD78" s="287"/>
      <c r="AE78" s="287"/>
      <c r="AF78" s="287"/>
      <c r="AG78" s="287"/>
      <c r="AH78" s="287"/>
      <c r="AI78" s="287"/>
      <c r="AJ78" s="287"/>
    </row>
    <row r="79">
      <c r="A79" s="280" t="s">
        <v>417</v>
      </c>
      <c r="B79" s="281">
        <v>45047.0</v>
      </c>
      <c r="C79" s="282"/>
      <c r="D79" s="283">
        <v>14616.0</v>
      </c>
      <c r="E79" s="284" t="b">
        <v>0</v>
      </c>
      <c r="F79" s="284" t="b">
        <v>0</v>
      </c>
      <c r="G79" s="284" t="b">
        <v>1</v>
      </c>
      <c r="H79" s="284" t="b">
        <v>0</v>
      </c>
      <c r="I79" s="280" t="s">
        <v>38</v>
      </c>
      <c r="J79" s="280" t="s">
        <v>1298</v>
      </c>
      <c r="K79" s="283">
        <v>1.422026528E9</v>
      </c>
      <c r="L79" s="284" t="b">
        <v>0</v>
      </c>
      <c r="M79" s="284" t="b">
        <v>0</v>
      </c>
      <c r="N79" s="284" t="b">
        <v>0</v>
      </c>
      <c r="O79" s="284" t="b">
        <v>0</v>
      </c>
      <c r="P79" s="284" t="b">
        <v>0</v>
      </c>
      <c r="Q79" s="284" t="b">
        <v>0</v>
      </c>
      <c r="R79" s="284" t="b">
        <v>0</v>
      </c>
      <c r="S79" s="284" t="b">
        <v>1</v>
      </c>
      <c r="T79" s="285"/>
      <c r="U79" s="285"/>
      <c r="V79" s="286"/>
      <c r="W79" s="280" t="s">
        <v>1324</v>
      </c>
      <c r="X79" s="285"/>
      <c r="Y79" s="290"/>
      <c r="Z79" s="287"/>
      <c r="AA79" s="287"/>
      <c r="AB79" s="287"/>
      <c r="AC79" s="287"/>
      <c r="AD79" s="287"/>
      <c r="AE79" s="287"/>
      <c r="AF79" s="287"/>
      <c r="AG79" s="287"/>
      <c r="AH79" s="287"/>
      <c r="AI79" s="287"/>
      <c r="AJ79" s="287"/>
    </row>
    <row r="80">
      <c r="A80" s="280" t="s">
        <v>590</v>
      </c>
      <c r="B80" s="281">
        <v>45144.0</v>
      </c>
      <c r="C80" s="282"/>
      <c r="D80" s="283">
        <v>12288.0</v>
      </c>
      <c r="E80" s="284" t="b">
        <v>0</v>
      </c>
      <c r="F80" s="284" t="b">
        <v>0</v>
      </c>
      <c r="G80" s="284" t="b">
        <v>0</v>
      </c>
      <c r="H80" s="284" t="b">
        <v>1</v>
      </c>
      <c r="I80" s="280" t="s">
        <v>38</v>
      </c>
      <c r="J80" s="280" t="s">
        <v>1298</v>
      </c>
      <c r="K80" s="283">
        <v>4.4996074E7</v>
      </c>
      <c r="L80" s="284" t="b">
        <v>0</v>
      </c>
      <c r="M80" s="284" t="b">
        <v>0</v>
      </c>
      <c r="N80" s="284" t="b">
        <v>0</v>
      </c>
      <c r="O80" s="284" t="b">
        <v>0</v>
      </c>
      <c r="P80" s="284" t="b">
        <v>1</v>
      </c>
      <c r="Q80" s="284" t="b">
        <v>0</v>
      </c>
      <c r="R80" s="284" t="b">
        <v>0</v>
      </c>
      <c r="S80" s="284" t="b">
        <v>0</v>
      </c>
      <c r="T80" s="285"/>
      <c r="U80" s="285"/>
      <c r="V80" s="286"/>
      <c r="W80" s="280" t="s">
        <v>1324</v>
      </c>
      <c r="X80" s="285"/>
      <c r="Y80" s="290"/>
      <c r="Z80" s="287"/>
      <c r="AA80" s="287"/>
      <c r="AB80" s="287"/>
      <c r="AC80" s="287"/>
      <c r="AD80" s="287"/>
      <c r="AE80" s="287"/>
      <c r="AF80" s="287"/>
      <c r="AG80" s="287"/>
      <c r="AH80" s="287"/>
      <c r="AI80" s="287"/>
      <c r="AJ80" s="287"/>
    </row>
    <row r="81">
      <c r="A81" s="280" t="s">
        <v>523</v>
      </c>
      <c r="B81" s="281">
        <v>45483.0</v>
      </c>
      <c r="C81" s="281">
        <v>45240.0</v>
      </c>
      <c r="D81" s="288">
        <v>3.0</v>
      </c>
      <c r="E81" s="284" t="b">
        <v>0</v>
      </c>
      <c r="F81" s="284" t="b">
        <v>0</v>
      </c>
      <c r="G81" s="284" t="b">
        <v>1</v>
      </c>
      <c r="H81" s="284" t="b">
        <v>0</v>
      </c>
      <c r="I81" s="280" t="s">
        <v>38</v>
      </c>
      <c r="J81" s="280" t="s">
        <v>1298</v>
      </c>
      <c r="K81" s="283">
        <v>8.8844498E7</v>
      </c>
      <c r="L81" s="284" t="b">
        <v>0</v>
      </c>
      <c r="M81" s="284" t="b">
        <v>0</v>
      </c>
      <c r="N81" s="284" t="b">
        <v>0</v>
      </c>
      <c r="O81" s="284" t="b">
        <v>0</v>
      </c>
      <c r="P81" s="284" t="b">
        <v>0</v>
      </c>
      <c r="Q81" s="284" t="b">
        <v>0</v>
      </c>
      <c r="R81" s="284" t="b">
        <v>0</v>
      </c>
      <c r="S81" s="284" t="b">
        <v>0</v>
      </c>
      <c r="T81" s="289" t="s">
        <v>1324</v>
      </c>
      <c r="U81" s="285"/>
      <c r="V81" s="286"/>
      <c r="W81" s="286"/>
      <c r="X81" s="280" t="s">
        <v>1324</v>
      </c>
      <c r="Y81" s="290"/>
      <c r="Z81" s="287"/>
      <c r="AA81" s="287"/>
      <c r="AB81" s="287"/>
      <c r="AC81" s="287"/>
      <c r="AD81" s="287"/>
      <c r="AE81" s="287"/>
      <c r="AF81" s="287"/>
      <c r="AG81" s="287"/>
      <c r="AH81" s="287"/>
      <c r="AI81" s="287"/>
      <c r="AJ81" s="287"/>
    </row>
    <row r="82">
      <c r="A82" s="280" t="s">
        <v>523</v>
      </c>
      <c r="B82" s="281">
        <v>44828.0</v>
      </c>
      <c r="C82" s="282"/>
      <c r="D82" s="283">
        <v>19872.0</v>
      </c>
      <c r="E82" s="284" t="b">
        <v>1</v>
      </c>
      <c r="F82" s="284" t="b">
        <v>0</v>
      </c>
      <c r="G82" s="284" t="b">
        <v>0</v>
      </c>
      <c r="H82" s="284" t="b">
        <v>0</v>
      </c>
      <c r="I82" s="280" t="s">
        <v>38</v>
      </c>
      <c r="J82" s="280" t="s">
        <v>1298</v>
      </c>
      <c r="K82" s="283">
        <v>8.8844498E7</v>
      </c>
      <c r="L82" s="284" t="b">
        <v>0</v>
      </c>
      <c r="M82" s="284" t="b">
        <v>0</v>
      </c>
      <c r="N82" s="284" t="b">
        <v>0</v>
      </c>
      <c r="O82" s="284" t="b">
        <v>0</v>
      </c>
      <c r="P82" s="284" t="b">
        <v>0</v>
      </c>
      <c r="Q82" s="284" t="b">
        <v>0</v>
      </c>
      <c r="R82" s="284" t="b">
        <v>0</v>
      </c>
      <c r="S82" s="284" t="b">
        <v>1</v>
      </c>
      <c r="T82" s="285"/>
      <c r="U82" s="285"/>
      <c r="V82" s="286"/>
      <c r="W82" s="280" t="s">
        <v>1324</v>
      </c>
      <c r="X82" s="285"/>
      <c r="Y82" s="290"/>
      <c r="Z82" s="287"/>
      <c r="AA82" s="287"/>
      <c r="AB82" s="287"/>
      <c r="AC82" s="287"/>
      <c r="AD82" s="287"/>
      <c r="AE82" s="287"/>
      <c r="AF82" s="287"/>
      <c r="AG82" s="287"/>
      <c r="AH82" s="287"/>
      <c r="AI82" s="287"/>
      <c r="AJ82" s="287"/>
    </row>
    <row r="83">
      <c r="A83" s="280" t="s">
        <v>523</v>
      </c>
      <c r="B83" s="281">
        <v>44825.0</v>
      </c>
      <c r="C83" s="281">
        <v>45651.0</v>
      </c>
      <c r="D83" s="283">
        <v>19800.0</v>
      </c>
      <c r="E83" s="284" t="b">
        <v>1</v>
      </c>
      <c r="F83" s="284" t="b">
        <v>0</v>
      </c>
      <c r="G83" s="284" t="b">
        <v>0</v>
      </c>
      <c r="H83" s="284" t="b">
        <v>0</v>
      </c>
      <c r="I83" s="280" t="s">
        <v>38</v>
      </c>
      <c r="J83" s="280" t="s">
        <v>1298</v>
      </c>
      <c r="K83" s="283">
        <v>8.8844498E7</v>
      </c>
      <c r="L83" s="284" t="b">
        <v>0</v>
      </c>
      <c r="M83" s="284" t="b">
        <v>0</v>
      </c>
      <c r="N83" s="284" t="b">
        <v>0</v>
      </c>
      <c r="O83" s="284" t="b">
        <v>1</v>
      </c>
      <c r="P83" s="284" t="b">
        <v>0</v>
      </c>
      <c r="Q83" s="284" t="b">
        <v>1</v>
      </c>
      <c r="R83" s="284" t="b">
        <v>0</v>
      </c>
      <c r="S83" s="284" t="b">
        <v>0</v>
      </c>
      <c r="T83" s="290"/>
      <c r="U83" s="290"/>
      <c r="V83" s="289" t="s">
        <v>1324</v>
      </c>
      <c r="W83" s="287"/>
      <c r="X83" s="290"/>
      <c r="Y83" s="290"/>
      <c r="Z83" s="287"/>
      <c r="AA83" s="287"/>
      <c r="AB83" s="287"/>
      <c r="AC83" s="287"/>
      <c r="AD83" s="287"/>
      <c r="AE83" s="287"/>
      <c r="AF83" s="287"/>
      <c r="AG83" s="287"/>
      <c r="AH83" s="287"/>
      <c r="AI83" s="287"/>
      <c r="AJ83" s="287"/>
    </row>
    <row r="84">
      <c r="A84" s="280" t="s">
        <v>604</v>
      </c>
      <c r="B84" s="281">
        <v>45424.0</v>
      </c>
      <c r="C84" s="281">
        <v>45338.0</v>
      </c>
      <c r="D84" s="288">
        <v>112.0</v>
      </c>
      <c r="E84" s="284" t="b">
        <v>1</v>
      </c>
      <c r="F84" s="284" t="b">
        <v>0</v>
      </c>
      <c r="G84" s="284" t="b">
        <v>0</v>
      </c>
      <c r="H84" s="284" t="b">
        <v>0</v>
      </c>
      <c r="I84" s="280" t="s">
        <v>603</v>
      </c>
      <c r="J84" s="280" t="s">
        <v>1298</v>
      </c>
      <c r="K84" s="283">
        <v>1.360632E7</v>
      </c>
      <c r="L84" s="284" t="b">
        <v>0</v>
      </c>
      <c r="M84" s="284" t="b">
        <v>0</v>
      </c>
      <c r="N84" s="284" t="b">
        <v>0</v>
      </c>
      <c r="O84" s="284" t="b">
        <v>0</v>
      </c>
      <c r="P84" s="284" t="b">
        <v>0</v>
      </c>
      <c r="Q84" s="284" t="b">
        <v>0</v>
      </c>
      <c r="R84" s="284" t="b">
        <v>0</v>
      </c>
      <c r="S84" s="284" t="b">
        <v>0</v>
      </c>
      <c r="T84" s="289" t="s">
        <v>1324</v>
      </c>
      <c r="U84" s="285"/>
      <c r="V84" s="286"/>
      <c r="W84" s="286"/>
      <c r="X84" s="280" t="s">
        <v>1324</v>
      </c>
      <c r="Y84" s="290"/>
      <c r="Z84" s="287"/>
      <c r="AA84" s="287"/>
      <c r="AB84" s="287"/>
      <c r="AC84" s="287"/>
      <c r="AD84" s="287"/>
      <c r="AE84" s="287"/>
      <c r="AF84" s="287"/>
      <c r="AG84" s="287"/>
      <c r="AH84" s="287"/>
      <c r="AI84" s="287"/>
      <c r="AJ84" s="287"/>
    </row>
    <row r="85">
      <c r="A85" s="280" t="s">
        <v>604</v>
      </c>
      <c r="B85" s="281">
        <v>45329.0</v>
      </c>
      <c r="C85" s="281">
        <v>45330.0</v>
      </c>
      <c r="D85" s="288">
        <v>24.0</v>
      </c>
      <c r="E85" s="284" t="b">
        <v>0</v>
      </c>
      <c r="F85" s="284" t="b">
        <v>0</v>
      </c>
      <c r="G85" s="284" t="b">
        <v>1</v>
      </c>
      <c r="H85" s="284" t="b">
        <v>0</v>
      </c>
      <c r="I85" s="280" t="s">
        <v>603</v>
      </c>
      <c r="J85" s="280" t="s">
        <v>1298</v>
      </c>
      <c r="K85" s="283">
        <v>1.360632E7</v>
      </c>
      <c r="L85" s="284" t="b">
        <v>0</v>
      </c>
      <c r="M85" s="284" t="b">
        <v>0</v>
      </c>
      <c r="N85" s="284" t="b">
        <v>0</v>
      </c>
      <c r="O85" s="284" t="b">
        <v>0</v>
      </c>
      <c r="P85" s="284" t="b">
        <v>0</v>
      </c>
      <c r="Q85" s="284" t="b">
        <v>0</v>
      </c>
      <c r="R85" s="284" t="b">
        <v>0</v>
      </c>
      <c r="S85" s="284" t="b">
        <v>0</v>
      </c>
      <c r="T85" s="289" t="s">
        <v>1324</v>
      </c>
      <c r="U85" s="285"/>
      <c r="V85" s="286"/>
      <c r="W85" s="286"/>
      <c r="X85" s="280" t="s">
        <v>1324</v>
      </c>
      <c r="Y85" s="290"/>
      <c r="Z85" s="287"/>
      <c r="AA85" s="287"/>
      <c r="AB85" s="287"/>
      <c r="AC85" s="287"/>
      <c r="AD85" s="287"/>
      <c r="AE85" s="287"/>
      <c r="AF85" s="287"/>
      <c r="AG85" s="287"/>
      <c r="AH85" s="287"/>
      <c r="AI85" s="287"/>
      <c r="AJ85" s="287"/>
    </row>
    <row r="86">
      <c r="A86" s="280" t="s">
        <v>642</v>
      </c>
      <c r="B86" s="281">
        <v>44911.0</v>
      </c>
      <c r="C86" s="282"/>
      <c r="D86" s="283">
        <v>17880.0</v>
      </c>
      <c r="E86" s="284" t="b">
        <v>1</v>
      </c>
      <c r="F86" s="284" t="b">
        <v>0</v>
      </c>
      <c r="G86" s="284" t="b">
        <v>0</v>
      </c>
      <c r="H86" s="284" t="b">
        <v>0</v>
      </c>
      <c r="I86" s="280" t="s">
        <v>38</v>
      </c>
      <c r="J86" s="280" t="s">
        <v>1298</v>
      </c>
      <c r="K86" s="283">
        <v>1.1315547E7</v>
      </c>
      <c r="L86" s="284" t="b">
        <v>0</v>
      </c>
      <c r="M86" s="284" t="b">
        <v>0</v>
      </c>
      <c r="N86" s="284" t="b">
        <v>0</v>
      </c>
      <c r="O86" s="284" t="b">
        <v>0</v>
      </c>
      <c r="P86" s="284" t="b">
        <v>0</v>
      </c>
      <c r="Q86" s="284" t="b">
        <v>0</v>
      </c>
      <c r="R86" s="284" t="b">
        <v>1</v>
      </c>
      <c r="S86" s="284" t="b">
        <v>0</v>
      </c>
      <c r="T86" s="285"/>
      <c r="U86" s="285"/>
      <c r="V86" s="286"/>
      <c r="W86" s="280" t="s">
        <v>1324</v>
      </c>
      <c r="X86" s="285"/>
      <c r="Y86" s="290"/>
      <c r="Z86" s="287"/>
      <c r="AA86" s="287"/>
      <c r="AB86" s="287"/>
      <c r="AC86" s="287"/>
      <c r="AD86" s="287"/>
      <c r="AE86" s="287"/>
      <c r="AF86" s="287"/>
      <c r="AG86" s="287"/>
      <c r="AH86" s="287"/>
      <c r="AI86" s="287"/>
      <c r="AJ86" s="287"/>
    </row>
    <row r="87">
      <c r="A87" s="280" t="s">
        <v>184</v>
      </c>
      <c r="B87" s="281">
        <v>45604.0</v>
      </c>
      <c r="C87" s="282"/>
      <c r="D87" s="283">
        <v>1248.0</v>
      </c>
      <c r="E87" s="284" t="b">
        <v>0</v>
      </c>
      <c r="F87" s="284" t="b">
        <v>0</v>
      </c>
      <c r="G87" s="284" t="b">
        <v>1</v>
      </c>
      <c r="H87" s="284" t="b">
        <v>0</v>
      </c>
      <c r="I87" s="280" t="s">
        <v>38</v>
      </c>
      <c r="J87" s="280" t="s">
        <v>1297</v>
      </c>
      <c r="K87" s="283">
        <v>5.4555095E7</v>
      </c>
      <c r="L87" s="284" t="b">
        <v>0</v>
      </c>
      <c r="M87" s="284" t="b">
        <v>0</v>
      </c>
      <c r="N87" s="284" t="b">
        <v>0</v>
      </c>
      <c r="O87" s="284" t="b">
        <v>0</v>
      </c>
      <c r="P87" s="284" t="b">
        <v>1</v>
      </c>
      <c r="Q87" s="284" t="b">
        <v>0</v>
      </c>
      <c r="R87" s="284" t="b">
        <v>0</v>
      </c>
      <c r="S87" s="284" t="b">
        <v>0</v>
      </c>
      <c r="T87" s="285"/>
      <c r="U87" s="289" t="s">
        <v>1324</v>
      </c>
      <c r="V87" s="286"/>
      <c r="W87" s="286"/>
      <c r="X87" s="280" t="s">
        <v>1324</v>
      </c>
      <c r="Y87" s="290"/>
      <c r="Z87" s="287"/>
      <c r="AA87" s="287"/>
      <c r="AB87" s="287"/>
      <c r="AC87" s="287"/>
      <c r="AD87" s="287"/>
      <c r="AE87" s="287"/>
      <c r="AF87" s="287"/>
      <c r="AG87" s="287"/>
      <c r="AH87" s="287"/>
      <c r="AI87" s="287"/>
      <c r="AJ87" s="287"/>
    </row>
    <row r="88">
      <c r="A88" s="280" t="s">
        <v>184</v>
      </c>
      <c r="B88" s="281">
        <v>45468.0</v>
      </c>
      <c r="C88" s="281">
        <v>45468.0</v>
      </c>
      <c r="D88" s="288">
        <v>7.0</v>
      </c>
      <c r="E88" s="284" t="b">
        <v>1</v>
      </c>
      <c r="F88" s="284" t="b">
        <v>0</v>
      </c>
      <c r="G88" s="284" t="b">
        <v>0</v>
      </c>
      <c r="H88" s="284" t="b">
        <v>0</v>
      </c>
      <c r="I88" s="280" t="s">
        <v>38</v>
      </c>
      <c r="J88" s="280" t="s">
        <v>1297</v>
      </c>
      <c r="K88" s="283">
        <v>5.4555095E7</v>
      </c>
      <c r="L88" s="284" t="b">
        <v>0</v>
      </c>
      <c r="M88" s="284" t="b">
        <v>0</v>
      </c>
      <c r="N88" s="284" t="b">
        <v>0</v>
      </c>
      <c r="O88" s="284" t="b">
        <v>0</v>
      </c>
      <c r="P88" s="284" t="b">
        <v>0</v>
      </c>
      <c r="Q88" s="284" t="b">
        <v>0</v>
      </c>
      <c r="R88" s="284" t="b">
        <v>0</v>
      </c>
      <c r="S88" s="284" t="b">
        <v>0</v>
      </c>
      <c r="T88" s="289" t="s">
        <v>1324</v>
      </c>
      <c r="U88" s="285"/>
      <c r="V88" s="286"/>
      <c r="W88" s="286"/>
      <c r="X88" s="280" t="s">
        <v>1324</v>
      </c>
      <c r="Y88" s="290"/>
      <c r="Z88" s="287"/>
      <c r="AA88" s="287"/>
      <c r="AB88" s="287"/>
      <c r="AC88" s="287"/>
      <c r="AD88" s="287"/>
      <c r="AE88" s="287"/>
      <c r="AF88" s="287"/>
      <c r="AG88" s="287"/>
      <c r="AH88" s="287"/>
      <c r="AI88" s="287"/>
      <c r="AJ88" s="287"/>
    </row>
    <row r="89">
      <c r="A89" s="280" t="s">
        <v>91</v>
      </c>
      <c r="B89" s="281">
        <v>45308.0</v>
      </c>
      <c r="C89" s="281">
        <v>45309.0</v>
      </c>
      <c r="D89" s="288">
        <v>24.0</v>
      </c>
      <c r="E89" s="284" t="b">
        <v>1</v>
      </c>
      <c r="F89" s="284" t="b">
        <v>0</v>
      </c>
      <c r="G89" s="284" t="b">
        <v>0</v>
      </c>
      <c r="H89" s="284" t="b">
        <v>0</v>
      </c>
      <c r="I89" s="280" t="s">
        <v>38</v>
      </c>
      <c r="J89" s="280" t="s">
        <v>1297</v>
      </c>
      <c r="K89" s="283">
        <v>844302.0</v>
      </c>
      <c r="L89" s="284" t="b">
        <v>0</v>
      </c>
      <c r="M89" s="284" t="b">
        <v>0</v>
      </c>
      <c r="N89" s="284" t="b">
        <v>0</v>
      </c>
      <c r="O89" s="284" t="b">
        <v>0</v>
      </c>
      <c r="P89" s="284" t="b">
        <v>0</v>
      </c>
      <c r="Q89" s="284" t="b">
        <v>0</v>
      </c>
      <c r="R89" s="284" t="b">
        <v>0</v>
      </c>
      <c r="S89" s="284" t="b">
        <v>0</v>
      </c>
      <c r="T89" s="289" t="s">
        <v>1324</v>
      </c>
      <c r="U89" s="285"/>
      <c r="V89" s="286"/>
      <c r="W89" s="286"/>
      <c r="X89" s="280" t="s">
        <v>1324</v>
      </c>
      <c r="Y89" s="290"/>
      <c r="Z89" s="287"/>
      <c r="AA89" s="287"/>
      <c r="AB89" s="287"/>
      <c r="AC89" s="287"/>
      <c r="AD89" s="287"/>
      <c r="AE89" s="287"/>
      <c r="AF89" s="287"/>
      <c r="AG89" s="287"/>
      <c r="AH89" s="287"/>
      <c r="AI89" s="287"/>
      <c r="AJ89" s="287"/>
    </row>
    <row r="90">
      <c r="A90" s="280" t="s">
        <v>221</v>
      </c>
      <c r="B90" s="281">
        <v>45600.0</v>
      </c>
      <c r="C90" s="281">
        <v>45601.0</v>
      </c>
      <c r="D90" s="288">
        <v>12.0</v>
      </c>
      <c r="E90" s="284" t="b">
        <v>0</v>
      </c>
      <c r="F90" s="284" t="b">
        <v>1</v>
      </c>
      <c r="G90" s="284" t="b">
        <v>0</v>
      </c>
      <c r="H90" s="284" t="b">
        <v>0</v>
      </c>
      <c r="I90" s="280" t="s">
        <v>38</v>
      </c>
      <c r="J90" s="280" t="s">
        <v>1297</v>
      </c>
      <c r="K90" s="283">
        <v>1299804.0</v>
      </c>
      <c r="L90" s="284" t="b">
        <v>1</v>
      </c>
      <c r="M90" s="284" t="b">
        <v>1</v>
      </c>
      <c r="N90" s="284" t="b">
        <v>1</v>
      </c>
      <c r="O90" s="284" t="b">
        <v>0</v>
      </c>
      <c r="P90" s="284" t="b">
        <v>0</v>
      </c>
      <c r="Q90" s="284" t="b">
        <v>0</v>
      </c>
      <c r="R90" s="284" t="b">
        <v>1</v>
      </c>
      <c r="S90" s="284" t="b">
        <v>0</v>
      </c>
      <c r="T90" s="289" t="s">
        <v>1324</v>
      </c>
      <c r="U90" s="285"/>
      <c r="V90" s="286"/>
      <c r="W90" s="286"/>
      <c r="X90" s="280" t="s">
        <v>1324</v>
      </c>
      <c r="Y90" s="290"/>
      <c r="Z90" s="287"/>
      <c r="AA90" s="287"/>
      <c r="AB90" s="287"/>
      <c r="AC90" s="287"/>
      <c r="AD90" s="287"/>
      <c r="AE90" s="287"/>
      <c r="AF90" s="287"/>
      <c r="AG90" s="287"/>
      <c r="AH90" s="287"/>
      <c r="AI90" s="287"/>
      <c r="AJ90" s="287"/>
    </row>
    <row r="91">
      <c r="A91" s="280" t="s">
        <v>228</v>
      </c>
      <c r="B91" s="281">
        <v>45603.0</v>
      </c>
      <c r="C91" s="281">
        <v>45604.0</v>
      </c>
      <c r="D91" s="288">
        <v>12.0</v>
      </c>
      <c r="E91" s="284" t="b">
        <v>1</v>
      </c>
      <c r="F91" s="284" t="b">
        <v>0</v>
      </c>
      <c r="G91" s="284" t="b">
        <v>0</v>
      </c>
      <c r="H91" s="284" t="b">
        <v>0</v>
      </c>
      <c r="I91" s="280" t="s">
        <v>38</v>
      </c>
      <c r="J91" s="280" t="s">
        <v>1297</v>
      </c>
      <c r="K91" s="283">
        <v>3.3420619E7</v>
      </c>
      <c r="L91" s="284" t="b">
        <v>0</v>
      </c>
      <c r="M91" s="284" t="b">
        <v>0</v>
      </c>
      <c r="N91" s="284" t="b">
        <v>0</v>
      </c>
      <c r="O91" s="284" t="b">
        <v>0</v>
      </c>
      <c r="P91" s="284" t="b">
        <v>0</v>
      </c>
      <c r="Q91" s="284" t="b">
        <v>0</v>
      </c>
      <c r="R91" s="284" t="b">
        <v>0</v>
      </c>
      <c r="S91" s="284" t="b">
        <v>0</v>
      </c>
      <c r="T91" s="289" t="s">
        <v>1324</v>
      </c>
      <c r="U91" s="285"/>
      <c r="V91" s="286"/>
      <c r="W91" s="286"/>
      <c r="X91" s="280" t="s">
        <v>1324</v>
      </c>
      <c r="Y91" s="290"/>
      <c r="Z91" s="287"/>
      <c r="AA91" s="287"/>
      <c r="AB91" s="287"/>
      <c r="AC91" s="287"/>
      <c r="AD91" s="287"/>
      <c r="AE91" s="287"/>
      <c r="AF91" s="287"/>
      <c r="AG91" s="287"/>
      <c r="AH91" s="287"/>
      <c r="AI91" s="287"/>
      <c r="AJ91" s="287"/>
    </row>
    <row r="92">
      <c r="A92" s="280" t="s">
        <v>228</v>
      </c>
      <c r="B92" s="281">
        <v>45602.0</v>
      </c>
      <c r="C92" s="281">
        <v>45603.0</v>
      </c>
      <c r="D92" s="288">
        <v>12.0</v>
      </c>
      <c r="E92" s="284" t="b">
        <v>1</v>
      </c>
      <c r="F92" s="284" t="b">
        <v>0</v>
      </c>
      <c r="G92" s="284" t="b">
        <v>0</v>
      </c>
      <c r="H92" s="284" t="b">
        <v>0</v>
      </c>
      <c r="I92" s="280" t="s">
        <v>38</v>
      </c>
      <c r="J92" s="280" t="s">
        <v>1297</v>
      </c>
      <c r="K92" s="283">
        <v>3.3420619E7</v>
      </c>
      <c r="L92" s="284" t="b">
        <v>0</v>
      </c>
      <c r="M92" s="284" t="b">
        <v>0</v>
      </c>
      <c r="N92" s="284" t="b">
        <v>0</v>
      </c>
      <c r="O92" s="284" t="b">
        <v>0</v>
      </c>
      <c r="P92" s="284" t="b">
        <v>0</v>
      </c>
      <c r="Q92" s="284" t="b">
        <v>0</v>
      </c>
      <c r="R92" s="284" t="b">
        <v>0</v>
      </c>
      <c r="S92" s="284" t="b">
        <v>0</v>
      </c>
      <c r="T92" s="289" t="s">
        <v>1324</v>
      </c>
      <c r="U92" s="285"/>
      <c r="V92" s="286"/>
      <c r="W92" s="286"/>
      <c r="X92" s="280" t="s">
        <v>1324</v>
      </c>
      <c r="Y92" s="290"/>
      <c r="Z92" s="287"/>
      <c r="AA92" s="287"/>
      <c r="AB92" s="287"/>
      <c r="AC92" s="287"/>
      <c r="AD92" s="287"/>
      <c r="AE92" s="287"/>
      <c r="AF92" s="287"/>
      <c r="AG92" s="287"/>
      <c r="AH92" s="287"/>
      <c r="AI92" s="287"/>
      <c r="AJ92" s="287"/>
    </row>
    <row r="93">
      <c r="A93" s="280" t="s">
        <v>228</v>
      </c>
      <c r="B93" s="281">
        <v>45601.0</v>
      </c>
      <c r="C93" s="281">
        <v>45602.0</v>
      </c>
      <c r="D93" s="288">
        <v>12.0</v>
      </c>
      <c r="E93" s="284" t="b">
        <v>1</v>
      </c>
      <c r="F93" s="284" t="b">
        <v>0</v>
      </c>
      <c r="G93" s="284" t="b">
        <v>0</v>
      </c>
      <c r="H93" s="284" t="b">
        <v>0</v>
      </c>
      <c r="I93" s="280" t="s">
        <v>38</v>
      </c>
      <c r="J93" s="280" t="s">
        <v>1297</v>
      </c>
      <c r="K93" s="283">
        <v>3.3420619E7</v>
      </c>
      <c r="L93" s="284" t="b">
        <v>0</v>
      </c>
      <c r="M93" s="284" t="b">
        <v>0</v>
      </c>
      <c r="N93" s="284" t="b">
        <v>0</v>
      </c>
      <c r="O93" s="284" t="b">
        <v>0</v>
      </c>
      <c r="P93" s="284" t="b">
        <v>0</v>
      </c>
      <c r="Q93" s="284" t="b">
        <v>0</v>
      </c>
      <c r="R93" s="284" t="b">
        <v>0</v>
      </c>
      <c r="S93" s="284" t="b">
        <v>0</v>
      </c>
      <c r="T93" s="289" t="s">
        <v>1324</v>
      </c>
      <c r="U93" s="285"/>
      <c r="V93" s="286"/>
      <c r="W93" s="286"/>
      <c r="X93" s="280" t="s">
        <v>1324</v>
      </c>
      <c r="Y93" s="290"/>
      <c r="Z93" s="287"/>
      <c r="AA93" s="287"/>
      <c r="AB93" s="287"/>
      <c r="AC93" s="287"/>
      <c r="AD93" s="287"/>
      <c r="AE93" s="287"/>
      <c r="AF93" s="287"/>
      <c r="AG93" s="287"/>
      <c r="AH93" s="287"/>
      <c r="AI93" s="287"/>
      <c r="AJ93" s="287"/>
    </row>
    <row r="94">
      <c r="A94" s="280" t="s">
        <v>228</v>
      </c>
      <c r="B94" s="281">
        <v>45600.0</v>
      </c>
      <c r="C94" s="281">
        <v>45601.0</v>
      </c>
      <c r="D94" s="283">
        <v>12.0</v>
      </c>
      <c r="E94" s="284" t="b">
        <v>1</v>
      </c>
      <c r="F94" s="284" t="b">
        <v>0</v>
      </c>
      <c r="G94" s="284" t="b">
        <v>0</v>
      </c>
      <c r="H94" s="284" t="b">
        <v>0</v>
      </c>
      <c r="I94" s="280" t="s">
        <v>38</v>
      </c>
      <c r="J94" s="280" t="s">
        <v>1297</v>
      </c>
      <c r="K94" s="283">
        <v>3.3420619E7</v>
      </c>
      <c r="L94" s="284" t="b">
        <v>0</v>
      </c>
      <c r="M94" s="284" t="b">
        <v>0</v>
      </c>
      <c r="N94" s="284" t="b">
        <v>0</v>
      </c>
      <c r="O94" s="284" t="b">
        <v>0</v>
      </c>
      <c r="P94" s="284" t="b">
        <v>0</v>
      </c>
      <c r="Q94" s="284" t="b">
        <v>0</v>
      </c>
      <c r="R94" s="284" t="b">
        <v>0</v>
      </c>
      <c r="S94" s="284" t="b">
        <v>0</v>
      </c>
      <c r="T94" s="289" t="s">
        <v>1324</v>
      </c>
      <c r="U94" s="285"/>
      <c r="V94" s="286"/>
      <c r="W94" s="286"/>
      <c r="X94" s="280" t="s">
        <v>1324</v>
      </c>
      <c r="Y94" s="290"/>
      <c r="Z94" s="287"/>
      <c r="AA94" s="287"/>
      <c r="AB94" s="287"/>
      <c r="AC94" s="287"/>
      <c r="AD94" s="287"/>
      <c r="AE94" s="287"/>
      <c r="AF94" s="287"/>
      <c r="AG94" s="287"/>
      <c r="AH94" s="287"/>
      <c r="AI94" s="287"/>
      <c r="AJ94" s="287"/>
    </row>
    <row r="95">
      <c r="A95" s="280" t="s">
        <v>228</v>
      </c>
      <c r="B95" s="281">
        <v>45599.0</v>
      </c>
      <c r="C95" s="281">
        <v>45600.0</v>
      </c>
      <c r="D95" s="283">
        <v>12.0</v>
      </c>
      <c r="E95" s="284" t="b">
        <v>1</v>
      </c>
      <c r="F95" s="284" t="b">
        <v>0</v>
      </c>
      <c r="G95" s="284" t="b">
        <v>0</v>
      </c>
      <c r="H95" s="284" t="b">
        <v>0</v>
      </c>
      <c r="I95" s="280" t="s">
        <v>38</v>
      </c>
      <c r="J95" s="280" t="s">
        <v>1297</v>
      </c>
      <c r="K95" s="283">
        <v>3.3420619E7</v>
      </c>
      <c r="L95" s="284" t="b">
        <v>0</v>
      </c>
      <c r="M95" s="284" t="b">
        <v>0</v>
      </c>
      <c r="N95" s="284" t="b">
        <v>0</v>
      </c>
      <c r="O95" s="284" t="b">
        <v>0</v>
      </c>
      <c r="P95" s="284" t="b">
        <v>0</v>
      </c>
      <c r="Q95" s="284" t="b">
        <v>0</v>
      </c>
      <c r="R95" s="284" t="b">
        <v>0</v>
      </c>
      <c r="S95" s="284" t="b">
        <v>0</v>
      </c>
      <c r="T95" s="289" t="s">
        <v>1324</v>
      </c>
      <c r="U95" s="285"/>
      <c r="V95" s="286"/>
      <c r="W95" s="286"/>
      <c r="X95" s="280" t="s">
        <v>1324</v>
      </c>
      <c r="Y95" s="290"/>
      <c r="Z95" s="287"/>
      <c r="AA95" s="287"/>
      <c r="AB95" s="287"/>
      <c r="AC95" s="287"/>
      <c r="AD95" s="287"/>
      <c r="AE95" s="287"/>
      <c r="AF95" s="287"/>
      <c r="AG95" s="287"/>
      <c r="AH95" s="287"/>
      <c r="AI95" s="287"/>
      <c r="AJ95" s="287"/>
    </row>
    <row r="96">
      <c r="A96" s="280" t="s">
        <v>228</v>
      </c>
      <c r="B96" s="281">
        <v>45599.0</v>
      </c>
      <c r="C96" s="282"/>
      <c r="D96" s="283">
        <v>1368.0</v>
      </c>
      <c r="E96" s="284" t="b">
        <v>1</v>
      </c>
      <c r="F96" s="284" t="b">
        <v>0</v>
      </c>
      <c r="G96" s="284" t="b">
        <v>0</v>
      </c>
      <c r="H96" s="284" t="b">
        <v>0</v>
      </c>
      <c r="I96" s="280" t="s">
        <v>38</v>
      </c>
      <c r="J96" s="280" t="s">
        <v>1297</v>
      </c>
      <c r="K96" s="283">
        <v>3.3420619E7</v>
      </c>
      <c r="L96" s="284" t="b">
        <v>0</v>
      </c>
      <c r="M96" s="284" t="b">
        <v>0</v>
      </c>
      <c r="N96" s="284" t="b">
        <v>1</v>
      </c>
      <c r="O96" s="284" t="b">
        <v>0</v>
      </c>
      <c r="P96" s="284" t="b">
        <v>1</v>
      </c>
      <c r="Q96" s="284" t="b">
        <v>0</v>
      </c>
      <c r="R96" s="284" t="b">
        <v>1</v>
      </c>
      <c r="S96" s="284" t="b">
        <v>0</v>
      </c>
      <c r="T96" s="285"/>
      <c r="U96" s="289" t="s">
        <v>1324</v>
      </c>
      <c r="V96" s="286"/>
      <c r="W96" s="286"/>
      <c r="X96" s="280" t="s">
        <v>1324</v>
      </c>
      <c r="Y96" s="290"/>
      <c r="Z96" s="287"/>
      <c r="AA96" s="287"/>
      <c r="AB96" s="287"/>
      <c r="AC96" s="287"/>
      <c r="AD96" s="287"/>
      <c r="AE96" s="287"/>
      <c r="AF96" s="287"/>
      <c r="AG96" s="287"/>
      <c r="AH96" s="287"/>
      <c r="AI96" s="287"/>
      <c r="AJ96" s="287"/>
    </row>
    <row r="97">
      <c r="A97" s="280" t="s">
        <v>228</v>
      </c>
      <c r="B97" s="281">
        <v>45596.0</v>
      </c>
      <c r="C97" s="282"/>
      <c r="D97" s="283">
        <v>1440.0</v>
      </c>
      <c r="E97" s="284" t="b">
        <v>1</v>
      </c>
      <c r="F97" s="284" t="b">
        <v>0</v>
      </c>
      <c r="G97" s="284" t="b">
        <v>0</v>
      </c>
      <c r="H97" s="284" t="b">
        <v>0</v>
      </c>
      <c r="I97" s="280" t="s">
        <v>38</v>
      </c>
      <c r="J97" s="280" t="s">
        <v>1297</v>
      </c>
      <c r="K97" s="283">
        <v>3.3420619E7</v>
      </c>
      <c r="L97" s="284" t="b">
        <v>1</v>
      </c>
      <c r="M97" s="284" t="b">
        <v>0</v>
      </c>
      <c r="N97" s="284" t="b">
        <v>0</v>
      </c>
      <c r="O97" s="284" t="b">
        <v>1</v>
      </c>
      <c r="P97" s="284" t="b">
        <v>0</v>
      </c>
      <c r="Q97" s="284" t="b">
        <v>1</v>
      </c>
      <c r="R97" s="284" t="b">
        <v>0</v>
      </c>
      <c r="S97" s="284" t="b">
        <v>0</v>
      </c>
      <c r="T97" s="285"/>
      <c r="U97" s="289" t="s">
        <v>1324</v>
      </c>
      <c r="V97" s="286"/>
      <c r="W97" s="286"/>
      <c r="X97" s="280" t="s">
        <v>1324</v>
      </c>
      <c r="Y97" s="290"/>
      <c r="Z97" s="287"/>
      <c r="AA97" s="287"/>
      <c r="AB97" s="287"/>
      <c r="AC97" s="287"/>
      <c r="AD97" s="287"/>
      <c r="AE97" s="287"/>
      <c r="AF97" s="287"/>
      <c r="AG97" s="287"/>
      <c r="AH97" s="287"/>
      <c r="AI97" s="287"/>
      <c r="AJ97" s="287"/>
    </row>
    <row r="98">
      <c r="A98" s="280" t="s">
        <v>228</v>
      </c>
      <c r="B98" s="281">
        <v>45590.0</v>
      </c>
      <c r="C98" s="281">
        <v>45591.0</v>
      </c>
      <c r="D98" s="288">
        <v>24.0</v>
      </c>
      <c r="E98" s="284" t="b">
        <v>1</v>
      </c>
      <c r="F98" s="284" t="b">
        <v>0</v>
      </c>
      <c r="G98" s="284" t="b">
        <v>0</v>
      </c>
      <c r="H98" s="284" t="b">
        <v>0</v>
      </c>
      <c r="I98" s="280" t="s">
        <v>38</v>
      </c>
      <c r="J98" s="280" t="s">
        <v>1297</v>
      </c>
      <c r="K98" s="283">
        <v>3.3420619E7</v>
      </c>
      <c r="L98" s="284" t="b">
        <v>0</v>
      </c>
      <c r="M98" s="284" t="b">
        <v>0</v>
      </c>
      <c r="N98" s="284" t="b">
        <v>0</v>
      </c>
      <c r="O98" s="284" t="b">
        <v>0</v>
      </c>
      <c r="P98" s="284" t="b">
        <v>0</v>
      </c>
      <c r="Q98" s="284" t="b">
        <v>0</v>
      </c>
      <c r="R98" s="284" t="b">
        <v>0</v>
      </c>
      <c r="S98" s="284" t="b">
        <v>0</v>
      </c>
      <c r="T98" s="289" t="s">
        <v>1324</v>
      </c>
      <c r="U98" s="285"/>
      <c r="V98" s="286"/>
      <c r="W98" s="286"/>
      <c r="X98" s="280" t="s">
        <v>1324</v>
      </c>
      <c r="Y98" s="290"/>
      <c r="Z98" s="287"/>
      <c r="AA98" s="287"/>
      <c r="AB98" s="287"/>
      <c r="AC98" s="287"/>
      <c r="AD98" s="287"/>
      <c r="AE98" s="287"/>
      <c r="AF98" s="287"/>
      <c r="AG98" s="287"/>
      <c r="AH98" s="287"/>
      <c r="AI98" s="287"/>
      <c r="AJ98" s="287"/>
    </row>
    <row r="99">
      <c r="A99" s="280" t="s">
        <v>246</v>
      </c>
      <c r="B99" s="281">
        <v>45505.0</v>
      </c>
      <c r="C99" s="281">
        <v>45506.0</v>
      </c>
      <c r="D99" s="288">
        <v>24.0</v>
      </c>
      <c r="E99" s="284" t="b">
        <v>1</v>
      </c>
      <c r="F99" s="284" t="b">
        <v>0</v>
      </c>
      <c r="G99" s="284" t="b">
        <v>0</v>
      </c>
      <c r="H99" s="284" t="b">
        <v>0</v>
      </c>
      <c r="I99" s="280" t="s">
        <v>38</v>
      </c>
      <c r="J99" s="280" t="s">
        <v>1297</v>
      </c>
      <c r="K99" s="283">
        <v>2.21153992E8</v>
      </c>
      <c r="L99" s="284" t="b">
        <v>0</v>
      </c>
      <c r="M99" s="284" t="b">
        <v>0</v>
      </c>
      <c r="N99" s="284" t="b">
        <v>0</v>
      </c>
      <c r="O99" s="284" t="b">
        <v>0</v>
      </c>
      <c r="P99" s="284" t="b">
        <v>0</v>
      </c>
      <c r="Q99" s="284" t="b">
        <v>0</v>
      </c>
      <c r="R99" s="284" t="b">
        <v>0</v>
      </c>
      <c r="S99" s="284" t="b">
        <v>0</v>
      </c>
      <c r="T99" s="289" t="s">
        <v>1324</v>
      </c>
      <c r="U99" s="285"/>
      <c r="V99" s="286"/>
      <c r="W99" s="286"/>
      <c r="X99" s="280" t="s">
        <v>1324</v>
      </c>
      <c r="Y99" s="290"/>
      <c r="Z99" s="287"/>
      <c r="AA99" s="287"/>
      <c r="AB99" s="287"/>
      <c r="AC99" s="287"/>
      <c r="AD99" s="287"/>
      <c r="AE99" s="287"/>
      <c r="AF99" s="287"/>
      <c r="AG99" s="287"/>
      <c r="AH99" s="287"/>
      <c r="AI99" s="287"/>
      <c r="AJ99" s="287"/>
    </row>
    <row r="100">
      <c r="A100" s="280" t="s">
        <v>704</v>
      </c>
      <c r="B100" s="281">
        <v>45616.0</v>
      </c>
      <c r="C100" s="282"/>
      <c r="D100" s="288">
        <v>960.0</v>
      </c>
      <c r="E100" s="284" t="b">
        <v>0</v>
      </c>
      <c r="F100" s="284" t="b">
        <v>0</v>
      </c>
      <c r="G100" s="284" t="b">
        <v>0</v>
      </c>
      <c r="H100" s="284" t="b">
        <v>1</v>
      </c>
      <c r="I100" s="280" t="s">
        <v>38</v>
      </c>
      <c r="J100" s="280" t="s">
        <v>1298</v>
      </c>
      <c r="K100" s="283">
        <v>2.38126113E8</v>
      </c>
      <c r="L100" s="284" t="b">
        <v>0</v>
      </c>
      <c r="M100" s="284" t="b">
        <v>0</v>
      </c>
      <c r="N100" s="284" t="b">
        <v>0</v>
      </c>
      <c r="O100" s="284" t="b">
        <v>0</v>
      </c>
      <c r="P100" s="284" t="b">
        <v>0</v>
      </c>
      <c r="Q100" s="284" t="b">
        <v>0</v>
      </c>
      <c r="R100" s="284" t="b">
        <v>1</v>
      </c>
      <c r="S100" s="284" t="b">
        <v>0</v>
      </c>
      <c r="T100" s="285"/>
      <c r="U100" s="289" t="s">
        <v>1324</v>
      </c>
      <c r="V100" s="286"/>
      <c r="W100" s="286"/>
      <c r="X100" s="280" t="s">
        <v>1324</v>
      </c>
      <c r="Y100" s="290"/>
      <c r="Z100" s="287"/>
      <c r="AA100" s="287"/>
      <c r="AB100" s="287"/>
      <c r="AC100" s="287"/>
      <c r="AD100" s="287"/>
      <c r="AE100" s="287"/>
      <c r="AF100" s="287"/>
      <c r="AG100" s="287"/>
      <c r="AH100" s="287"/>
      <c r="AI100" s="287"/>
      <c r="AJ100" s="287"/>
    </row>
    <row r="101">
      <c r="A101" s="280" t="s">
        <v>704</v>
      </c>
      <c r="B101" s="281">
        <v>45571.0</v>
      </c>
      <c r="C101" s="281">
        <v>45571.0</v>
      </c>
      <c r="D101" s="288">
        <v>24.0</v>
      </c>
      <c r="E101" s="284" t="b">
        <v>1</v>
      </c>
      <c r="F101" s="284" t="b">
        <v>0</v>
      </c>
      <c r="G101" s="284" t="b">
        <v>0</v>
      </c>
      <c r="H101" s="284" t="b">
        <v>0</v>
      </c>
      <c r="I101" s="280" t="s">
        <v>707</v>
      </c>
      <c r="J101" s="280" t="s">
        <v>1298</v>
      </c>
      <c r="K101" s="283">
        <v>4.5354364E7</v>
      </c>
      <c r="L101" s="284" t="b">
        <v>0</v>
      </c>
      <c r="M101" s="284" t="b">
        <v>0</v>
      </c>
      <c r="N101" s="284" t="b">
        <v>0</v>
      </c>
      <c r="O101" s="284" t="b">
        <v>0</v>
      </c>
      <c r="P101" s="284" t="b">
        <v>0</v>
      </c>
      <c r="Q101" s="284" t="b">
        <v>0</v>
      </c>
      <c r="R101" s="284" t="b">
        <v>0</v>
      </c>
      <c r="S101" s="284" t="b">
        <v>0</v>
      </c>
      <c r="T101" s="289" t="s">
        <v>1324</v>
      </c>
      <c r="U101" s="285"/>
      <c r="V101" s="286"/>
      <c r="W101" s="286"/>
      <c r="X101" s="280" t="s">
        <v>1324</v>
      </c>
      <c r="Y101" s="290"/>
      <c r="Z101" s="287"/>
      <c r="AA101" s="287"/>
      <c r="AB101" s="287"/>
      <c r="AC101" s="287"/>
      <c r="AD101" s="287"/>
      <c r="AE101" s="287"/>
      <c r="AF101" s="287"/>
      <c r="AG101" s="287"/>
      <c r="AH101" s="287"/>
      <c r="AI101" s="287"/>
      <c r="AJ101" s="287"/>
    </row>
    <row r="102">
      <c r="A102" s="280" t="s">
        <v>704</v>
      </c>
      <c r="B102" s="281">
        <v>45490.0</v>
      </c>
      <c r="C102" s="282"/>
      <c r="D102" s="283">
        <v>3984.0</v>
      </c>
      <c r="E102" s="284" t="b">
        <v>0</v>
      </c>
      <c r="F102" s="284" t="b">
        <v>0</v>
      </c>
      <c r="G102" s="284" t="b">
        <v>1</v>
      </c>
      <c r="H102" s="284" t="b">
        <v>0</v>
      </c>
      <c r="I102" s="280" t="s">
        <v>38</v>
      </c>
      <c r="J102" s="280" t="s">
        <v>1298</v>
      </c>
      <c r="K102" s="283">
        <v>2.38126113E8</v>
      </c>
      <c r="L102" s="284" t="b">
        <v>1</v>
      </c>
      <c r="M102" s="284" t="b">
        <v>0</v>
      </c>
      <c r="N102" s="284" t="b">
        <v>0</v>
      </c>
      <c r="O102" s="284" t="b">
        <v>0</v>
      </c>
      <c r="P102" s="284" t="b">
        <v>0</v>
      </c>
      <c r="Q102" s="284" t="b">
        <v>0</v>
      </c>
      <c r="R102" s="284" t="b">
        <v>0</v>
      </c>
      <c r="S102" s="284" t="b">
        <v>0</v>
      </c>
      <c r="T102" s="285"/>
      <c r="U102" s="289" t="s">
        <v>1324</v>
      </c>
      <c r="V102" s="286"/>
      <c r="W102" s="286"/>
      <c r="X102" s="280" t="s">
        <v>1324</v>
      </c>
      <c r="Y102" s="290"/>
      <c r="Z102" s="287"/>
      <c r="AA102" s="287"/>
      <c r="AB102" s="287"/>
      <c r="AC102" s="287"/>
      <c r="AD102" s="287"/>
      <c r="AE102" s="287"/>
      <c r="AF102" s="287"/>
      <c r="AG102" s="287"/>
      <c r="AH102" s="287"/>
      <c r="AI102" s="287"/>
      <c r="AJ102" s="287"/>
    </row>
    <row r="103">
      <c r="A103" s="280" t="s">
        <v>704</v>
      </c>
      <c r="B103" s="281">
        <v>45339.0</v>
      </c>
      <c r="C103" s="282"/>
      <c r="D103" s="283">
        <v>7608.0</v>
      </c>
      <c r="E103" s="284" t="b">
        <v>0</v>
      </c>
      <c r="F103" s="284" t="b">
        <v>1</v>
      </c>
      <c r="G103" s="284" t="b">
        <v>0</v>
      </c>
      <c r="H103" s="284" t="b">
        <v>0</v>
      </c>
      <c r="I103" s="280" t="s">
        <v>38</v>
      </c>
      <c r="J103" s="280" t="s">
        <v>1298</v>
      </c>
      <c r="K103" s="283">
        <v>2.38126113E8</v>
      </c>
      <c r="L103" s="284" t="b">
        <v>0</v>
      </c>
      <c r="M103" s="284" t="b">
        <v>1</v>
      </c>
      <c r="N103" s="284" t="b">
        <v>0</v>
      </c>
      <c r="O103" s="284" t="b">
        <v>0</v>
      </c>
      <c r="P103" s="284" t="b">
        <v>0</v>
      </c>
      <c r="Q103" s="284" t="b">
        <v>0</v>
      </c>
      <c r="R103" s="284" t="b">
        <v>0</v>
      </c>
      <c r="S103" s="284" t="b">
        <v>0</v>
      </c>
      <c r="T103" s="285"/>
      <c r="U103" s="289" t="s">
        <v>1324</v>
      </c>
      <c r="V103" s="286"/>
      <c r="W103" s="286"/>
      <c r="X103" s="280" t="s">
        <v>1324</v>
      </c>
      <c r="Y103" s="290"/>
      <c r="Z103" s="287"/>
      <c r="AA103" s="287"/>
      <c r="AB103" s="287"/>
      <c r="AC103" s="287"/>
      <c r="AD103" s="287"/>
      <c r="AE103" s="287"/>
      <c r="AF103" s="287"/>
      <c r="AG103" s="287"/>
      <c r="AH103" s="287"/>
      <c r="AI103" s="287"/>
      <c r="AJ103" s="287"/>
    </row>
    <row r="104">
      <c r="A104" s="280" t="s">
        <v>704</v>
      </c>
      <c r="B104" s="281">
        <v>45332.0</v>
      </c>
      <c r="C104" s="281">
        <v>45333.0</v>
      </c>
      <c r="D104" s="288">
        <v>24.0</v>
      </c>
      <c r="E104" s="284" t="b">
        <v>0</v>
      </c>
      <c r="F104" s="284" t="b">
        <v>1</v>
      </c>
      <c r="G104" s="284" t="b">
        <v>0</v>
      </c>
      <c r="H104" s="284" t="b">
        <v>0</v>
      </c>
      <c r="I104" s="280" t="s">
        <v>38</v>
      </c>
      <c r="J104" s="280" t="s">
        <v>1298</v>
      </c>
      <c r="K104" s="283">
        <v>2.38126113E8</v>
      </c>
      <c r="L104" s="284" t="b">
        <v>0</v>
      </c>
      <c r="M104" s="284" t="b">
        <v>1</v>
      </c>
      <c r="N104" s="284" t="b">
        <v>0</v>
      </c>
      <c r="O104" s="284" t="b">
        <v>0</v>
      </c>
      <c r="P104" s="284" t="b">
        <v>0</v>
      </c>
      <c r="Q104" s="284" t="b">
        <v>0</v>
      </c>
      <c r="R104" s="284" t="b">
        <v>0</v>
      </c>
      <c r="S104" s="284" t="b">
        <v>0</v>
      </c>
      <c r="T104" s="289" t="s">
        <v>1324</v>
      </c>
      <c r="U104" s="285"/>
      <c r="V104" s="286"/>
      <c r="W104" s="286"/>
      <c r="X104" s="280" t="s">
        <v>1324</v>
      </c>
      <c r="Y104" s="290"/>
      <c r="Z104" s="287"/>
      <c r="AA104" s="287"/>
      <c r="AB104" s="287"/>
      <c r="AC104" s="287"/>
      <c r="AD104" s="287"/>
      <c r="AE104" s="287"/>
      <c r="AF104" s="287"/>
      <c r="AG104" s="287"/>
      <c r="AH104" s="287"/>
      <c r="AI104" s="287"/>
      <c r="AJ104" s="287"/>
    </row>
    <row r="105">
      <c r="A105" s="280" t="s">
        <v>704</v>
      </c>
      <c r="B105" s="281">
        <v>45330.0</v>
      </c>
      <c r="C105" s="281">
        <v>45331.0</v>
      </c>
      <c r="D105" s="283">
        <v>36.0</v>
      </c>
      <c r="E105" s="284" t="b">
        <v>0</v>
      </c>
      <c r="F105" s="284" t="b">
        <v>1</v>
      </c>
      <c r="G105" s="284" t="b">
        <v>0</v>
      </c>
      <c r="H105" s="284" t="b">
        <v>0</v>
      </c>
      <c r="I105" s="280" t="s">
        <v>38</v>
      </c>
      <c r="J105" s="280" t="s">
        <v>1298</v>
      </c>
      <c r="K105" s="283">
        <v>2.38126113E8</v>
      </c>
      <c r="L105" s="284" t="b">
        <v>0</v>
      </c>
      <c r="M105" s="284" t="b">
        <v>0</v>
      </c>
      <c r="N105" s="284" t="b">
        <v>0</v>
      </c>
      <c r="O105" s="284" t="b">
        <v>0</v>
      </c>
      <c r="P105" s="284" t="b">
        <v>0</v>
      </c>
      <c r="Q105" s="284" t="b">
        <v>0</v>
      </c>
      <c r="R105" s="284" t="b">
        <v>0</v>
      </c>
      <c r="S105" s="284" t="b">
        <v>0</v>
      </c>
      <c r="T105" s="289" t="s">
        <v>1324</v>
      </c>
      <c r="U105" s="285"/>
      <c r="V105" s="286"/>
      <c r="W105" s="286"/>
      <c r="X105" s="280" t="s">
        <v>1324</v>
      </c>
      <c r="Y105" s="290"/>
      <c r="Z105" s="287"/>
      <c r="AA105" s="287"/>
      <c r="AB105" s="287"/>
      <c r="AC105" s="287"/>
      <c r="AD105" s="287"/>
      <c r="AE105" s="287"/>
      <c r="AF105" s="287"/>
      <c r="AG105" s="287"/>
      <c r="AH105" s="287"/>
      <c r="AI105" s="287"/>
      <c r="AJ105" s="287"/>
    </row>
    <row r="106">
      <c r="A106" s="280" t="s">
        <v>704</v>
      </c>
      <c r="B106" s="281">
        <v>45311.0</v>
      </c>
      <c r="C106" s="281">
        <v>45312.0</v>
      </c>
      <c r="D106" s="283">
        <v>48.0</v>
      </c>
      <c r="E106" s="284" t="b">
        <v>0</v>
      </c>
      <c r="F106" s="284" t="b">
        <v>0</v>
      </c>
      <c r="G106" s="284" t="b">
        <v>1</v>
      </c>
      <c r="H106" s="284" t="b">
        <v>0</v>
      </c>
      <c r="I106" s="280" t="s">
        <v>38</v>
      </c>
      <c r="J106" s="280" t="s">
        <v>1298</v>
      </c>
      <c r="K106" s="283">
        <v>2.38126113E8</v>
      </c>
      <c r="L106" s="284" t="b">
        <v>1</v>
      </c>
      <c r="M106" s="284" t="b">
        <v>1</v>
      </c>
      <c r="N106" s="284" t="b">
        <v>1</v>
      </c>
      <c r="O106" s="284" t="b">
        <v>1</v>
      </c>
      <c r="P106" s="284" t="b">
        <v>0</v>
      </c>
      <c r="Q106" s="284" t="b">
        <v>0</v>
      </c>
      <c r="R106" s="284" t="b">
        <v>0</v>
      </c>
      <c r="S106" s="284" t="b">
        <v>0</v>
      </c>
      <c r="T106" s="289" t="s">
        <v>1324</v>
      </c>
      <c r="U106" s="285"/>
      <c r="V106" s="286"/>
      <c r="W106" s="286"/>
      <c r="X106" s="280" t="s">
        <v>1324</v>
      </c>
      <c r="Y106" s="290"/>
      <c r="Z106" s="287"/>
      <c r="AA106" s="287"/>
      <c r="AB106" s="287"/>
      <c r="AC106" s="287"/>
      <c r="AD106" s="287"/>
      <c r="AE106" s="287"/>
      <c r="AF106" s="287"/>
      <c r="AG106" s="287"/>
      <c r="AH106" s="287"/>
      <c r="AI106" s="287"/>
      <c r="AJ106" s="287"/>
    </row>
    <row r="107">
      <c r="A107" s="280" t="s">
        <v>704</v>
      </c>
      <c r="B107" s="281">
        <v>45298.0</v>
      </c>
      <c r="C107" s="281">
        <v>45299.0</v>
      </c>
      <c r="D107" s="288">
        <v>12.0</v>
      </c>
      <c r="E107" s="284" t="b">
        <v>0</v>
      </c>
      <c r="F107" s="284" t="b">
        <v>0</v>
      </c>
      <c r="G107" s="284" t="b">
        <v>1</v>
      </c>
      <c r="H107" s="284" t="b">
        <v>0</v>
      </c>
      <c r="I107" s="280" t="s">
        <v>38</v>
      </c>
      <c r="J107" s="280" t="s">
        <v>1298</v>
      </c>
      <c r="K107" s="283">
        <v>2.38126113E8</v>
      </c>
      <c r="L107" s="284" t="b">
        <v>1</v>
      </c>
      <c r="M107" s="284" t="b">
        <v>1</v>
      </c>
      <c r="N107" s="284" t="b">
        <v>1</v>
      </c>
      <c r="O107" s="284" t="b">
        <v>1</v>
      </c>
      <c r="P107" s="284" t="b">
        <v>0</v>
      </c>
      <c r="Q107" s="284" t="b">
        <v>0</v>
      </c>
      <c r="R107" s="284" t="b">
        <v>0</v>
      </c>
      <c r="S107" s="284" t="b">
        <v>0</v>
      </c>
      <c r="T107" s="289" t="s">
        <v>1324</v>
      </c>
      <c r="U107" s="285"/>
      <c r="V107" s="286"/>
      <c r="W107" s="286"/>
      <c r="X107" s="280" t="s">
        <v>1324</v>
      </c>
      <c r="Y107" s="290"/>
      <c r="Z107" s="287"/>
      <c r="AA107" s="287"/>
      <c r="AB107" s="287"/>
      <c r="AC107" s="287"/>
      <c r="AD107" s="287"/>
      <c r="AE107" s="287"/>
      <c r="AF107" s="287"/>
      <c r="AG107" s="287"/>
      <c r="AH107" s="287"/>
      <c r="AI107" s="287"/>
      <c r="AJ107" s="287"/>
    </row>
    <row r="108">
      <c r="A108" s="280" t="s">
        <v>704</v>
      </c>
      <c r="B108" s="281">
        <v>45056.0</v>
      </c>
      <c r="C108" s="282"/>
      <c r="D108" s="283">
        <v>14400.0</v>
      </c>
      <c r="E108" s="284" t="b">
        <v>0</v>
      </c>
      <c r="F108" s="284" t="b">
        <v>0</v>
      </c>
      <c r="G108" s="284" t="b">
        <v>1</v>
      </c>
      <c r="H108" s="284" t="b">
        <v>0</v>
      </c>
      <c r="I108" s="280" t="s">
        <v>38</v>
      </c>
      <c r="J108" s="280" t="s">
        <v>1298</v>
      </c>
      <c r="K108" s="283">
        <v>2.38126113E8</v>
      </c>
      <c r="L108" s="284" t="b">
        <v>0</v>
      </c>
      <c r="M108" s="284" t="b">
        <v>0</v>
      </c>
      <c r="N108" s="284" t="b">
        <v>0</v>
      </c>
      <c r="O108" s="284" t="b">
        <v>1</v>
      </c>
      <c r="P108" s="284" t="b">
        <v>0</v>
      </c>
      <c r="Q108" s="284" t="b">
        <v>0</v>
      </c>
      <c r="R108" s="284" t="b">
        <v>0</v>
      </c>
      <c r="S108" s="284" t="b">
        <v>0</v>
      </c>
      <c r="T108" s="285"/>
      <c r="U108" s="285"/>
      <c r="V108" s="286"/>
      <c r="W108" s="280" t="s">
        <v>1324</v>
      </c>
      <c r="X108" s="285"/>
      <c r="Y108" s="290"/>
      <c r="Z108" s="287"/>
      <c r="AA108" s="287"/>
      <c r="AB108" s="287"/>
      <c r="AC108" s="287"/>
      <c r="AD108" s="287"/>
      <c r="AE108" s="287"/>
      <c r="AF108" s="287"/>
      <c r="AG108" s="287"/>
      <c r="AH108" s="287"/>
      <c r="AI108" s="287"/>
      <c r="AJ108" s="287"/>
    </row>
    <row r="109">
      <c r="A109" s="280" t="s">
        <v>953</v>
      </c>
      <c r="B109" s="281">
        <v>45573.0</v>
      </c>
      <c r="C109" s="282"/>
      <c r="D109" s="283">
        <v>1992.0</v>
      </c>
      <c r="E109" s="284" t="b">
        <v>0</v>
      </c>
      <c r="F109" s="284" t="b">
        <v>0</v>
      </c>
      <c r="G109" s="284" t="b">
        <v>0</v>
      </c>
      <c r="H109" s="284" t="b">
        <v>1</v>
      </c>
      <c r="I109" s="280" t="s">
        <v>38</v>
      </c>
      <c r="J109" s="280" t="s">
        <v>1300</v>
      </c>
      <c r="K109" s="283">
        <v>1.44694112E8</v>
      </c>
      <c r="L109" s="284" t="b">
        <v>0</v>
      </c>
      <c r="M109" s="284" t="b">
        <v>0</v>
      </c>
      <c r="N109" s="284" t="b">
        <v>0</v>
      </c>
      <c r="O109" s="284" t="b">
        <v>0</v>
      </c>
      <c r="P109" s="284" t="b">
        <v>0</v>
      </c>
      <c r="Q109" s="284" t="b">
        <v>0</v>
      </c>
      <c r="R109" s="284" t="b">
        <v>0</v>
      </c>
      <c r="S109" s="284" t="b">
        <v>1</v>
      </c>
      <c r="T109" s="285"/>
      <c r="U109" s="289" t="s">
        <v>1324</v>
      </c>
      <c r="V109" s="286"/>
      <c r="W109" s="286"/>
      <c r="X109" s="280" t="s">
        <v>1324</v>
      </c>
      <c r="Y109" s="290"/>
      <c r="Z109" s="287"/>
      <c r="AA109" s="287"/>
      <c r="AB109" s="287"/>
      <c r="AC109" s="287"/>
      <c r="AD109" s="287"/>
      <c r="AE109" s="287"/>
      <c r="AF109" s="287"/>
      <c r="AG109" s="287"/>
      <c r="AH109" s="287"/>
      <c r="AI109" s="287"/>
      <c r="AJ109" s="287"/>
    </row>
    <row r="110">
      <c r="A110" s="280" t="s">
        <v>953</v>
      </c>
      <c r="B110" s="281">
        <v>45513.0</v>
      </c>
      <c r="C110" s="282"/>
      <c r="D110" s="283">
        <v>3432.0</v>
      </c>
      <c r="E110" s="284" t="b">
        <v>0</v>
      </c>
      <c r="F110" s="284" t="b">
        <v>0</v>
      </c>
      <c r="G110" s="284" t="b">
        <v>1</v>
      </c>
      <c r="H110" s="284" t="b">
        <v>0</v>
      </c>
      <c r="I110" s="280" t="s">
        <v>38</v>
      </c>
      <c r="J110" s="280" t="s">
        <v>1300</v>
      </c>
      <c r="K110" s="283">
        <v>1.44694112E8</v>
      </c>
      <c r="L110" s="284" t="b">
        <v>0</v>
      </c>
      <c r="M110" s="284" t="b">
        <v>0</v>
      </c>
      <c r="N110" s="284" t="b">
        <v>0</v>
      </c>
      <c r="O110" s="284" t="b">
        <v>0</v>
      </c>
      <c r="P110" s="284" t="b">
        <v>0</v>
      </c>
      <c r="Q110" s="284" t="b">
        <v>0</v>
      </c>
      <c r="R110" s="284" t="b">
        <v>0</v>
      </c>
      <c r="S110" s="284" t="b">
        <v>1</v>
      </c>
      <c r="T110" s="285"/>
      <c r="U110" s="289" t="s">
        <v>1324</v>
      </c>
      <c r="V110" s="286"/>
      <c r="W110" s="286"/>
      <c r="X110" s="280" t="s">
        <v>1324</v>
      </c>
      <c r="Y110" s="290"/>
      <c r="Z110" s="287"/>
      <c r="AA110" s="287"/>
      <c r="AB110" s="287"/>
      <c r="AC110" s="287"/>
      <c r="AD110" s="287"/>
      <c r="AE110" s="287"/>
      <c r="AF110" s="287"/>
      <c r="AG110" s="287"/>
      <c r="AH110" s="287"/>
      <c r="AI110" s="287"/>
      <c r="AJ110" s="287"/>
    </row>
    <row r="111">
      <c r="A111" s="280" t="s">
        <v>953</v>
      </c>
      <c r="B111" s="281">
        <v>44633.0</v>
      </c>
      <c r="C111" s="282"/>
      <c r="D111" s="283">
        <v>24552.0</v>
      </c>
      <c r="E111" s="284" t="b">
        <v>0</v>
      </c>
      <c r="F111" s="284" t="b">
        <v>0</v>
      </c>
      <c r="G111" s="284" t="b">
        <v>1</v>
      </c>
      <c r="H111" s="284" t="b">
        <v>0</v>
      </c>
      <c r="I111" s="280" t="s">
        <v>38</v>
      </c>
      <c r="J111" s="280" t="s">
        <v>1300</v>
      </c>
      <c r="K111" s="283">
        <v>1.44694112E8</v>
      </c>
      <c r="L111" s="284" t="b">
        <v>0</v>
      </c>
      <c r="M111" s="284" t="b">
        <v>0</v>
      </c>
      <c r="N111" s="284" t="b">
        <v>0</v>
      </c>
      <c r="O111" s="284" t="b">
        <v>1</v>
      </c>
      <c r="P111" s="284" t="b">
        <v>0</v>
      </c>
      <c r="Q111" s="284" t="b">
        <v>0</v>
      </c>
      <c r="R111" s="284" t="b">
        <v>0</v>
      </c>
      <c r="S111" s="284" t="b">
        <v>0</v>
      </c>
      <c r="T111" s="285"/>
      <c r="U111" s="285"/>
      <c r="V111" s="286"/>
      <c r="W111" s="280" t="s">
        <v>1324</v>
      </c>
      <c r="X111" s="286"/>
      <c r="Y111" s="285"/>
      <c r="Z111" s="286"/>
      <c r="AA111" s="286"/>
      <c r="AB111" s="286"/>
      <c r="AC111" s="286"/>
      <c r="AD111" s="286"/>
      <c r="AE111" s="286"/>
      <c r="AF111" s="286"/>
      <c r="AG111" s="286"/>
      <c r="AH111" s="286"/>
      <c r="AI111" s="286"/>
      <c r="AJ111" s="286"/>
    </row>
    <row r="112">
      <c r="A112" s="280" t="s">
        <v>953</v>
      </c>
      <c r="B112" s="281">
        <v>44619.0</v>
      </c>
      <c r="C112" s="282"/>
      <c r="D112" s="283">
        <v>24888.0</v>
      </c>
      <c r="E112" s="284" t="b">
        <v>0</v>
      </c>
      <c r="F112" s="284" t="b">
        <v>0</v>
      </c>
      <c r="G112" s="284" t="b">
        <v>1</v>
      </c>
      <c r="H112" s="284" t="b">
        <v>0</v>
      </c>
      <c r="I112" s="280" t="s">
        <v>38</v>
      </c>
      <c r="J112" s="280" t="s">
        <v>1300</v>
      </c>
      <c r="K112" s="283">
        <v>1.44694112E8</v>
      </c>
      <c r="L112" s="284" t="b">
        <v>1</v>
      </c>
      <c r="M112" s="284" t="b">
        <v>0</v>
      </c>
      <c r="N112" s="284" t="b">
        <v>0</v>
      </c>
      <c r="O112" s="284" t="b">
        <v>0</v>
      </c>
      <c r="P112" s="284" t="b">
        <v>0</v>
      </c>
      <c r="Q112" s="284" t="b">
        <v>0</v>
      </c>
      <c r="R112" s="284" t="b">
        <v>0</v>
      </c>
      <c r="S112" s="284" t="b">
        <v>0</v>
      </c>
      <c r="T112" s="285"/>
      <c r="U112" s="285"/>
      <c r="V112" s="286"/>
      <c r="W112" s="280" t="s">
        <v>1324</v>
      </c>
      <c r="X112" s="286"/>
      <c r="Y112" s="285"/>
      <c r="Z112" s="286"/>
      <c r="AA112" s="286"/>
      <c r="AB112" s="286"/>
      <c r="AC112" s="286"/>
      <c r="AD112" s="286"/>
      <c r="AE112" s="286"/>
      <c r="AF112" s="286"/>
      <c r="AG112" s="286"/>
      <c r="AH112" s="286"/>
      <c r="AI112" s="286"/>
      <c r="AJ112" s="286"/>
    </row>
    <row r="113">
      <c r="A113" s="280" t="s">
        <v>953</v>
      </c>
      <c r="B113" s="281">
        <v>44618.0</v>
      </c>
      <c r="C113" s="282"/>
      <c r="D113" s="283">
        <v>24912.0</v>
      </c>
      <c r="E113" s="284" t="b">
        <v>0</v>
      </c>
      <c r="F113" s="284" t="b">
        <v>0</v>
      </c>
      <c r="G113" s="284" t="b">
        <v>1</v>
      </c>
      <c r="H113" s="284" t="b">
        <v>0</v>
      </c>
      <c r="I113" s="280" t="s">
        <v>38</v>
      </c>
      <c r="J113" s="280" t="s">
        <v>1300</v>
      </c>
      <c r="K113" s="283">
        <v>1.44694112E8</v>
      </c>
      <c r="L113" s="284" t="b">
        <v>0</v>
      </c>
      <c r="M113" s="284" t="b">
        <v>1</v>
      </c>
      <c r="N113" s="284" t="b">
        <v>0</v>
      </c>
      <c r="O113" s="284" t="b">
        <v>0</v>
      </c>
      <c r="P113" s="284" t="b">
        <v>0</v>
      </c>
      <c r="Q113" s="284" t="b">
        <v>0</v>
      </c>
      <c r="R113" s="284" t="b">
        <v>0</v>
      </c>
      <c r="S113" s="284" t="b">
        <v>0</v>
      </c>
      <c r="T113" s="285"/>
      <c r="U113" s="285"/>
      <c r="V113" s="286"/>
      <c r="W113" s="280" t="s">
        <v>1324</v>
      </c>
      <c r="X113" s="286"/>
      <c r="Y113" s="285"/>
      <c r="Z113" s="286"/>
      <c r="AA113" s="286"/>
      <c r="AB113" s="286"/>
      <c r="AC113" s="286"/>
      <c r="AD113" s="286"/>
      <c r="AE113" s="286"/>
      <c r="AF113" s="286"/>
      <c r="AG113" s="286"/>
      <c r="AH113" s="286"/>
      <c r="AI113" s="286"/>
      <c r="AJ113" s="286"/>
    </row>
    <row r="114">
      <c r="A114" s="280" t="s">
        <v>292</v>
      </c>
      <c r="B114" s="281">
        <v>45329.0</v>
      </c>
      <c r="C114" s="282"/>
      <c r="D114" s="283">
        <v>7848.0</v>
      </c>
      <c r="E114" s="284" t="b">
        <v>0</v>
      </c>
      <c r="F114" s="284" t="b">
        <v>0</v>
      </c>
      <c r="G114" s="284" t="b">
        <v>1</v>
      </c>
      <c r="H114" s="284" t="b">
        <v>0</v>
      </c>
      <c r="I114" s="280" t="s">
        <v>38</v>
      </c>
      <c r="J114" s="280" t="s">
        <v>1297</v>
      </c>
      <c r="K114" s="283">
        <v>4.7486909E7</v>
      </c>
      <c r="L114" s="284" t="b">
        <v>0</v>
      </c>
      <c r="M114" s="284" t="b">
        <v>0</v>
      </c>
      <c r="N114" s="284" t="b">
        <v>0</v>
      </c>
      <c r="O114" s="284" t="b">
        <v>0</v>
      </c>
      <c r="P114" s="284" t="b">
        <v>0</v>
      </c>
      <c r="Q114" s="284" t="b">
        <v>0</v>
      </c>
      <c r="R114" s="284" t="b">
        <v>0</v>
      </c>
      <c r="S114" s="284" t="b">
        <v>0</v>
      </c>
      <c r="T114" s="285"/>
      <c r="U114" s="289" t="s">
        <v>1324</v>
      </c>
      <c r="V114" s="286"/>
      <c r="W114" s="285"/>
      <c r="X114" s="280" t="s">
        <v>1324</v>
      </c>
      <c r="Y114" s="286"/>
      <c r="Z114" s="286"/>
      <c r="AA114" s="286"/>
      <c r="AB114" s="286"/>
      <c r="AC114" s="286"/>
      <c r="AD114" s="286"/>
      <c r="AE114" s="286"/>
      <c r="AF114" s="286"/>
      <c r="AG114" s="286"/>
      <c r="AH114" s="286"/>
      <c r="AI114" s="286"/>
      <c r="AJ114" s="286"/>
    </row>
    <row r="115">
      <c r="A115" s="280" t="s">
        <v>292</v>
      </c>
      <c r="B115" s="281">
        <v>45031.0</v>
      </c>
      <c r="C115" s="282"/>
      <c r="D115" s="283">
        <v>15000.0</v>
      </c>
      <c r="E115" s="284" t="b">
        <v>0</v>
      </c>
      <c r="F115" s="284" t="b">
        <v>0</v>
      </c>
      <c r="G115" s="284" t="b">
        <v>1</v>
      </c>
      <c r="H115" s="284" t="b">
        <v>0</v>
      </c>
      <c r="I115" s="280" t="s">
        <v>38</v>
      </c>
      <c r="J115" s="280" t="s">
        <v>1297</v>
      </c>
      <c r="K115" s="283">
        <v>4.7486909E7</v>
      </c>
      <c r="L115" s="284" t="b">
        <v>0</v>
      </c>
      <c r="M115" s="284" t="b">
        <v>0</v>
      </c>
      <c r="N115" s="284" t="b">
        <v>0</v>
      </c>
      <c r="O115" s="284" t="b">
        <v>0</v>
      </c>
      <c r="P115" s="284" t="b">
        <v>0</v>
      </c>
      <c r="Q115" s="284" t="b">
        <v>0</v>
      </c>
      <c r="R115" s="284" t="b">
        <v>0</v>
      </c>
      <c r="S115" s="284" t="b">
        <v>0</v>
      </c>
      <c r="T115" s="285"/>
      <c r="U115" s="286"/>
      <c r="V115" s="286"/>
      <c r="W115" s="280" t="s">
        <v>1324</v>
      </c>
      <c r="X115" s="285"/>
      <c r="Y115" s="286"/>
      <c r="Z115" s="286"/>
      <c r="AA115" s="286"/>
      <c r="AB115" s="286"/>
      <c r="AC115" s="286"/>
      <c r="AD115" s="286"/>
      <c r="AE115" s="286"/>
      <c r="AF115" s="286"/>
      <c r="AG115" s="286"/>
      <c r="AH115" s="286"/>
      <c r="AI115" s="286"/>
      <c r="AJ115" s="286"/>
    </row>
    <row r="116">
      <c r="A116" s="280" t="s">
        <v>259</v>
      </c>
      <c r="B116" s="281">
        <v>45332.0</v>
      </c>
      <c r="C116" s="281">
        <v>45335.0</v>
      </c>
      <c r="D116" s="283">
        <v>72.0</v>
      </c>
      <c r="E116" s="284" t="b">
        <v>0</v>
      </c>
      <c r="F116" s="284" t="b">
        <v>1</v>
      </c>
      <c r="G116" s="284" t="b">
        <v>0</v>
      </c>
      <c r="H116" s="284" t="b">
        <v>0</v>
      </c>
      <c r="I116" s="280" t="s">
        <v>38</v>
      </c>
      <c r="J116" s="280" t="s">
        <v>1297</v>
      </c>
      <c r="K116" s="283">
        <v>1.7536231E7</v>
      </c>
      <c r="L116" s="284" t="b">
        <v>0</v>
      </c>
      <c r="M116" s="284" t="b">
        <v>0</v>
      </c>
      <c r="N116" s="284" t="b">
        <v>0</v>
      </c>
      <c r="O116" s="284" t="b">
        <v>0</v>
      </c>
      <c r="P116" s="284" t="b">
        <v>0</v>
      </c>
      <c r="Q116" s="284" t="b">
        <v>0</v>
      </c>
      <c r="R116" s="284" t="b">
        <v>0</v>
      </c>
      <c r="S116" s="284" t="b">
        <v>0</v>
      </c>
      <c r="T116" s="289" t="s">
        <v>1324</v>
      </c>
      <c r="U116" s="286"/>
      <c r="V116" s="286"/>
      <c r="W116" s="286"/>
      <c r="X116" s="280" t="s">
        <v>1324</v>
      </c>
      <c r="Y116" s="286"/>
      <c r="Z116" s="286"/>
      <c r="AA116" s="286"/>
      <c r="AB116" s="286"/>
      <c r="AC116" s="286"/>
      <c r="AD116" s="286"/>
      <c r="AE116" s="286"/>
      <c r="AF116" s="286"/>
      <c r="AG116" s="286"/>
      <c r="AH116" s="286"/>
      <c r="AI116" s="286"/>
      <c r="AJ116" s="286"/>
    </row>
    <row r="117">
      <c r="A117" s="280" t="s">
        <v>259</v>
      </c>
      <c r="B117" s="281">
        <v>45327.0</v>
      </c>
      <c r="C117" s="281">
        <v>45328.0</v>
      </c>
      <c r="D117" s="283">
        <v>48.0</v>
      </c>
      <c r="E117" s="284" t="b">
        <v>1</v>
      </c>
      <c r="F117" s="284" t="b">
        <v>0</v>
      </c>
      <c r="G117" s="284" t="b">
        <v>0</v>
      </c>
      <c r="H117" s="284" t="b">
        <v>0</v>
      </c>
      <c r="I117" s="280" t="s">
        <v>262</v>
      </c>
      <c r="J117" s="280" t="s">
        <v>1297</v>
      </c>
      <c r="K117" s="283">
        <v>3540462.0</v>
      </c>
      <c r="L117" s="284" t="b">
        <v>0</v>
      </c>
      <c r="M117" s="284" t="b">
        <v>0</v>
      </c>
      <c r="N117" s="284" t="b">
        <v>0</v>
      </c>
      <c r="O117" s="284" t="b">
        <v>0</v>
      </c>
      <c r="P117" s="284" t="b">
        <v>0</v>
      </c>
      <c r="Q117" s="284" t="b">
        <v>0</v>
      </c>
      <c r="R117" s="284" t="b">
        <v>0</v>
      </c>
      <c r="S117" s="284" t="b">
        <v>0</v>
      </c>
      <c r="T117" s="289" t="s">
        <v>1324</v>
      </c>
      <c r="U117" s="286"/>
      <c r="V117" s="286"/>
      <c r="W117" s="286"/>
      <c r="X117" s="280" t="s">
        <v>1324</v>
      </c>
      <c r="Y117" s="286"/>
      <c r="Z117" s="286"/>
      <c r="AA117" s="286"/>
      <c r="AB117" s="286"/>
      <c r="AC117" s="286"/>
      <c r="AD117" s="286"/>
      <c r="AE117" s="286"/>
      <c r="AF117" s="286"/>
      <c r="AG117" s="286"/>
      <c r="AH117" s="286"/>
      <c r="AI117" s="286"/>
      <c r="AJ117" s="286"/>
    </row>
    <row r="118">
      <c r="A118" s="280" t="s">
        <v>259</v>
      </c>
      <c r="B118" s="281">
        <v>45140.0</v>
      </c>
      <c r="C118" s="282"/>
      <c r="D118" s="283">
        <v>12384.0</v>
      </c>
      <c r="E118" s="284" t="b">
        <v>0</v>
      </c>
      <c r="F118" s="284" t="b">
        <v>0</v>
      </c>
      <c r="G118" s="284" t="b">
        <v>1</v>
      </c>
      <c r="H118" s="284" t="b">
        <v>0</v>
      </c>
      <c r="I118" s="280" t="s">
        <v>38</v>
      </c>
      <c r="J118" s="280" t="s">
        <v>1297</v>
      </c>
      <c r="K118" s="283">
        <v>1.7536231E7</v>
      </c>
      <c r="L118" s="284" t="b">
        <v>0</v>
      </c>
      <c r="M118" s="284" t="b">
        <v>0</v>
      </c>
      <c r="N118" s="284" t="b">
        <v>0</v>
      </c>
      <c r="O118" s="284" t="b">
        <v>0</v>
      </c>
      <c r="P118" s="284" t="b">
        <v>0</v>
      </c>
      <c r="Q118" s="284" t="b">
        <v>0</v>
      </c>
      <c r="R118" s="284" t="b">
        <v>1</v>
      </c>
      <c r="S118" s="284" t="b">
        <v>0</v>
      </c>
      <c r="T118" s="285"/>
      <c r="U118" s="286"/>
      <c r="V118" s="286"/>
      <c r="W118" s="280" t="s">
        <v>1324</v>
      </c>
      <c r="X118" s="285"/>
      <c r="Y118" s="286"/>
      <c r="Z118" s="286"/>
      <c r="AA118" s="286"/>
      <c r="AB118" s="286"/>
      <c r="AC118" s="286"/>
      <c r="AD118" s="286"/>
      <c r="AE118" s="286"/>
      <c r="AF118" s="286"/>
      <c r="AG118" s="286"/>
      <c r="AH118" s="286"/>
      <c r="AI118" s="286"/>
      <c r="AJ118" s="286"/>
    </row>
    <row r="119">
      <c r="A119" s="280" t="s">
        <v>281</v>
      </c>
      <c r="B119" s="281">
        <v>45159.0</v>
      </c>
      <c r="C119" s="282"/>
      <c r="D119" s="283">
        <v>11928.0</v>
      </c>
      <c r="E119" s="284" t="b">
        <v>0</v>
      </c>
      <c r="F119" s="284" t="b">
        <v>0</v>
      </c>
      <c r="G119" s="284" t="b">
        <v>1</v>
      </c>
      <c r="H119" s="284" t="b">
        <v>0</v>
      </c>
      <c r="I119" s="280" t="s">
        <v>38</v>
      </c>
      <c r="J119" s="280" t="s">
        <v>1297</v>
      </c>
      <c r="K119" s="283">
        <v>1.786503E7</v>
      </c>
      <c r="L119" s="284" t="b">
        <v>0</v>
      </c>
      <c r="M119" s="284" t="b">
        <v>0</v>
      </c>
      <c r="N119" s="284" t="b">
        <v>0</v>
      </c>
      <c r="O119" s="284" t="b">
        <v>0</v>
      </c>
      <c r="P119" s="284" t="b">
        <v>1</v>
      </c>
      <c r="Q119" s="284" t="b">
        <v>0</v>
      </c>
      <c r="R119" s="284" t="b">
        <v>1</v>
      </c>
      <c r="S119" s="284" t="b">
        <v>0</v>
      </c>
      <c r="T119" s="285"/>
      <c r="U119" s="286"/>
      <c r="V119" s="286"/>
      <c r="W119" s="280" t="s">
        <v>1324</v>
      </c>
      <c r="X119" s="285"/>
      <c r="Y119" s="286"/>
      <c r="Z119" s="286"/>
      <c r="AA119" s="286"/>
      <c r="AB119" s="286"/>
      <c r="AC119" s="286"/>
      <c r="AD119" s="286"/>
      <c r="AE119" s="286"/>
      <c r="AF119" s="286"/>
      <c r="AG119" s="286"/>
      <c r="AH119" s="286"/>
      <c r="AI119" s="286"/>
      <c r="AJ119" s="286"/>
    </row>
    <row r="120">
      <c r="A120" s="280" t="s">
        <v>1021</v>
      </c>
      <c r="B120" s="281">
        <v>45550.0</v>
      </c>
      <c r="C120" s="281">
        <v>45551.0</v>
      </c>
      <c r="D120" s="283">
        <v>24.0</v>
      </c>
      <c r="E120" s="284" t="b">
        <v>0</v>
      </c>
      <c r="F120" s="284" t="b">
        <v>0</v>
      </c>
      <c r="G120" s="284" t="b">
        <v>1</v>
      </c>
      <c r="H120" s="284" t="b">
        <v>0</v>
      </c>
      <c r="I120" s="280" t="s">
        <v>38</v>
      </c>
      <c r="J120" s="280" t="s">
        <v>1301</v>
      </c>
      <c r="K120" s="283">
        <v>6348989.0</v>
      </c>
      <c r="L120" s="284" t="b">
        <v>0</v>
      </c>
      <c r="M120" s="284" t="b">
        <v>0</v>
      </c>
      <c r="N120" s="284" t="b">
        <v>0</v>
      </c>
      <c r="O120" s="284" t="b">
        <v>0</v>
      </c>
      <c r="P120" s="284" t="b">
        <v>1</v>
      </c>
      <c r="Q120" s="284" t="b">
        <v>0</v>
      </c>
      <c r="R120" s="284" t="b">
        <v>0</v>
      </c>
      <c r="S120" s="284" t="b">
        <v>0</v>
      </c>
      <c r="T120" s="289" t="s">
        <v>1324</v>
      </c>
      <c r="U120" s="286"/>
      <c r="V120" s="285"/>
      <c r="W120" s="286"/>
      <c r="X120" s="280" t="s">
        <v>1324</v>
      </c>
      <c r="Y120" s="285"/>
      <c r="Z120" s="286"/>
      <c r="AA120" s="286"/>
      <c r="AB120" s="286"/>
      <c r="AC120" s="286"/>
      <c r="AD120" s="286"/>
      <c r="AE120" s="286"/>
      <c r="AF120" s="286"/>
      <c r="AG120" s="286"/>
      <c r="AH120" s="286"/>
      <c r="AI120" s="286"/>
      <c r="AJ120" s="286"/>
    </row>
    <row r="121">
      <c r="A121" s="280" t="s">
        <v>1021</v>
      </c>
      <c r="B121" s="281">
        <v>45444.0</v>
      </c>
      <c r="C121" s="281">
        <v>45445.0</v>
      </c>
      <c r="D121" s="288">
        <v>24.0</v>
      </c>
      <c r="E121" s="284" t="b">
        <v>0</v>
      </c>
      <c r="F121" s="284" t="b">
        <v>0</v>
      </c>
      <c r="G121" s="284" t="b">
        <v>1</v>
      </c>
      <c r="H121" s="284" t="b">
        <v>0</v>
      </c>
      <c r="I121" s="280" t="s">
        <v>38</v>
      </c>
      <c r="J121" s="280" t="s">
        <v>1301</v>
      </c>
      <c r="K121" s="283">
        <v>6348989.0</v>
      </c>
      <c r="L121" s="284" t="b">
        <v>0</v>
      </c>
      <c r="M121" s="284" t="b">
        <v>0</v>
      </c>
      <c r="N121" s="284" t="b">
        <v>0</v>
      </c>
      <c r="O121" s="284" t="b">
        <v>0</v>
      </c>
      <c r="P121" s="284" t="b">
        <v>1</v>
      </c>
      <c r="Q121" s="284" t="b">
        <v>0</v>
      </c>
      <c r="R121" s="284" t="b">
        <v>0</v>
      </c>
      <c r="S121" s="284" t="b">
        <v>0</v>
      </c>
      <c r="T121" s="289" t="s">
        <v>1324</v>
      </c>
      <c r="U121" s="285"/>
      <c r="V121" s="286"/>
      <c r="W121" s="286"/>
      <c r="X121" s="280" t="s">
        <v>1324</v>
      </c>
      <c r="Y121" s="285"/>
      <c r="Z121" s="286"/>
      <c r="AA121" s="286"/>
      <c r="AB121" s="286"/>
      <c r="AC121" s="286"/>
      <c r="AD121" s="286"/>
      <c r="AE121" s="286"/>
      <c r="AF121" s="286"/>
      <c r="AG121" s="286"/>
      <c r="AH121" s="286"/>
      <c r="AI121" s="286"/>
      <c r="AJ121" s="286"/>
    </row>
    <row r="122">
      <c r="A122" s="280" t="s">
        <v>779</v>
      </c>
      <c r="B122" s="281">
        <v>45498.0</v>
      </c>
      <c r="C122" s="281">
        <v>45498.0</v>
      </c>
      <c r="D122" s="288">
        <v>4.0</v>
      </c>
      <c r="E122" s="284" t="b">
        <v>0</v>
      </c>
      <c r="F122" s="284" t="b">
        <v>0</v>
      </c>
      <c r="G122" s="284" t="b">
        <v>1</v>
      </c>
      <c r="H122" s="284" t="b">
        <v>0</v>
      </c>
      <c r="I122" s="280" t="s">
        <v>38</v>
      </c>
      <c r="J122" s="280" t="s">
        <v>1298</v>
      </c>
      <c r="K122" s="283">
        <v>2.2660911E7</v>
      </c>
      <c r="L122" s="284" t="b">
        <v>0</v>
      </c>
      <c r="M122" s="284" t="b">
        <v>0</v>
      </c>
      <c r="N122" s="284" t="b">
        <v>0</v>
      </c>
      <c r="O122" s="284" t="b">
        <v>0</v>
      </c>
      <c r="P122" s="284" t="b">
        <v>0</v>
      </c>
      <c r="Q122" s="284" t="b">
        <v>0</v>
      </c>
      <c r="R122" s="284" t="b">
        <v>0</v>
      </c>
      <c r="S122" s="284" t="b">
        <v>0</v>
      </c>
      <c r="T122" s="289" t="s">
        <v>1324</v>
      </c>
      <c r="U122" s="285"/>
      <c r="V122" s="286"/>
      <c r="W122" s="286"/>
      <c r="X122" s="280" t="s">
        <v>1324</v>
      </c>
      <c r="Y122" s="285"/>
      <c r="Z122" s="286"/>
      <c r="AA122" s="286"/>
      <c r="AB122" s="286"/>
      <c r="AC122" s="286"/>
      <c r="AD122" s="286"/>
      <c r="AE122" s="286"/>
      <c r="AF122" s="286"/>
      <c r="AG122" s="286"/>
      <c r="AH122" s="286"/>
      <c r="AI122" s="286"/>
      <c r="AJ122" s="286"/>
    </row>
    <row r="123">
      <c r="A123" s="280" t="s">
        <v>79</v>
      </c>
      <c r="B123" s="281">
        <v>45350.0</v>
      </c>
      <c r="C123" s="281">
        <v>45358.0</v>
      </c>
      <c r="D123" s="288">
        <v>38.0</v>
      </c>
      <c r="E123" s="284" t="b">
        <v>0</v>
      </c>
      <c r="F123" s="284" t="b">
        <v>0</v>
      </c>
      <c r="G123" s="284" t="b">
        <v>1</v>
      </c>
      <c r="H123" s="284" t="b">
        <v>0</v>
      </c>
      <c r="I123" s="280" t="s">
        <v>38</v>
      </c>
      <c r="J123" s="280" t="s">
        <v>1297</v>
      </c>
      <c r="K123" s="283">
        <v>1.7997367E7</v>
      </c>
      <c r="L123" s="284" t="b">
        <v>0</v>
      </c>
      <c r="M123" s="284" t="b">
        <v>0</v>
      </c>
      <c r="N123" s="284" t="b">
        <v>0</v>
      </c>
      <c r="O123" s="284" t="b">
        <v>0</v>
      </c>
      <c r="P123" s="284" t="b">
        <v>0</v>
      </c>
      <c r="Q123" s="284" t="b">
        <v>0</v>
      </c>
      <c r="R123" s="284" t="b">
        <v>0</v>
      </c>
      <c r="S123" s="284" t="b">
        <v>0</v>
      </c>
      <c r="T123" s="289" t="s">
        <v>1324</v>
      </c>
      <c r="U123" s="285"/>
      <c r="V123" s="286"/>
      <c r="W123" s="286"/>
      <c r="X123" s="280" t="s">
        <v>1324</v>
      </c>
      <c r="Y123" s="285"/>
      <c r="Z123" s="286"/>
      <c r="AA123" s="286"/>
      <c r="AB123" s="286"/>
      <c r="AC123" s="286"/>
      <c r="AD123" s="286"/>
      <c r="AE123" s="286"/>
      <c r="AF123" s="286"/>
      <c r="AG123" s="286"/>
      <c r="AH123" s="286"/>
      <c r="AI123" s="286"/>
      <c r="AJ123" s="286"/>
    </row>
    <row r="124">
      <c r="A124" s="280" t="s">
        <v>799</v>
      </c>
      <c r="B124" s="281">
        <v>45588.0</v>
      </c>
      <c r="C124" s="281">
        <v>45589.0</v>
      </c>
      <c r="D124" s="288">
        <v>24.0</v>
      </c>
      <c r="E124" s="284" t="b">
        <v>0</v>
      </c>
      <c r="F124" s="284" t="b">
        <v>0</v>
      </c>
      <c r="G124" s="284" t="b">
        <v>1</v>
      </c>
      <c r="H124" s="284" t="b">
        <v>0</v>
      </c>
      <c r="I124" s="280" t="s">
        <v>38</v>
      </c>
      <c r="J124" s="280" t="s">
        <v>1298</v>
      </c>
      <c r="K124" s="283">
        <v>8.5590849E7</v>
      </c>
      <c r="L124" s="284" t="b">
        <v>1</v>
      </c>
      <c r="M124" s="284" t="b">
        <v>0</v>
      </c>
      <c r="N124" s="284" t="b">
        <v>1</v>
      </c>
      <c r="O124" s="284" t="b">
        <v>1</v>
      </c>
      <c r="P124" s="284" t="b">
        <v>0</v>
      </c>
      <c r="Q124" s="284" t="b">
        <v>0</v>
      </c>
      <c r="R124" s="284" t="b">
        <v>1</v>
      </c>
      <c r="S124" s="284" t="b">
        <v>0</v>
      </c>
      <c r="T124" s="289" t="s">
        <v>1324</v>
      </c>
      <c r="U124" s="285"/>
      <c r="V124" s="286"/>
      <c r="W124" s="286"/>
      <c r="X124" s="280" t="s">
        <v>1324</v>
      </c>
      <c r="Y124" s="285"/>
      <c r="Z124" s="286"/>
      <c r="AA124" s="286"/>
      <c r="AB124" s="286"/>
      <c r="AC124" s="286"/>
      <c r="AD124" s="286"/>
      <c r="AE124" s="286"/>
      <c r="AF124" s="286"/>
      <c r="AG124" s="286"/>
      <c r="AH124" s="286"/>
      <c r="AI124" s="286"/>
      <c r="AJ124" s="286"/>
    </row>
    <row r="125">
      <c r="A125" s="280" t="s">
        <v>799</v>
      </c>
      <c r="B125" s="281">
        <v>45574.0</v>
      </c>
      <c r="C125" s="282"/>
      <c r="D125" s="283">
        <v>1968.0</v>
      </c>
      <c r="E125" s="284" t="b">
        <v>0</v>
      </c>
      <c r="F125" s="284" t="b">
        <v>0</v>
      </c>
      <c r="G125" s="284" t="b">
        <v>1</v>
      </c>
      <c r="H125" s="284" t="b">
        <v>0</v>
      </c>
      <c r="I125" s="280" t="s">
        <v>38</v>
      </c>
      <c r="J125" s="280" t="s">
        <v>1298</v>
      </c>
      <c r="K125" s="283">
        <v>8.5590849E7</v>
      </c>
      <c r="L125" s="284" t="b">
        <v>0</v>
      </c>
      <c r="M125" s="284" t="b">
        <v>0</v>
      </c>
      <c r="N125" s="284" t="b">
        <v>0</v>
      </c>
      <c r="O125" s="284" t="b">
        <v>0</v>
      </c>
      <c r="P125" s="284" t="b">
        <v>0</v>
      </c>
      <c r="Q125" s="284" t="b">
        <v>0</v>
      </c>
      <c r="R125" s="284" t="b">
        <v>0</v>
      </c>
      <c r="S125" s="284" t="b">
        <v>1</v>
      </c>
      <c r="T125" s="285"/>
      <c r="U125" s="289" t="s">
        <v>1324</v>
      </c>
      <c r="V125" s="286"/>
      <c r="W125" s="286"/>
      <c r="X125" s="280" t="s">
        <v>1324</v>
      </c>
      <c r="Y125" s="286"/>
      <c r="Z125" s="286"/>
      <c r="AA125" s="286"/>
      <c r="AB125" s="286"/>
      <c r="AC125" s="286"/>
      <c r="AD125" s="286"/>
      <c r="AE125" s="286"/>
      <c r="AF125" s="286"/>
      <c r="AG125" s="286"/>
      <c r="AH125" s="286"/>
      <c r="AI125" s="286"/>
      <c r="AJ125" s="286"/>
    </row>
    <row r="126">
      <c r="A126" s="280" t="s">
        <v>799</v>
      </c>
      <c r="B126" s="281">
        <v>45506.0</v>
      </c>
      <c r="C126" s="281">
        <v>45514.0</v>
      </c>
      <c r="D126" s="283">
        <v>192.0</v>
      </c>
      <c r="E126" s="284" t="b">
        <v>0</v>
      </c>
      <c r="F126" s="284" t="b">
        <v>0</v>
      </c>
      <c r="G126" s="284" t="b">
        <v>0</v>
      </c>
      <c r="H126" s="284" t="b">
        <v>1</v>
      </c>
      <c r="I126" s="280" t="s">
        <v>38</v>
      </c>
      <c r="J126" s="280" t="s">
        <v>1298</v>
      </c>
      <c r="K126" s="283">
        <v>8.5590849E7</v>
      </c>
      <c r="L126" s="284" t="b">
        <v>0</v>
      </c>
      <c r="M126" s="284" t="b">
        <v>0</v>
      </c>
      <c r="N126" s="284" t="b">
        <v>0</v>
      </c>
      <c r="O126" s="284" t="b">
        <v>1</v>
      </c>
      <c r="P126" s="284" t="b">
        <v>0</v>
      </c>
      <c r="Q126" s="284" t="b">
        <v>0</v>
      </c>
      <c r="R126" s="284" t="b">
        <v>0</v>
      </c>
      <c r="S126" s="284" t="b">
        <v>0</v>
      </c>
      <c r="T126" s="289" t="s">
        <v>1324</v>
      </c>
      <c r="U126" s="286"/>
      <c r="V126" s="286"/>
      <c r="W126" s="286"/>
      <c r="X126" s="280" t="s">
        <v>1324</v>
      </c>
      <c r="Y126" s="286"/>
      <c r="Z126" s="286"/>
      <c r="AA126" s="286"/>
      <c r="AB126" s="286"/>
      <c r="AC126" s="286"/>
      <c r="AD126" s="286"/>
      <c r="AE126" s="286"/>
      <c r="AF126" s="286"/>
      <c r="AG126" s="286"/>
      <c r="AH126" s="286"/>
      <c r="AI126" s="286"/>
      <c r="AJ126" s="286"/>
    </row>
    <row r="127">
      <c r="A127" s="280" t="s">
        <v>799</v>
      </c>
      <c r="B127" s="281">
        <v>45474.0</v>
      </c>
      <c r="C127" s="281">
        <v>45477.0</v>
      </c>
      <c r="D127" s="283">
        <v>72.0</v>
      </c>
      <c r="E127" s="284" t="b">
        <v>1</v>
      </c>
      <c r="F127" s="284" t="b">
        <v>0</v>
      </c>
      <c r="G127" s="284" t="b">
        <v>0</v>
      </c>
      <c r="H127" s="284" t="b">
        <v>0</v>
      </c>
      <c r="I127" s="280" t="s">
        <v>804</v>
      </c>
      <c r="J127" s="280" t="s">
        <v>1298</v>
      </c>
      <c r="K127" s="283">
        <v>1025507.0</v>
      </c>
      <c r="L127" s="284" t="b">
        <v>1</v>
      </c>
      <c r="M127" s="284" t="b">
        <v>1</v>
      </c>
      <c r="N127" s="284" t="b">
        <v>1</v>
      </c>
      <c r="O127" s="284" t="b">
        <v>1</v>
      </c>
      <c r="P127" s="284" t="b">
        <v>0</v>
      </c>
      <c r="Q127" s="284" t="b">
        <v>0</v>
      </c>
      <c r="R127" s="284" t="b">
        <v>0</v>
      </c>
      <c r="S127" s="284" t="b">
        <v>0</v>
      </c>
      <c r="T127" s="289" t="s">
        <v>1324</v>
      </c>
      <c r="U127" s="286"/>
      <c r="V127" s="286"/>
      <c r="W127" s="286"/>
      <c r="X127" s="280" t="s">
        <v>1324</v>
      </c>
      <c r="Y127" s="286"/>
      <c r="Z127" s="286"/>
      <c r="AA127" s="286"/>
      <c r="AB127" s="286"/>
      <c r="AC127" s="286"/>
      <c r="AD127" s="286"/>
      <c r="AE127" s="286"/>
      <c r="AF127" s="286"/>
      <c r="AG127" s="286"/>
      <c r="AH127" s="286"/>
      <c r="AI127" s="286"/>
      <c r="AJ127" s="286"/>
    </row>
    <row r="128">
      <c r="A128" s="280" t="s">
        <v>799</v>
      </c>
      <c r="B128" s="281">
        <v>44978.0</v>
      </c>
      <c r="C128" s="281">
        <v>45313.0</v>
      </c>
      <c r="D128" s="283">
        <v>8050.0</v>
      </c>
      <c r="E128" s="284" t="b">
        <v>0</v>
      </c>
      <c r="F128" s="284" t="b">
        <v>1</v>
      </c>
      <c r="G128" s="284" t="b">
        <v>0</v>
      </c>
      <c r="H128" s="284" t="b">
        <v>0</v>
      </c>
      <c r="I128" s="280" t="s">
        <v>38</v>
      </c>
      <c r="J128" s="280" t="s">
        <v>1298</v>
      </c>
      <c r="K128" s="283">
        <v>8.5590849E7</v>
      </c>
      <c r="L128" s="284" t="b">
        <v>0</v>
      </c>
      <c r="M128" s="284" t="b">
        <v>0</v>
      </c>
      <c r="N128" s="284" t="b">
        <v>0</v>
      </c>
      <c r="O128" s="284" t="b">
        <v>0</v>
      </c>
      <c r="P128" s="284" t="b">
        <v>0</v>
      </c>
      <c r="Q128" s="284" t="b">
        <v>0</v>
      </c>
      <c r="R128" s="284" t="b">
        <v>1</v>
      </c>
      <c r="S128" s="284" t="b">
        <v>0</v>
      </c>
      <c r="T128" s="290"/>
      <c r="U128" s="287"/>
      <c r="V128" s="289" t="s">
        <v>1324</v>
      </c>
      <c r="W128" s="287"/>
      <c r="X128" s="290"/>
      <c r="Y128" s="286"/>
      <c r="Z128" s="286"/>
      <c r="AA128" s="286"/>
      <c r="AB128" s="286"/>
      <c r="AC128" s="286"/>
      <c r="AD128" s="286"/>
      <c r="AE128" s="286"/>
      <c r="AF128" s="286"/>
      <c r="AG128" s="286"/>
      <c r="AH128" s="286"/>
      <c r="AI128" s="286"/>
      <c r="AJ128" s="286"/>
    </row>
    <row r="129">
      <c r="A129" s="280" t="s">
        <v>1093</v>
      </c>
      <c r="B129" s="281">
        <v>45513.0</v>
      </c>
      <c r="C129" s="281">
        <v>45523.0</v>
      </c>
      <c r="D129" s="283">
        <v>240.0</v>
      </c>
      <c r="E129" s="284" t="b">
        <v>0</v>
      </c>
      <c r="F129" s="284" t="b">
        <v>0</v>
      </c>
      <c r="G129" s="284" t="b">
        <v>1</v>
      </c>
      <c r="H129" s="284" t="b">
        <v>0</v>
      </c>
      <c r="I129" s="280" t="s">
        <v>38</v>
      </c>
      <c r="J129" s="280" t="s">
        <v>1302</v>
      </c>
      <c r="K129" s="283">
        <v>2.8555733E7</v>
      </c>
      <c r="L129" s="284" t="b">
        <v>0</v>
      </c>
      <c r="M129" s="284" t="b">
        <v>1</v>
      </c>
      <c r="N129" s="284" t="b">
        <v>0</v>
      </c>
      <c r="O129" s="284" t="b">
        <v>0</v>
      </c>
      <c r="P129" s="284" t="b">
        <v>0</v>
      </c>
      <c r="Q129" s="284" t="b">
        <v>0</v>
      </c>
      <c r="R129" s="284" t="b">
        <v>0</v>
      </c>
      <c r="S129" s="284" t="b">
        <v>0</v>
      </c>
      <c r="T129" s="289" t="s">
        <v>1324</v>
      </c>
      <c r="U129" s="286"/>
      <c r="V129" s="286"/>
      <c r="W129" s="286"/>
      <c r="X129" s="280" t="s">
        <v>1324</v>
      </c>
      <c r="Y129" s="286"/>
      <c r="Z129" s="286"/>
      <c r="AA129" s="286"/>
      <c r="AB129" s="286"/>
      <c r="AC129" s="286"/>
      <c r="AD129" s="286"/>
      <c r="AE129" s="286"/>
      <c r="AF129" s="286"/>
      <c r="AG129" s="286"/>
      <c r="AH129" s="286"/>
      <c r="AI129" s="286"/>
      <c r="AJ129" s="286"/>
    </row>
    <row r="130">
      <c r="A130" s="280" t="s">
        <v>861</v>
      </c>
      <c r="B130" s="281">
        <v>45195.0</v>
      </c>
      <c r="C130" s="282"/>
      <c r="D130" s="283">
        <v>11064.0</v>
      </c>
      <c r="E130" s="284" t="b">
        <v>0</v>
      </c>
      <c r="F130" s="284" t="b">
        <v>0</v>
      </c>
      <c r="G130" s="284" t="b">
        <v>1</v>
      </c>
      <c r="H130" s="284" t="b">
        <v>0</v>
      </c>
      <c r="I130" s="280" t="s">
        <v>38</v>
      </c>
      <c r="J130" s="280" t="s">
        <v>1298</v>
      </c>
      <c r="K130" s="283">
        <v>3.4070907E7</v>
      </c>
      <c r="L130" s="284" t="b">
        <v>0</v>
      </c>
      <c r="M130" s="284" t="b">
        <v>0</v>
      </c>
      <c r="N130" s="284" t="b">
        <v>0</v>
      </c>
      <c r="O130" s="284" t="b">
        <v>0</v>
      </c>
      <c r="P130" s="284" t="b">
        <v>0</v>
      </c>
      <c r="Q130" s="284" t="b">
        <v>0</v>
      </c>
      <c r="R130" s="284" t="b">
        <v>0</v>
      </c>
      <c r="S130" s="284" t="b">
        <v>1</v>
      </c>
      <c r="T130" s="285"/>
      <c r="U130" s="286"/>
      <c r="V130" s="286"/>
      <c r="W130" s="280" t="s">
        <v>1324</v>
      </c>
      <c r="X130" s="285"/>
      <c r="Y130" s="287"/>
      <c r="Z130" s="287"/>
      <c r="AA130" s="287"/>
      <c r="AB130" s="287"/>
      <c r="AC130" s="287"/>
      <c r="AD130" s="287"/>
      <c r="AE130" s="287"/>
      <c r="AF130" s="287"/>
      <c r="AG130" s="287"/>
      <c r="AH130" s="287"/>
      <c r="AI130" s="287"/>
      <c r="AJ130" s="287"/>
    </row>
    <row r="131">
      <c r="A131" s="280" t="s">
        <v>861</v>
      </c>
      <c r="B131" s="281">
        <v>45229.0</v>
      </c>
      <c r="C131" s="282"/>
      <c r="D131" s="283">
        <v>10248.0</v>
      </c>
      <c r="E131" s="284" t="b">
        <v>0</v>
      </c>
      <c r="F131" s="284" t="b">
        <v>0</v>
      </c>
      <c r="G131" s="284" t="b">
        <v>1</v>
      </c>
      <c r="H131" s="284" t="b">
        <v>0</v>
      </c>
      <c r="I131" s="280" t="s">
        <v>38</v>
      </c>
      <c r="J131" s="280" t="s">
        <v>1298</v>
      </c>
      <c r="K131" s="283">
        <v>3.4070907E7</v>
      </c>
      <c r="L131" s="284" t="b">
        <v>0</v>
      </c>
      <c r="M131" s="284" t="b">
        <v>0</v>
      </c>
      <c r="N131" s="284" t="b">
        <v>1</v>
      </c>
      <c r="O131" s="284" t="b">
        <v>0</v>
      </c>
      <c r="P131" s="284" t="b">
        <v>0</v>
      </c>
      <c r="Q131" s="284" t="b">
        <v>0</v>
      </c>
      <c r="R131" s="284" t="b">
        <v>1</v>
      </c>
      <c r="S131" s="284" t="b">
        <v>0</v>
      </c>
      <c r="T131" s="285"/>
      <c r="U131" s="285"/>
      <c r="V131" s="286"/>
      <c r="W131" s="280" t="s">
        <v>1324</v>
      </c>
      <c r="X131" s="286"/>
      <c r="Y131" s="290"/>
      <c r="Z131" s="287"/>
      <c r="AA131" s="287"/>
      <c r="AB131" s="287"/>
      <c r="AC131" s="287"/>
      <c r="AD131" s="287"/>
      <c r="AE131" s="287"/>
      <c r="AF131" s="287"/>
      <c r="AG131" s="287"/>
      <c r="AH131" s="287"/>
      <c r="AI131" s="287"/>
      <c r="AJ131" s="287"/>
    </row>
    <row r="132">
      <c r="A132" s="114"/>
      <c r="B132" s="291"/>
      <c r="C132" s="292"/>
      <c r="D132" s="293"/>
      <c r="E132" s="55"/>
      <c r="F132" s="55"/>
      <c r="G132" s="55"/>
      <c r="H132" s="55"/>
      <c r="I132" s="55"/>
      <c r="J132" s="55"/>
      <c r="K132" s="294"/>
      <c r="L132" s="55"/>
      <c r="M132" s="55"/>
      <c r="N132" s="55"/>
      <c r="O132" s="55"/>
      <c r="P132" s="55"/>
      <c r="Q132" s="55"/>
      <c r="R132" s="55"/>
      <c r="S132" s="55"/>
      <c r="T132" s="55"/>
      <c r="U132" s="295"/>
      <c r="V132" s="296"/>
      <c r="W132" s="295"/>
      <c r="X132" s="295"/>
      <c r="Y132" s="296"/>
    </row>
    <row r="133">
      <c r="A133" s="114"/>
      <c r="B133" s="291"/>
      <c r="C133" s="291"/>
      <c r="D133" s="297"/>
      <c r="E133" s="55"/>
      <c r="F133" s="55"/>
      <c r="G133" s="55"/>
      <c r="H133" s="55"/>
      <c r="I133" s="55"/>
      <c r="J133" s="55"/>
      <c r="K133" s="294"/>
      <c r="L133" s="55"/>
      <c r="M133" s="55"/>
      <c r="N133" s="55"/>
      <c r="O133" s="55"/>
      <c r="P133" s="55"/>
      <c r="Q133" s="55"/>
      <c r="R133" s="55"/>
      <c r="S133" s="55"/>
      <c r="T133" s="55"/>
      <c r="U133" s="296"/>
      <c r="V133" s="295"/>
      <c r="W133" s="295"/>
      <c r="X133" s="295"/>
      <c r="Y133" s="296"/>
    </row>
    <row r="134">
      <c r="A134" s="114"/>
      <c r="B134" s="291"/>
      <c r="C134" s="292"/>
      <c r="D134" s="293"/>
      <c r="E134" s="55"/>
      <c r="F134" s="55"/>
      <c r="G134" s="55"/>
      <c r="H134" s="55"/>
      <c r="I134" s="55"/>
      <c r="J134" s="55"/>
      <c r="K134" s="294"/>
      <c r="L134" s="55"/>
      <c r="M134" s="55"/>
      <c r="N134" s="55"/>
      <c r="O134" s="55"/>
      <c r="P134" s="55"/>
      <c r="Q134" s="55"/>
      <c r="R134" s="55"/>
      <c r="S134" s="55"/>
      <c r="T134" s="55"/>
      <c r="U134" s="295"/>
      <c r="V134" s="296"/>
      <c r="W134" s="295"/>
      <c r="X134" s="295"/>
      <c r="Y134" s="296"/>
    </row>
    <row r="135">
      <c r="A135" s="114"/>
      <c r="B135" s="291"/>
      <c r="C135" s="292"/>
      <c r="D135" s="293"/>
      <c r="E135" s="55"/>
      <c r="F135" s="55"/>
      <c r="G135" s="55"/>
      <c r="H135" s="55"/>
      <c r="I135" s="55"/>
      <c r="J135" s="55"/>
      <c r="K135" s="294"/>
      <c r="L135" s="55"/>
      <c r="M135" s="55"/>
      <c r="N135" s="55"/>
      <c r="O135" s="55"/>
      <c r="P135" s="55"/>
      <c r="Q135" s="55"/>
      <c r="R135" s="55"/>
      <c r="S135" s="55"/>
      <c r="T135" s="55"/>
      <c r="U135" s="295"/>
      <c r="V135" s="295"/>
      <c r="W135" s="295"/>
      <c r="X135" s="296"/>
      <c r="Y135" s="295"/>
    </row>
    <row r="136">
      <c r="A136" s="114"/>
      <c r="B136" s="291"/>
      <c r="C136" s="292"/>
      <c r="D136" s="293"/>
      <c r="E136" s="55"/>
      <c r="F136" s="55"/>
      <c r="G136" s="55"/>
      <c r="H136" s="55"/>
      <c r="I136" s="55"/>
      <c r="J136" s="55"/>
      <c r="K136" s="294"/>
      <c r="L136" s="55"/>
      <c r="M136" s="55"/>
      <c r="N136" s="55"/>
      <c r="O136" s="55"/>
      <c r="P136" s="55"/>
      <c r="Q136" s="55"/>
      <c r="R136" s="55"/>
      <c r="S136" s="55"/>
      <c r="T136" s="55"/>
      <c r="U136" s="295"/>
      <c r="V136" s="295"/>
      <c r="W136" s="295"/>
      <c r="X136" s="296"/>
      <c r="Y136" s="295"/>
    </row>
    <row r="137">
      <c r="A137" s="114"/>
      <c r="B137" s="291"/>
      <c r="C137" s="292"/>
      <c r="D137" s="293"/>
      <c r="E137" s="55"/>
      <c r="F137" s="55"/>
      <c r="G137" s="55"/>
      <c r="H137" s="55"/>
      <c r="I137" s="55"/>
      <c r="J137" s="55"/>
      <c r="K137" s="294"/>
      <c r="L137" s="55"/>
      <c r="M137" s="55"/>
      <c r="N137" s="55"/>
      <c r="O137" s="55"/>
      <c r="P137" s="55"/>
      <c r="Q137" s="55"/>
      <c r="R137" s="55"/>
      <c r="S137" s="55"/>
      <c r="T137" s="55"/>
      <c r="U137" s="295"/>
      <c r="V137" s="296"/>
      <c r="W137" s="295"/>
      <c r="X137" s="295"/>
      <c r="Y137" s="296"/>
    </row>
    <row r="138">
      <c r="A138" s="114"/>
      <c r="B138" s="291"/>
      <c r="C138" s="291"/>
      <c r="D138" s="297"/>
      <c r="E138" s="55"/>
      <c r="F138" s="55"/>
      <c r="G138" s="55"/>
      <c r="H138" s="55"/>
      <c r="I138" s="55"/>
      <c r="J138" s="55"/>
      <c r="K138" s="294"/>
      <c r="L138" s="55"/>
      <c r="M138" s="55"/>
      <c r="N138" s="55"/>
      <c r="O138" s="55"/>
      <c r="P138" s="55"/>
      <c r="Q138" s="55"/>
      <c r="R138" s="55"/>
      <c r="S138" s="55"/>
      <c r="T138" s="55"/>
      <c r="U138" s="296"/>
      <c r="V138" s="295"/>
      <c r="W138" s="295"/>
      <c r="X138" s="295"/>
      <c r="Y138" s="296"/>
    </row>
    <row r="139">
      <c r="A139" s="114"/>
      <c r="B139" s="291"/>
      <c r="C139" s="292"/>
      <c r="D139" s="293"/>
      <c r="E139" s="55"/>
      <c r="F139" s="55"/>
      <c r="G139" s="55"/>
      <c r="H139" s="55"/>
      <c r="I139" s="55"/>
      <c r="J139" s="55"/>
      <c r="K139" s="294"/>
      <c r="L139" s="55"/>
      <c r="M139" s="55"/>
      <c r="N139" s="55"/>
      <c r="O139" s="55"/>
      <c r="P139" s="55"/>
      <c r="Q139" s="55"/>
      <c r="R139" s="55"/>
      <c r="S139" s="55"/>
      <c r="T139" s="55"/>
      <c r="U139" s="295"/>
      <c r="V139" s="295"/>
      <c r="W139" s="295"/>
      <c r="X139" s="296"/>
      <c r="Y139" s="295"/>
    </row>
    <row r="140">
      <c r="A140" s="114"/>
      <c r="B140" s="291"/>
      <c r="C140" s="292"/>
      <c r="D140" s="293"/>
      <c r="E140" s="55"/>
      <c r="F140" s="55"/>
      <c r="G140" s="55"/>
      <c r="H140" s="55"/>
      <c r="I140" s="55"/>
      <c r="J140" s="55"/>
      <c r="K140" s="294"/>
      <c r="L140" s="55"/>
      <c r="M140" s="55"/>
      <c r="N140" s="55"/>
      <c r="O140" s="55"/>
      <c r="P140" s="55"/>
      <c r="Q140" s="55"/>
      <c r="R140" s="55"/>
      <c r="S140" s="55"/>
      <c r="T140" s="55"/>
      <c r="U140" s="295"/>
      <c r="V140" s="295"/>
      <c r="W140" s="295"/>
      <c r="X140" s="296"/>
      <c r="Y140" s="295"/>
    </row>
    <row r="141">
      <c r="A141" s="114"/>
      <c r="B141" s="291"/>
      <c r="C141" s="292"/>
      <c r="D141" s="293"/>
      <c r="E141" s="55"/>
      <c r="F141" s="55"/>
      <c r="G141" s="55"/>
      <c r="H141" s="55"/>
      <c r="I141" s="55"/>
      <c r="J141" s="55"/>
      <c r="K141" s="294"/>
      <c r="L141" s="55"/>
      <c r="M141" s="55"/>
      <c r="N141" s="55"/>
      <c r="O141" s="55"/>
      <c r="P141" s="55"/>
      <c r="Q141" s="55"/>
      <c r="R141" s="55"/>
      <c r="S141" s="55"/>
      <c r="T141" s="55"/>
      <c r="U141" s="295"/>
      <c r="V141" s="295"/>
      <c r="W141" s="295"/>
      <c r="X141" s="296"/>
      <c r="Y141" s="295"/>
    </row>
    <row r="142">
      <c r="A142" s="114"/>
      <c r="B142" s="291"/>
      <c r="C142" s="292"/>
      <c r="D142" s="293"/>
      <c r="E142" s="55"/>
      <c r="F142" s="55"/>
      <c r="G142" s="55"/>
      <c r="H142" s="55"/>
      <c r="I142" s="55"/>
      <c r="J142" s="55"/>
      <c r="K142" s="294"/>
      <c r="L142" s="55"/>
      <c r="M142" s="55"/>
      <c r="N142" s="55"/>
      <c r="O142" s="55"/>
      <c r="P142" s="55"/>
      <c r="Q142" s="55"/>
      <c r="R142" s="55"/>
      <c r="S142" s="55"/>
      <c r="T142" s="55"/>
      <c r="U142" s="295"/>
      <c r="V142" s="295"/>
      <c r="W142" s="295"/>
      <c r="X142" s="296"/>
      <c r="Y142" s="295"/>
    </row>
    <row r="143">
      <c r="A143" s="114"/>
      <c r="B143" s="291"/>
      <c r="C143" s="292"/>
      <c r="D143" s="293"/>
      <c r="E143" s="55"/>
      <c r="F143" s="55"/>
      <c r="G143" s="55"/>
      <c r="H143" s="55"/>
      <c r="I143" s="55"/>
      <c r="J143" s="55"/>
      <c r="K143" s="294"/>
      <c r="L143" s="55"/>
      <c r="M143" s="55"/>
      <c r="N143" s="55"/>
      <c r="O143" s="55"/>
      <c r="P143" s="55"/>
      <c r="Q143" s="55"/>
      <c r="R143" s="55"/>
      <c r="S143" s="55"/>
      <c r="T143" s="55"/>
      <c r="U143" s="295"/>
      <c r="V143" s="295"/>
      <c r="W143" s="295"/>
      <c r="X143" s="296"/>
      <c r="Y143" s="295"/>
    </row>
    <row r="144">
      <c r="A144" s="114"/>
      <c r="B144" s="291"/>
      <c r="C144" s="292"/>
      <c r="D144" s="293"/>
      <c r="E144" s="55"/>
      <c r="F144" s="55"/>
      <c r="G144" s="55"/>
      <c r="H144" s="55"/>
      <c r="I144" s="55"/>
      <c r="J144" s="55"/>
      <c r="K144" s="294"/>
      <c r="L144" s="55"/>
      <c r="M144" s="55"/>
      <c r="N144" s="55"/>
      <c r="O144" s="55"/>
      <c r="P144" s="55"/>
      <c r="Q144" s="55"/>
      <c r="R144" s="55"/>
      <c r="S144" s="55"/>
      <c r="T144" s="55"/>
      <c r="U144" s="295"/>
      <c r="V144" s="295"/>
      <c r="W144" s="295"/>
      <c r="X144" s="296"/>
      <c r="Y144" s="295"/>
    </row>
    <row r="145">
      <c r="A145" s="114"/>
      <c r="B145" s="291"/>
      <c r="C145" s="292"/>
      <c r="D145" s="293"/>
      <c r="E145" s="55"/>
      <c r="F145" s="55"/>
      <c r="G145" s="55"/>
      <c r="H145" s="55"/>
      <c r="I145" s="55"/>
      <c r="J145" s="55"/>
      <c r="K145" s="294"/>
      <c r="L145" s="55"/>
      <c r="M145" s="55"/>
      <c r="N145" s="55"/>
      <c r="O145" s="55"/>
      <c r="P145" s="55"/>
      <c r="Q145" s="55"/>
      <c r="R145" s="55"/>
      <c r="S145" s="55"/>
      <c r="T145" s="55"/>
      <c r="U145" s="295"/>
      <c r="V145" s="295"/>
      <c r="W145" s="295"/>
      <c r="X145" s="296"/>
      <c r="Y145" s="295"/>
    </row>
    <row r="146">
      <c r="A146" s="114"/>
      <c r="B146" s="291"/>
      <c r="C146" s="292"/>
      <c r="D146" s="293"/>
      <c r="E146" s="55"/>
      <c r="F146" s="55"/>
      <c r="G146" s="55"/>
      <c r="H146" s="55"/>
      <c r="I146" s="55"/>
      <c r="J146" s="55"/>
      <c r="K146" s="294"/>
      <c r="L146" s="55"/>
      <c r="M146" s="55"/>
      <c r="N146" s="55"/>
      <c r="O146" s="55"/>
      <c r="P146" s="55"/>
      <c r="Q146" s="55"/>
      <c r="R146" s="55"/>
      <c r="S146" s="55"/>
      <c r="T146" s="55"/>
      <c r="U146" s="295"/>
      <c r="V146" s="295"/>
      <c r="W146" s="295"/>
      <c r="X146" s="296"/>
      <c r="Y146" s="295"/>
    </row>
    <row r="147">
      <c r="A147" s="114"/>
      <c r="B147" s="291"/>
      <c r="C147" s="292"/>
      <c r="D147" s="293"/>
      <c r="E147" s="55"/>
      <c r="F147" s="55"/>
      <c r="G147" s="55"/>
      <c r="H147" s="55"/>
      <c r="I147" s="55"/>
      <c r="J147" s="55"/>
      <c r="K147" s="294"/>
      <c r="L147" s="55"/>
      <c r="M147" s="55"/>
      <c r="N147" s="55"/>
      <c r="O147" s="55"/>
      <c r="P147" s="55"/>
      <c r="Q147" s="55"/>
      <c r="R147" s="55"/>
      <c r="S147" s="55"/>
      <c r="T147" s="55"/>
      <c r="U147" s="295"/>
      <c r="V147" s="295"/>
      <c r="W147" s="295"/>
      <c r="X147" s="296"/>
      <c r="Y147" s="295"/>
    </row>
    <row r="148">
      <c r="A148" s="114"/>
      <c r="B148" s="291"/>
      <c r="C148" s="292"/>
      <c r="D148" s="293"/>
      <c r="E148" s="55"/>
      <c r="F148" s="55"/>
      <c r="G148" s="55"/>
      <c r="H148" s="55"/>
      <c r="I148" s="55"/>
      <c r="J148" s="55"/>
      <c r="K148" s="294"/>
      <c r="L148" s="55"/>
      <c r="M148" s="55"/>
      <c r="N148" s="55"/>
      <c r="O148" s="55"/>
      <c r="P148" s="55"/>
      <c r="Q148" s="55"/>
      <c r="R148" s="55"/>
      <c r="S148" s="55"/>
      <c r="T148" s="55"/>
      <c r="U148" s="295"/>
      <c r="V148" s="296"/>
      <c r="W148" s="295"/>
      <c r="X148" s="295"/>
      <c r="Y148" s="296"/>
    </row>
    <row r="149">
      <c r="A149" s="114"/>
      <c r="B149" s="291"/>
      <c r="C149" s="291"/>
      <c r="D149" s="297"/>
      <c r="E149" s="55"/>
      <c r="F149" s="55"/>
      <c r="G149" s="55"/>
      <c r="H149" s="55"/>
      <c r="I149" s="55"/>
      <c r="J149" s="55"/>
      <c r="K149" s="294"/>
      <c r="L149" s="55"/>
      <c r="M149" s="55"/>
      <c r="N149" s="55"/>
      <c r="O149" s="55"/>
      <c r="P149" s="55"/>
      <c r="Q149" s="55"/>
      <c r="R149" s="55"/>
      <c r="S149" s="55"/>
      <c r="T149" s="55"/>
      <c r="U149" s="296"/>
      <c r="V149" s="295"/>
      <c r="W149" s="295"/>
      <c r="X149" s="295"/>
      <c r="Y149" s="296"/>
    </row>
    <row r="150">
      <c r="A150" s="114"/>
      <c r="B150" s="291"/>
      <c r="C150" s="292"/>
      <c r="D150" s="293"/>
      <c r="E150" s="55"/>
      <c r="F150" s="55"/>
      <c r="G150" s="55"/>
      <c r="H150" s="55"/>
      <c r="I150" s="55"/>
      <c r="J150" s="55"/>
      <c r="K150" s="294"/>
      <c r="L150" s="55"/>
      <c r="M150" s="55"/>
      <c r="N150" s="55"/>
      <c r="O150" s="55"/>
      <c r="P150" s="55"/>
      <c r="Q150" s="55"/>
      <c r="R150" s="55"/>
      <c r="S150" s="55"/>
      <c r="T150" s="55"/>
      <c r="U150" s="295"/>
      <c r="V150" s="296"/>
      <c r="W150" s="295"/>
      <c r="X150" s="295"/>
      <c r="Y150" s="296"/>
    </row>
    <row r="151">
      <c r="A151" s="114"/>
      <c r="B151" s="291"/>
      <c r="C151" s="292"/>
      <c r="D151" s="293"/>
      <c r="E151" s="55"/>
      <c r="F151" s="55"/>
      <c r="G151" s="55"/>
      <c r="H151" s="55"/>
      <c r="I151" s="55"/>
      <c r="J151" s="55"/>
      <c r="K151" s="294"/>
      <c r="L151" s="55"/>
      <c r="M151" s="55"/>
      <c r="N151" s="55"/>
      <c r="O151" s="55"/>
      <c r="P151" s="55"/>
      <c r="Q151" s="55"/>
      <c r="R151" s="55"/>
      <c r="S151" s="55"/>
      <c r="T151" s="55"/>
      <c r="U151" s="295"/>
      <c r="V151" s="295"/>
      <c r="W151" s="295"/>
      <c r="X151" s="296"/>
      <c r="Y151" s="295"/>
    </row>
    <row r="152">
      <c r="A152" s="114"/>
      <c r="B152" s="291"/>
      <c r="C152" s="292"/>
      <c r="D152" s="293"/>
      <c r="E152" s="55"/>
      <c r="F152" s="55"/>
      <c r="G152" s="55"/>
      <c r="H152" s="55"/>
      <c r="I152" s="55"/>
      <c r="J152" s="55"/>
      <c r="K152" s="294"/>
      <c r="L152" s="55"/>
      <c r="M152" s="55"/>
      <c r="N152" s="55"/>
      <c r="O152" s="55"/>
      <c r="P152" s="55"/>
      <c r="Q152" s="55"/>
      <c r="R152" s="55"/>
      <c r="S152" s="55"/>
      <c r="T152" s="55"/>
      <c r="U152" s="295"/>
      <c r="V152" s="295"/>
      <c r="W152" s="295"/>
      <c r="X152" s="296"/>
      <c r="Y152" s="295"/>
    </row>
    <row r="153">
      <c r="A153" s="114"/>
      <c r="B153" s="291"/>
      <c r="C153" s="292"/>
      <c r="D153" s="293"/>
      <c r="E153" s="55"/>
      <c r="F153" s="55"/>
      <c r="G153" s="55"/>
      <c r="H153" s="55"/>
      <c r="I153" s="55"/>
      <c r="J153" s="55"/>
      <c r="K153" s="294"/>
      <c r="L153" s="55"/>
      <c r="M153" s="55"/>
      <c r="N153" s="55"/>
      <c r="O153" s="55"/>
      <c r="P153" s="55"/>
      <c r="Q153" s="55"/>
      <c r="R153" s="55"/>
      <c r="S153" s="55"/>
      <c r="T153" s="55"/>
      <c r="U153" s="295"/>
      <c r="V153" s="295"/>
      <c r="W153" s="295"/>
      <c r="X153" s="296"/>
      <c r="Y153" s="295"/>
    </row>
    <row r="154">
      <c r="A154" s="114"/>
      <c r="B154" s="291"/>
      <c r="C154" s="292"/>
      <c r="D154" s="293"/>
      <c r="E154" s="55"/>
      <c r="F154" s="55"/>
      <c r="G154" s="55"/>
      <c r="H154" s="55"/>
      <c r="I154" s="55"/>
      <c r="J154" s="55"/>
      <c r="K154" s="294"/>
      <c r="L154" s="55"/>
      <c r="M154" s="55"/>
      <c r="N154" s="55"/>
      <c r="O154" s="55"/>
      <c r="P154" s="55"/>
      <c r="Q154" s="55"/>
      <c r="R154" s="55"/>
      <c r="S154" s="55"/>
      <c r="T154" s="55"/>
      <c r="U154" s="295"/>
      <c r="V154" s="295"/>
      <c r="W154" s="295"/>
      <c r="X154" s="296"/>
      <c r="Y154" s="295"/>
    </row>
    <row r="155">
      <c r="A155" s="114"/>
      <c r="B155" s="291"/>
      <c r="C155" s="292"/>
      <c r="D155" s="293"/>
      <c r="E155" s="55"/>
      <c r="F155" s="55"/>
      <c r="G155" s="55"/>
      <c r="H155" s="55"/>
      <c r="I155" s="55"/>
      <c r="J155" s="55"/>
      <c r="K155" s="294"/>
      <c r="L155" s="55"/>
      <c r="M155" s="55"/>
      <c r="N155" s="55"/>
      <c r="O155" s="55"/>
      <c r="P155" s="55"/>
      <c r="Q155" s="55"/>
      <c r="R155" s="55"/>
      <c r="S155" s="55"/>
      <c r="T155" s="55"/>
      <c r="U155" s="295"/>
      <c r="V155" s="295"/>
      <c r="W155" s="295"/>
      <c r="X155" s="296"/>
      <c r="Y155" s="295"/>
    </row>
    <row r="156">
      <c r="A156" s="114"/>
      <c r="B156" s="291"/>
      <c r="C156" s="292"/>
      <c r="D156" s="293"/>
      <c r="E156" s="55"/>
      <c r="F156" s="55"/>
      <c r="G156" s="55"/>
      <c r="H156" s="55"/>
      <c r="I156" s="55"/>
      <c r="J156" s="55"/>
      <c r="K156" s="294"/>
      <c r="L156" s="55"/>
      <c r="M156" s="55"/>
      <c r="N156" s="55"/>
      <c r="O156" s="55"/>
      <c r="P156" s="55"/>
      <c r="Q156" s="55"/>
      <c r="R156" s="55"/>
      <c r="S156" s="55"/>
      <c r="T156" s="55"/>
      <c r="U156" s="295"/>
      <c r="V156" s="295"/>
      <c r="W156" s="295"/>
      <c r="X156" s="296"/>
      <c r="Y156" s="295"/>
    </row>
    <row r="157">
      <c r="A157" s="114"/>
      <c r="B157" s="298"/>
      <c r="C157" s="298"/>
      <c r="D157" s="114"/>
      <c r="E157" s="55"/>
      <c r="F157" s="55"/>
      <c r="G157" s="55"/>
      <c r="H157" s="55"/>
      <c r="I157" s="55"/>
      <c r="J157" s="55"/>
      <c r="K157" s="294"/>
      <c r="L157" s="55"/>
      <c r="M157" s="55"/>
      <c r="N157" s="55"/>
      <c r="O157" s="55"/>
      <c r="P157" s="55"/>
      <c r="Q157" s="55"/>
      <c r="R157" s="55"/>
      <c r="S157" s="55"/>
      <c r="T157" s="55"/>
      <c r="U157" s="296"/>
      <c r="V157" s="295"/>
      <c r="W157" s="295"/>
      <c r="X157" s="295"/>
      <c r="Y157" s="296"/>
    </row>
    <row r="158">
      <c r="A158" s="114"/>
      <c r="B158" s="298"/>
      <c r="C158" s="298"/>
      <c r="D158" s="114"/>
      <c r="E158" s="55"/>
      <c r="F158" s="55"/>
      <c r="G158" s="55"/>
      <c r="H158" s="55"/>
      <c r="I158" s="55"/>
      <c r="J158" s="55"/>
      <c r="K158" s="294"/>
      <c r="L158" s="55"/>
      <c r="M158" s="55"/>
      <c r="N158" s="55"/>
      <c r="O158" s="55"/>
      <c r="P158" s="55"/>
      <c r="Q158" s="55"/>
      <c r="R158" s="55"/>
      <c r="S158" s="55"/>
      <c r="T158" s="55"/>
      <c r="U158" s="296"/>
      <c r="V158" s="295"/>
      <c r="W158" s="295"/>
      <c r="X158" s="295"/>
      <c r="Y158" s="296"/>
    </row>
    <row r="159">
      <c r="A159" s="114"/>
      <c r="B159" s="298"/>
      <c r="C159" s="298"/>
      <c r="D159" s="114"/>
      <c r="E159" s="55"/>
      <c r="F159" s="55"/>
      <c r="G159" s="55"/>
      <c r="H159" s="55"/>
      <c r="I159" s="55"/>
      <c r="J159" s="55"/>
      <c r="K159" s="294"/>
      <c r="L159" s="55"/>
      <c r="M159" s="55"/>
      <c r="N159" s="55"/>
      <c r="O159" s="55"/>
      <c r="P159" s="55"/>
      <c r="Q159" s="55"/>
      <c r="R159" s="55"/>
      <c r="S159" s="55"/>
      <c r="T159" s="55"/>
      <c r="U159" s="296"/>
      <c r="V159" s="295"/>
      <c r="W159" s="295"/>
      <c r="X159" s="295"/>
      <c r="Y159" s="296"/>
    </row>
    <row r="160">
      <c r="A160" s="114"/>
      <c r="B160" s="298"/>
      <c r="C160" s="298"/>
      <c r="D160" s="114"/>
      <c r="E160" s="55"/>
      <c r="F160" s="55"/>
      <c r="G160" s="55"/>
      <c r="H160" s="55"/>
      <c r="I160" s="55"/>
      <c r="J160" s="55"/>
      <c r="K160" s="294"/>
      <c r="L160" s="55"/>
      <c r="M160" s="55"/>
      <c r="N160" s="55"/>
      <c r="O160" s="55"/>
      <c r="P160" s="55"/>
      <c r="Q160" s="55"/>
      <c r="R160" s="55"/>
      <c r="S160" s="55"/>
      <c r="T160" s="55"/>
      <c r="U160" s="296"/>
      <c r="V160" s="295"/>
      <c r="W160" s="295"/>
      <c r="X160" s="295"/>
      <c r="Y160" s="296"/>
    </row>
  </sheetData>
  <mergeCells count="2">
    <mergeCell ref="A1:M1"/>
    <mergeCell ref="A43:Y4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1" t="s">
        <v>1328</v>
      </c>
      <c r="N1" s="136"/>
      <c r="O1" s="136"/>
    </row>
    <row r="2">
      <c r="A2" s="100" t="s">
        <v>1283</v>
      </c>
      <c r="B2" s="100" t="s">
        <v>1284</v>
      </c>
      <c r="C2" s="100" t="s">
        <v>1285</v>
      </c>
      <c r="D2" s="100" t="s">
        <v>1286</v>
      </c>
      <c r="E2" s="234" t="s">
        <v>1287</v>
      </c>
      <c r="F2" s="234" t="s">
        <v>1288</v>
      </c>
      <c r="G2" s="234" t="s">
        <v>1289</v>
      </c>
      <c r="H2" s="234" t="s">
        <v>1290</v>
      </c>
      <c r="I2" s="234" t="s">
        <v>1291</v>
      </c>
      <c r="J2" s="234" t="s">
        <v>1292</v>
      </c>
      <c r="K2" s="234" t="s">
        <v>1293</v>
      </c>
      <c r="L2" s="234" t="s">
        <v>1294</v>
      </c>
      <c r="M2" s="234" t="s">
        <v>1295</v>
      </c>
      <c r="N2" s="234" t="s">
        <v>1296</v>
      </c>
      <c r="O2" s="234"/>
    </row>
    <row r="3">
      <c r="A3" s="272" t="s">
        <v>56</v>
      </c>
      <c r="B3" s="273" t="s">
        <v>55</v>
      </c>
      <c r="C3" s="273">
        <v>0.0</v>
      </c>
      <c r="D3" s="273">
        <v>2.2959516E7</v>
      </c>
      <c r="E3" s="274">
        <v>0.0</v>
      </c>
      <c r="F3" s="274">
        <v>0.0</v>
      </c>
      <c r="G3" s="274">
        <v>0.0</v>
      </c>
      <c r="H3" s="274">
        <v>0.0</v>
      </c>
      <c r="I3" s="273">
        <v>0.0</v>
      </c>
      <c r="J3" s="273">
        <v>0.0</v>
      </c>
      <c r="K3" s="273">
        <v>0.0</v>
      </c>
      <c r="L3" s="273">
        <v>4.0</v>
      </c>
      <c r="M3" s="273">
        <v>1.0</v>
      </c>
      <c r="N3" s="273" t="s">
        <v>1297</v>
      </c>
    </row>
    <row r="4">
      <c r="A4" s="272" t="s">
        <v>79</v>
      </c>
      <c r="B4" s="273" t="s">
        <v>78</v>
      </c>
      <c r="C4" s="273">
        <v>1.0</v>
      </c>
      <c r="D4" s="273">
        <v>1.7997367E7</v>
      </c>
      <c r="E4" s="274">
        <v>0.0</v>
      </c>
      <c r="F4" s="274">
        <v>0.0</v>
      </c>
      <c r="G4" s="274">
        <v>1.0</v>
      </c>
      <c r="H4" s="274">
        <v>0.0</v>
      </c>
      <c r="I4" s="273">
        <v>0.0</v>
      </c>
      <c r="J4" s="273">
        <v>0.0</v>
      </c>
      <c r="K4" s="273">
        <v>1.0</v>
      </c>
      <c r="L4" s="273">
        <v>7.0</v>
      </c>
      <c r="M4" s="273">
        <v>0.0</v>
      </c>
      <c r="N4" s="273" t="s">
        <v>1297</v>
      </c>
    </row>
    <row r="5">
      <c r="A5" s="272" t="s">
        <v>91</v>
      </c>
      <c r="B5" s="273" t="s">
        <v>90</v>
      </c>
      <c r="C5" s="273">
        <v>1.0</v>
      </c>
      <c r="D5" s="273">
        <v>844302.0</v>
      </c>
      <c r="E5" s="274">
        <v>1.0</v>
      </c>
      <c r="F5" s="274">
        <v>0.0</v>
      </c>
      <c r="G5" s="274">
        <v>0.0</v>
      </c>
      <c r="H5" s="274">
        <v>0.0</v>
      </c>
      <c r="I5" s="273">
        <v>0.0</v>
      </c>
      <c r="J5" s="273">
        <v>0.0</v>
      </c>
      <c r="K5" s="273">
        <v>1.0</v>
      </c>
      <c r="L5" s="273">
        <v>1.0</v>
      </c>
      <c r="M5" s="273">
        <v>0.0</v>
      </c>
      <c r="N5" s="273" t="s">
        <v>1297</v>
      </c>
    </row>
    <row r="6">
      <c r="A6" s="272" t="s">
        <v>127</v>
      </c>
      <c r="B6" s="273" t="s">
        <v>126</v>
      </c>
      <c r="C6" s="273">
        <v>0.0</v>
      </c>
      <c r="D6" s="273">
        <v>3715522.0</v>
      </c>
      <c r="E6" s="274">
        <v>0.0</v>
      </c>
      <c r="F6" s="274">
        <v>0.0</v>
      </c>
      <c r="G6" s="274">
        <v>0.0</v>
      </c>
      <c r="H6" s="274">
        <v>0.0</v>
      </c>
      <c r="I6" s="273">
        <v>0.0</v>
      </c>
      <c r="J6" s="273">
        <v>0.0</v>
      </c>
      <c r="K6" s="273">
        <v>0.0</v>
      </c>
      <c r="L6" s="273">
        <v>2.0</v>
      </c>
      <c r="M6" s="273">
        <v>1.0</v>
      </c>
      <c r="N6" s="273" t="s">
        <v>1297</v>
      </c>
    </row>
    <row r="7">
      <c r="A7" s="272" t="s">
        <v>139</v>
      </c>
      <c r="B7" s="273" t="s">
        <v>138</v>
      </c>
      <c r="C7" s="273">
        <v>0.0</v>
      </c>
      <c r="D7" s="273">
        <v>1.24937259E8</v>
      </c>
      <c r="E7" s="274">
        <v>0.0</v>
      </c>
      <c r="F7" s="274">
        <v>0.0</v>
      </c>
      <c r="G7" s="274">
        <v>0.0</v>
      </c>
      <c r="H7" s="274">
        <v>0.0</v>
      </c>
      <c r="I7" s="273">
        <v>0.0</v>
      </c>
      <c r="J7" s="273">
        <v>0.0</v>
      </c>
      <c r="K7" s="273">
        <v>0.0</v>
      </c>
      <c r="L7" s="273">
        <v>12.0</v>
      </c>
      <c r="M7" s="273">
        <v>2.0</v>
      </c>
      <c r="N7" s="273" t="s">
        <v>1297</v>
      </c>
    </row>
    <row r="8">
      <c r="A8" s="272" t="s">
        <v>174</v>
      </c>
      <c r="B8" s="273" t="s">
        <v>173</v>
      </c>
      <c r="C8" s="273">
        <v>0.0</v>
      </c>
      <c r="D8" s="273">
        <v>1.4023588E7</v>
      </c>
      <c r="E8" s="274">
        <v>0.0</v>
      </c>
      <c r="F8" s="274">
        <v>0.0</v>
      </c>
      <c r="G8" s="274">
        <v>0.0</v>
      </c>
      <c r="H8" s="274">
        <v>0.0</v>
      </c>
      <c r="I8" s="273">
        <v>0.0</v>
      </c>
      <c r="J8" s="273">
        <v>0.0</v>
      </c>
      <c r="K8" s="273">
        <v>0.0</v>
      </c>
      <c r="L8" s="273">
        <v>5.0</v>
      </c>
      <c r="M8" s="273">
        <v>1.0</v>
      </c>
      <c r="N8" s="273" t="s">
        <v>1297</v>
      </c>
    </row>
    <row r="9">
      <c r="A9" s="272" t="s">
        <v>184</v>
      </c>
      <c r="B9" s="273" t="s">
        <v>183</v>
      </c>
      <c r="C9" s="273">
        <v>2.0</v>
      </c>
      <c r="D9" s="273">
        <v>5.4555095E7</v>
      </c>
      <c r="E9" s="274">
        <v>1.0</v>
      </c>
      <c r="F9" s="274">
        <v>0.0</v>
      </c>
      <c r="G9" s="274">
        <v>1.0</v>
      </c>
      <c r="H9" s="274">
        <v>0.0</v>
      </c>
      <c r="I9" s="273">
        <v>1.0</v>
      </c>
      <c r="J9" s="273">
        <v>0.0</v>
      </c>
      <c r="K9" s="273">
        <v>1.0</v>
      </c>
      <c r="L9" s="273">
        <v>2.0</v>
      </c>
      <c r="M9" s="273">
        <v>1.0</v>
      </c>
      <c r="N9" s="273" t="s">
        <v>1297</v>
      </c>
    </row>
    <row r="10">
      <c r="A10" s="272" t="s">
        <v>221</v>
      </c>
      <c r="B10" s="273" t="s">
        <v>220</v>
      </c>
      <c r="C10" s="273">
        <v>1.0</v>
      </c>
      <c r="D10" s="273">
        <v>1299804.0</v>
      </c>
      <c r="E10" s="274">
        <v>0.0</v>
      </c>
      <c r="F10" s="274">
        <v>1.0</v>
      </c>
      <c r="G10" s="274">
        <v>0.0</v>
      </c>
      <c r="H10" s="274">
        <v>0.0</v>
      </c>
      <c r="I10" s="273">
        <v>0.0</v>
      </c>
      <c r="J10" s="273">
        <v>0.0</v>
      </c>
      <c r="K10" s="273">
        <v>1.0</v>
      </c>
      <c r="L10" s="273">
        <v>1.0</v>
      </c>
      <c r="M10" s="273">
        <v>0.0</v>
      </c>
      <c r="N10" s="273" t="s">
        <v>1297</v>
      </c>
    </row>
    <row r="11">
      <c r="A11" s="272" t="s">
        <v>228</v>
      </c>
      <c r="B11" s="273" t="s">
        <v>227</v>
      </c>
      <c r="C11" s="273">
        <v>8.0</v>
      </c>
      <c r="D11" s="273">
        <v>3.3420619E7</v>
      </c>
      <c r="E11" s="274">
        <v>8.0</v>
      </c>
      <c r="F11" s="274">
        <v>0.0</v>
      </c>
      <c r="G11" s="274">
        <v>0.0</v>
      </c>
      <c r="H11" s="274">
        <v>0.0</v>
      </c>
      <c r="I11" s="273">
        <v>2.0</v>
      </c>
      <c r="J11" s="273">
        <v>0.0</v>
      </c>
      <c r="K11" s="273">
        <v>6.0</v>
      </c>
      <c r="L11" s="273">
        <v>8.0</v>
      </c>
      <c r="M11" s="273">
        <v>2.0</v>
      </c>
      <c r="N11" s="273" t="s">
        <v>1297</v>
      </c>
    </row>
    <row r="12">
      <c r="A12" s="272" t="s">
        <v>246</v>
      </c>
      <c r="B12" s="273" t="s">
        <v>245</v>
      </c>
      <c r="C12" s="273">
        <v>1.0</v>
      </c>
      <c r="D12" s="273">
        <v>2.21153992E8</v>
      </c>
      <c r="E12" s="274">
        <v>1.0</v>
      </c>
      <c r="F12" s="274">
        <v>0.0</v>
      </c>
      <c r="G12" s="274">
        <v>0.0</v>
      </c>
      <c r="H12" s="274">
        <v>0.0</v>
      </c>
      <c r="I12" s="273">
        <v>0.0</v>
      </c>
      <c r="J12" s="273">
        <v>0.0</v>
      </c>
      <c r="K12" s="273">
        <v>1.0</v>
      </c>
      <c r="L12" s="273">
        <v>2.0</v>
      </c>
      <c r="M12" s="273">
        <v>0.0</v>
      </c>
      <c r="N12" s="273" t="s">
        <v>1297</v>
      </c>
    </row>
    <row r="13">
      <c r="A13" s="272" t="s">
        <v>259</v>
      </c>
      <c r="B13" s="273" t="s">
        <v>258</v>
      </c>
      <c r="C13" s="273">
        <v>2.0</v>
      </c>
      <c r="D13" s="273">
        <v>1.7536231E7</v>
      </c>
      <c r="E13" s="274">
        <v>1.0</v>
      </c>
      <c r="F13" s="274">
        <v>1.0</v>
      </c>
      <c r="G13" s="274">
        <v>0.0</v>
      </c>
      <c r="H13" s="274">
        <v>0.0</v>
      </c>
      <c r="I13" s="273">
        <v>0.0</v>
      </c>
      <c r="J13" s="273">
        <v>1.0</v>
      </c>
      <c r="K13" s="273">
        <v>1.0</v>
      </c>
      <c r="L13" s="273">
        <v>8.0</v>
      </c>
      <c r="M13" s="273">
        <v>1.0</v>
      </c>
      <c r="N13" s="273" t="s">
        <v>1297</v>
      </c>
    </row>
    <row r="14">
      <c r="A14" s="272" t="s">
        <v>281</v>
      </c>
      <c r="B14" s="273" t="s">
        <v>280</v>
      </c>
      <c r="C14" s="273">
        <v>0.0</v>
      </c>
      <c r="D14" s="273">
        <v>1.786503E7</v>
      </c>
      <c r="E14" s="274">
        <v>0.0</v>
      </c>
      <c r="F14" s="274">
        <v>0.0</v>
      </c>
      <c r="G14" s="274">
        <v>0.0</v>
      </c>
      <c r="H14" s="274">
        <v>0.0</v>
      </c>
      <c r="I14" s="273">
        <v>0.0</v>
      </c>
      <c r="J14" s="273">
        <v>0.0</v>
      </c>
      <c r="K14" s="273">
        <v>0.0</v>
      </c>
      <c r="L14" s="273">
        <v>4.0</v>
      </c>
      <c r="M14" s="273">
        <v>1.0</v>
      </c>
      <c r="N14" s="273" t="s">
        <v>1297</v>
      </c>
    </row>
    <row r="15">
      <c r="A15" s="272" t="s">
        <v>292</v>
      </c>
      <c r="B15" s="273" t="s">
        <v>291</v>
      </c>
      <c r="C15" s="273">
        <v>1.0</v>
      </c>
      <c r="D15" s="273">
        <v>4.7486909E7</v>
      </c>
      <c r="E15" s="274">
        <v>0.0</v>
      </c>
      <c r="F15" s="274">
        <v>0.0</v>
      </c>
      <c r="G15" s="274">
        <v>1.0</v>
      </c>
      <c r="H15" s="274">
        <v>0.0</v>
      </c>
      <c r="I15" s="273">
        <v>0.0</v>
      </c>
      <c r="J15" s="273">
        <v>0.0</v>
      </c>
      <c r="K15" s="273">
        <v>1.0</v>
      </c>
      <c r="L15" s="273">
        <v>13.0</v>
      </c>
      <c r="M15" s="273">
        <v>0.0</v>
      </c>
      <c r="N15" s="273" t="s">
        <v>1297</v>
      </c>
    </row>
    <row r="16">
      <c r="A16" s="272" t="s">
        <v>359</v>
      </c>
      <c r="B16" s="273" t="s">
        <v>358</v>
      </c>
      <c r="C16" s="273">
        <v>0.0</v>
      </c>
      <c r="D16" s="273">
        <v>120000.0</v>
      </c>
      <c r="E16" s="274">
        <v>0.0</v>
      </c>
      <c r="F16" s="274">
        <v>0.0</v>
      </c>
      <c r="G16" s="274">
        <v>0.0</v>
      </c>
      <c r="H16" s="274">
        <v>0.0</v>
      </c>
      <c r="I16" s="273">
        <v>0.0</v>
      </c>
      <c r="J16" s="273">
        <v>0.0</v>
      </c>
      <c r="K16" s="273">
        <v>0.0</v>
      </c>
      <c r="L16" s="273">
        <v>3.0</v>
      </c>
      <c r="M16" s="273">
        <v>0.0</v>
      </c>
      <c r="N16" s="273" t="s">
        <v>1298</v>
      </c>
    </row>
    <row r="17">
      <c r="A17" s="272" t="s">
        <v>371</v>
      </c>
      <c r="B17" s="273" t="s">
        <v>370</v>
      </c>
      <c r="C17" s="273">
        <v>4.0</v>
      </c>
      <c r="D17" s="273">
        <v>1.72075151E8</v>
      </c>
      <c r="E17" s="274">
        <v>4.0</v>
      </c>
      <c r="F17" s="274">
        <v>0.0</v>
      </c>
      <c r="G17" s="274">
        <v>0.0</v>
      </c>
      <c r="H17" s="274">
        <v>0.0</v>
      </c>
      <c r="I17" s="273">
        <v>2.0</v>
      </c>
      <c r="J17" s="273">
        <v>0.0</v>
      </c>
      <c r="K17" s="273">
        <v>2.0</v>
      </c>
      <c r="L17" s="273">
        <v>10.0</v>
      </c>
      <c r="M17" s="273">
        <v>1.0</v>
      </c>
      <c r="N17" s="273" t="s">
        <v>1298</v>
      </c>
    </row>
    <row r="18">
      <c r="A18" s="272" t="s">
        <v>394</v>
      </c>
      <c r="B18" s="273" t="s">
        <v>393</v>
      </c>
      <c r="C18" s="273">
        <v>0.0</v>
      </c>
      <c r="D18" s="273">
        <v>1.425849288E9</v>
      </c>
      <c r="E18" s="274">
        <v>0.0</v>
      </c>
      <c r="F18" s="274">
        <v>0.0</v>
      </c>
      <c r="G18" s="274">
        <v>0.0</v>
      </c>
      <c r="H18" s="274">
        <v>0.0</v>
      </c>
      <c r="I18" s="273">
        <v>0.0</v>
      </c>
      <c r="J18" s="273">
        <v>0.0</v>
      </c>
      <c r="K18" s="273">
        <v>0.0</v>
      </c>
      <c r="L18" s="273">
        <v>4.0</v>
      </c>
      <c r="M18" s="273">
        <v>4.0</v>
      </c>
      <c r="N18" s="273" t="s">
        <v>1298</v>
      </c>
    </row>
    <row r="19">
      <c r="A19" s="272" t="s">
        <v>403</v>
      </c>
      <c r="B19" s="273" t="s">
        <v>402</v>
      </c>
      <c r="C19" s="273">
        <v>0.0</v>
      </c>
      <c r="D19" s="273">
        <v>2.6116716E7</v>
      </c>
      <c r="E19" s="274">
        <v>0.0</v>
      </c>
      <c r="F19" s="274">
        <v>0.0</v>
      </c>
      <c r="G19" s="274">
        <v>0.0</v>
      </c>
      <c r="H19" s="274">
        <v>0.0</v>
      </c>
      <c r="I19" s="273">
        <v>0.0</v>
      </c>
      <c r="J19" s="273">
        <v>0.0</v>
      </c>
      <c r="K19" s="273">
        <v>0.0</v>
      </c>
      <c r="L19" s="273">
        <v>3.0</v>
      </c>
      <c r="M19" s="273">
        <v>3.0</v>
      </c>
      <c r="N19" s="273" t="s">
        <v>1298</v>
      </c>
    </row>
    <row r="20">
      <c r="A20" s="272" t="s">
        <v>417</v>
      </c>
      <c r="B20" s="273" t="s">
        <v>416</v>
      </c>
      <c r="C20" s="273">
        <v>23.0</v>
      </c>
      <c r="D20" s="273">
        <v>1.422026528E9</v>
      </c>
      <c r="E20" s="274">
        <v>13.0</v>
      </c>
      <c r="F20" s="274">
        <v>0.0</v>
      </c>
      <c r="G20" s="274">
        <v>10.0</v>
      </c>
      <c r="H20" s="274">
        <v>0.0</v>
      </c>
      <c r="I20" s="273">
        <v>0.0</v>
      </c>
      <c r="J20" s="273">
        <v>23.0</v>
      </c>
      <c r="K20" s="273">
        <v>0.0</v>
      </c>
      <c r="L20" s="273">
        <v>136.0</v>
      </c>
      <c r="M20" s="273">
        <v>2.0</v>
      </c>
      <c r="N20" s="273" t="s">
        <v>1298</v>
      </c>
    </row>
    <row r="21">
      <c r="A21" s="272" t="s">
        <v>523</v>
      </c>
      <c r="B21" s="273" t="s">
        <v>522</v>
      </c>
      <c r="C21" s="273">
        <v>1.0</v>
      </c>
      <c r="D21" s="273">
        <v>8.8844498E7</v>
      </c>
      <c r="E21" s="274">
        <v>0.0</v>
      </c>
      <c r="F21" s="274">
        <v>0.0</v>
      </c>
      <c r="G21" s="274">
        <v>1.0</v>
      </c>
      <c r="H21" s="274">
        <v>0.0</v>
      </c>
      <c r="I21" s="273">
        <v>0.0</v>
      </c>
      <c r="J21" s="273">
        <v>0.0</v>
      </c>
      <c r="K21" s="273">
        <v>1.0</v>
      </c>
      <c r="L21" s="273">
        <v>57.0</v>
      </c>
      <c r="M21" s="273">
        <v>4.0</v>
      </c>
      <c r="N21" s="273" t="s">
        <v>1298</v>
      </c>
    </row>
    <row r="22">
      <c r="A22" s="272" t="s">
        <v>590</v>
      </c>
      <c r="B22" s="273" t="s">
        <v>589</v>
      </c>
      <c r="C22" s="273">
        <v>0.0</v>
      </c>
      <c r="D22" s="273">
        <v>4.4996074E7</v>
      </c>
      <c r="E22" s="274">
        <v>0.0</v>
      </c>
      <c r="F22" s="274">
        <v>0.0</v>
      </c>
      <c r="G22" s="274">
        <v>0.0</v>
      </c>
      <c r="H22" s="274">
        <v>0.0</v>
      </c>
      <c r="I22" s="273">
        <v>0.0</v>
      </c>
      <c r="J22" s="273">
        <v>0.0</v>
      </c>
      <c r="K22" s="273">
        <v>0.0</v>
      </c>
      <c r="L22" s="273">
        <v>7.0</v>
      </c>
      <c r="M22" s="273">
        <v>1.0</v>
      </c>
      <c r="N22" s="273" t="s">
        <v>1298</v>
      </c>
    </row>
    <row r="23">
      <c r="A23" s="272" t="s">
        <v>604</v>
      </c>
      <c r="B23" s="273" t="s">
        <v>603</v>
      </c>
      <c r="C23" s="273">
        <v>2.0</v>
      </c>
      <c r="D23" s="273">
        <v>1.360632E7</v>
      </c>
      <c r="E23" s="274">
        <v>1.0</v>
      </c>
      <c r="F23" s="274">
        <v>0.0</v>
      </c>
      <c r="G23" s="274">
        <v>1.0</v>
      </c>
      <c r="H23" s="274">
        <v>0.0</v>
      </c>
      <c r="I23" s="273">
        <v>0.0</v>
      </c>
      <c r="J23" s="273">
        <v>2.0</v>
      </c>
      <c r="K23" s="273">
        <v>0.0</v>
      </c>
      <c r="L23" s="273">
        <v>330.0</v>
      </c>
      <c r="M23" s="273">
        <v>0.0</v>
      </c>
      <c r="N23" s="273" t="s">
        <v>1298</v>
      </c>
    </row>
    <row r="24">
      <c r="A24" s="272" t="s">
        <v>642</v>
      </c>
      <c r="B24" s="273" t="s">
        <v>641</v>
      </c>
      <c r="C24" s="273">
        <v>0.0</v>
      </c>
      <c r="D24" s="273">
        <v>1.1315547E7</v>
      </c>
      <c r="E24" s="274">
        <v>0.0</v>
      </c>
      <c r="F24" s="274">
        <v>0.0</v>
      </c>
      <c r="G24" s="274">
        <v>0.0</v>
      </c>
      <c r="H24" s="274">
        <v>0.0</v>
      </c>
      <c r="I24" s="273">
        <v>0.0</v>
      </c>
      <c r="J24" s="273">
        <v>0.0</v>
      </c>
      <c r="K24" s="273">
        <v>0.0</v>
      </c>
      <c r="L24" s="273">
        <v>5.0</v>
      </c>
      <c r="M24" s="273">
        <v>1.0</v>
      </c>
      <c r="N24" s="273" t="s">
        <v>1298</v>
      </c>
    </row>
    <row r="25">
      <c r="A25" s="272" t="s">
        <v>681</v>
      </c>
      <c r="B25" s="273" t="s">
        <v>680</v>
      </c>
      <c r="C25" s="273">
        <v>0.0</v>
      </c>
      <c r="D25" s="273">
        <v>5.4380868E7</v>
      </c>
      <c r="E25" s="274">
        <v>0.0</v>
      </c>
      <c r="F25" s="274">
        <v>0.0</v>
      </c>
      <c r="G25" s="274">
        <v>0.0</v>
      </c>
      <c r="H25" s="274">
        <v>0.0</v>
      </c>
      <c r="I25" s="273">
        <v>0.0</v>
      </c>
      <c r="J25" s="273">
        <v>0.0</v>
      </c>
      <c r="K25" s="273">
        <v>0.0</v>
      </c>
      <c r="L25" s="273">
        <v>6.0</v>
      </c>
      <c r="M25" s="273">
        <v>2.0</v>
      </c>
      <c r="N25" s="273" t="s">
        <v>1298</v>
      </c>
    </row>
    <row r="26">
      <c r="A26" s="272" t="s">
        <v>697</v>
      </c>
      <c r="B26" s="273" t="s">
        <v>696</v>
      </c>
      <c r="C26" s="273">
        <v>0.0</v>
      </c>
      <c r="D26" s="273">
        <v>4609315.0</v>
      </c>
      <c r="E26" s="274">
        <v>0.0</v>
      </c>
      <c r="F26" s="274">
        <v>0.0</v>
      </c>
      <c r="G26" s="274">
        <v>0.0</v>
      </c>
      <c r="H26" s="274">
        <v>0.0</v>
      </c>
      <c r="I26" s="273">
        <v>0.0</v>
      </c>
      <c r="J26" s="273">
        <v>0.0</v>
      </c>
      <c r="K26" s="273">
        <v>0.0</v>
      </c>
      <c r="L26" s="273">
        <v>3.0</v>
      </c>
      <c r="M26" s="273">
        <v>3.0</v>
      </c>
      <c r="N26" s="273" t="s">
        <v>1298</v>
      </c>
    </row>
    <row r="27">
      <c r="A27" s="272" t="s">
        <v>704</v>
      </c>
      <c r="B27" s="273" t="s">
        <v>703</v>
      </c>
      <c r="C27" s="273">
        <v>8.0</v>
      </c>
      <c r="D27" s="273">
        <v>2.38126113E8</v>
      </c>
      <c r="E27" s="274">
        <v>1.0</v>
      </c>
      <c r="F27" s="274">
        <v>3.0</v>
      </c>
      <c r="G27" s="274">
        <v>3.0</v>
      </c>
      <c r="H27" s="274">
        <v>1.0</v>
      </c>
      <c r="I27" s="273">
        <v>6.0</v>
      </c>
      <c r="J27" s="273">
        <v>1.0</v>
      </c>
      <c r="K27" s="273">
        <v>1.0</v>
      </c>
      <c r="L27" s="273">
        <v>24.0</v>
      </c>
      <c r="M27" s="273">
        <v>4.0</v>
      </c>
      <c r="N27" s="273" t="s">
        <v>1298</v>
      </c>
    </row>
    <row r="28">
      <c r="A28" s="272" t="s">
        <v>755</v>
      </c>
      <c r="B28" s="273" t="s">
        <v>754</v>
      </c>
      <c r="C28" s="273">
        <v>0.0</v>
      </c>
      <c r="D28" s="273">
        <v>2705914.0</v>
      </c>
      <c r="E28" s="274">
        <v>0.0</v>
      </c>
      <c r="F28" s="274">
        <v>0.0</v>
      </c>
      <c r="G28" s="274">
        <v>0.0</v>
      </c>
      <c r="H28" s="274">
        <v>0.0</v>
      </c>
      <c r="I28" s="273">
        <v>0.0</v>
      </c>
      <c r="J28" s="273">
        <v>0.0</v>
      </c>
      <c r="K28" s="273">
        <v>0.0</v>
      </c>
      <c r="L28" s="273">
        <v>1.0</v>
      </c>
      <c r="M28" s="273">
        <v>1.0</v>
      </c>
      <c r="N28" s="273" t="s">
        <v>1298</v>
      </c>
    </row>
    <row r="29">
      <c r="A29" s="272" t="s">
        <v>779</v>
      </c>
      <c r="B29" s="273" t="s">
        <v>778</v>
      </c>
      <c r="C29" s="273">
        <v>1.0</v>
      </c>
      <c r="D29" s="273">
        <v>2.2660911E7</v>
      </c>
      <c r="E29" s="274">
        <v>0.0</v>
      </c>
      <c r="F29" s="274">
        <v>0.0</v>
      </c>
      <c r="G29" s="274">
        <v>1.0</v>
      </c>
      <c r="H29" s="274">
        <v>0.0</v>
      </c>
      <c r="I29" s="273">
        <v>0.0</v>
      </c>
      <c r="J29" s="273">
        <v>0.0</v>
      </c>
      <c r="K29" s="273">
        <v>1.0</v>
      </c>
      <c r="L29" s="273">
        <v>3.0</v>
      </c>
      <c r="M29" s="273">
        <v>0.0</v>
      </c>
      <c r="N29" s="273" t="s">
        <v>1298</v>
      </c>
    </row>
    <row r="30">
      <c r="A30" s="272" t="s">
        <v>794</v>
      </c>
      <c r="B30" s="273" t="s">
        <v>793</v>
      </c>
      <c r="C30" s="273">
        <v>0.0</v>
      </c>
      <c r="D30" s="273">
        <v>7.1753808E7</v>
      </c>
      <c r="E30" s="274">
        <v>0.0</v>
      </c>
      <c r="F30" s="274">
        <v>0.0</v>
      </c>
      <c r="G30" s="274">
        <v>0.0</v>
      </c>
      <c r="H30" s="274">
        <v>0.0</v>
      </c>
      <c r="I30" s="273">
        <v>0.0</v>
      </c>
      <c r="J30" s="273">
        <v>0.0</v>
      </c>
      <c r="K30" s="273">
        <v>0.0</v>
      </c>
      <c r="L30" s="273">
        <v>1.0</v>
      </c>
      <c r="M30" s="273">
        <v>1.0</v>
      </c>
      <c r="N30" s="273" t="s">
        <v>1298</v>
      </c>
    </row>
    <row r="31">
      <c r="A31" s="273" t="s">
        <v>799</v>
      </c>
      <c r="B31" s="273" t="s">
        <v>798</v>
      </c>
      <c r="C31" s="273">
        <v>4.0</v>
      </c>
      <c r="D31" s="273">
        <v>8.5590849E7</v>
      </c>
      <c r="E31" s="274">
        <v>1.0</v>
      </c>
      <c r="F31" s="274">
        <v>0.0</v>
      </c>
      <c r="G31" s="274">
        <v>2.0</v>
      </c>
      <c r="H31" s="274">
        <v>1.0</v>
      </c>
      <c r="I31" s="273">
        <v>4.0</v>
      </c>
      <c r="J31" s="273">
        <v>0.0</v>
      </c>
      <c r="K31" s="273">
        <v>0.0</v>
      </c>
      <c r="L31" s="273">
        <v>16.0</v>
      </c>
      <c r="M31" s="273">
        <v>1.0</v>
      </c>
      <c r="N31" s="273" t="s">
        <v>1298</v>
      </c>
    </row>
    <row r="32">
      <c r="A32" s="272" t="s">
        <v>825</v>
      </c>
      <c r="B32" s="273" t="s">
        <v>824</v>
      </c>
      <c r="C32" s="273">
        <v>0.0</v>
      </c>
      <c r="D32" s="273">
        <v>6474341.0</v>
      </c>
      <c r="E32" s="274">
        <v>0.0</v>
      </c>
      <c r="F32" s="274">
        <v>0.0</v>
      </c>
      <c r="G32" s="274">
        <v>0.0</v>
      </c>
      <c r="H32" s="274">
        <v>0.0</v>
      </c>
      <c r="I32" s="273">
        <v>0.0</v>
      </c>
      <c r="J32" s="273">
        <v>0.0</v>
      </c>
      <c r="K32" s="278">
        <v>0.0</v>
      </c>
      <c r="L32" s="273">
        <v>4.0</v>
      </c>
      <c r="M32" s="273">
        <v>4.0</v>
      </c>
      <c r="N32" s="273" t="s">
        <v>1298</v>
      </c>
    </row>
    <row r="33">
      <c r="A33" s="272" t="s">
        <v>837</v>
      </c>
      <c r="B33" s="273" t="s">
        <v>1299</v>
      </c>
      <c r="C33" s="273">
        <v>0.0</v>
      </c>
      <c r="D33" s="273">
        <v>9478996.0</v>
      </c>
      <c r="E33" s="274">
        <v>0.0</v>
      </c>
      <c r="F33" s="274">
        <v>0.0</v>
      </c>
      <c r="G33" s="274">
        <v>0.0</v>
      </c>
      <c r="H33" s="274">
        <v>0.0</v>
      </c>
      <c r="I33" s="273">
        <v>0.0</v>
      </c>
      <c r="J33" s="273">
        <v>0.0</v>
      </c>
      <c r="K33" s="278">
        <v>0.0</v>
      </c>
      <c r="L33" s="273">
        <v>2.0</v>
      </c>
      <c r="M33" s="273">
        <v>2.0</v>
      </c>
      <c r="N33" s="273" t="s">
        <v>1298</v>
      </c>
    </row>
    <row r="34">
      <c r="A34" s="272" t="s">
        <v>846</v>
      </c>
      <c r="B34" s="273" t="s">
        <v>845</v>
      </c>
      <c r="C34" s="273">
        <v>0.0</v>
      </c>
      <c r="D34" s="273">
        <v>3.4902257E7</v>
      </c>
      <c r="E34" s="274">
        <v>0.0</v>
      </c>
      <c r="F34" s="274">
        <v>0.0</v>
      </c>
      <c r="G34" s="274">
        <v>0.0</v>
      </c>
      <c r="H34" s="274">
        <v>0.0</v>
      </c>
      <c r="I34" s="273">
        <v>0.0</v>
      </c>
      <c r="J34" s="273">
        <v>0.0</v>
      </c>
      <c r="K34" s="278">
        <v>0.0</v>
      </c>
      <c r="L34" s="273">
        <v>6.0</v>
      </c>
      <c r="M34" s="273">
        <v>3.0</v>
      </c>
      <c r="N34" s="273" t="s">
        <v>1298</v>
      </c>
    </row>
    <row r="35">
      <c r="A35" s="273" t="s">
        <v>861</v>
      </c>
      <c r="B35" s="273" t="s">
        <v>860</v>
      </c>
      <c r="C35" s="273">
        <v>0.0</v>
      </c>
      <c r="D35" s="273">
        <v>3.4070907E7</v>
      </c>
      <c r="E35" s="274">
        <v>0.0</v>
      </c>
      <c r="F35" s="274">
        <v>0.0</v>
      </c>
      <c r="G35" s="274">
        <v>0.0</v>
      </c>
      <c r="H35" s="274">
        <v>0.0</v>
      </c>
      <c r="I35" s="273">
        <v>0.0</v>
      </c>
      <c r="J35" s="273">
        <v>0.0</v>
      </c>
      <c r="K35" s="278">
        <v>0.0</v>
      </c>
      <c r="L35" s="273">
        <v>6.0</v>
      </c>
      <c r="M35" s="273">
        <v>3.0</v>
      </c>
      <c r="N35" s="273" t="s">
        <v>1298</v>
      </c>
    </row>
    <row r="36">
      <c r="A36" s="273" t="s">
        <v>953</v>
      </c>
      <c r="B36" s="273" t="s">
        <v>952</v>
      </c>
      <c r="C36" s="273">
        <v>2.0</v>
      </c>
      <c r="D36" s="273">
        <v>1.44694112E8</v>
      </c>
      <c r="E36" s="274">
        <v>0.0</v>
      </c>
      <c r="F36" s="274">
        <v>0.0</v>
      </c>
      <c r="G36" s="274">
        <v>1.0</v>
      </c>
      <c r="H36" s="274">
        <v>1.0</v>
      </c>
      <c r="I36" s="273">
        <v>2.0</v>
      </c>
      <c r="J36" s="273">
        <v>0.0</v>
      </c>
      <c r="K36" s="278">
        <v>0.0</v>
      </c>
      <c r="L36" s="273">
        <v>11.0</v>
      </c>
      <c r="M36" s="273">
        <v>6.0</v>
      </c>
      <c r="N36" s="273" t="s">
        <v>1300</v>
      </c>
    </row>
    <row r="37">
      <c r="A37" s="273" t="s">
        <v>986</v>
      </c>
      <c r="B37" s="273" t="s">
        <v>985</v>
      </c>
      <c r="C37" s="273">
        <v>0.0</v>
      </c>
      <c r="D37" s="273">
        <v>3.6069274E7</v>
      </c>
      <c r="E37" s="274">
        <v>0.0</v>
      </c>
      <c r="F37" s="274">
        <v>0.0</v>
      </c>
      <c r="G37" s="274">
        <v>0.0</v>
      </c>
      <c r="H37" s="274">
        <v>0.0</v>
      </c>
      <c r="I37" s="273">
        <v>0.0</v>
      </c>
      <c r="J37" s="273">
        <v>0.0</v>
      </c>
      <c r="K37" s="278">
        <v>0.0</v>
      </c>
      <c r="L37" s="273">
        <v>1.0</v>
      </c>
      <c r="M37" s="273">
        <v>1.0</v>
      </c>
      <c r="N37" s="273" t="s">
        <v>1300</v>
      </c>
    </row>
    <row r="38">
      <c r="A38" s="273" t="s">
        <v>1021</v>
      </c>
      <c r="B38" s="273" t="s">
        <v>1020</v>
      </c>
      <c r="C38" s="273">
        <v>1.0</v>
      </c>
      <c r="D38" s="273">
        <v>6348989.0</v>
      </c>
      <c r="E38" s="274">
        <v>0.0</v>
      </c>
      <c r="F38" s="274">
        <v>0.0</v>
      </c>
      <c r="G38" s="274">
        <v>1.0</v>
      </c>
      <c r="H38" s="274">
        <v>0.0</v>
      </c>
      <c r="I38" s="273">
        <v>1.0</v>
      </c>
      <c r="J38" s="273">
        <v>0.0</v>
      </c>
      <c r="K38" s="278">
        <v>0.0</v>
      </c>
      <c r="L38" s="273">
        <v>2.0</v>
      </c>
      <c r="M38" s="273">
        <v>0.0</v>
      </c>
      <c r="N38" s="273" t="s">
        <v>1301</v>
      </c>
    </row>
    <row r="39">
      <c r="A39" s="273" t="s">
        <v>1058</v>
      </c>
      <c r="B39" s="273" t="s">
        <v>1057</v>
      </c>
      <c r="C39" s="273">
        <v>0.0</v>
      </c>
      <c r="D39" s="273">
        <v>2.15802222E8</v>
      </c>
      <c r="E39" s="274">
        <v>0.0</v>
      </c>
      <c r="F39" s="274">
        <v>0.0</v>
      </c>
      <c r="G39" s="274">
        <v>0.0</v>
      </c>
      <c r="H39" s="274">
        <v>0.0</v>
      </c>
      <c r="I39" s="273">
        <v>0.0</v>
      </c>
      <c r="J39" s="273">
        <v>0.0</v>
      </c>
      <c r="K39" s="278">
        <v>0.0</v>
      </c>
      <c r="L39" s="273">
        <v>6.0</v>
      </c>
      <c r="M39" s="273">
        <v>0.0</v>
      </c>
      <c r="N39" s="273" t="s">
        <v>1302</v>
      </c>
    </row>
    <row r="40">
      <c r="A40" s="273" t="s">
        <v>1093</v>
      </c>
      <c r="B40" s="273" t="s">
        <v>1092</v>
      </c>
      <c r="C40" s="273">
        <v>0.0</v>
      </c>
      <c r="D40" s="273">
        <v>2.8555733E7</v>
      </c>
      <c r="E40" s="274">
        <v>0.0</v>
      </c>
      <c r="F40" s="274">
        <v>0.0</v>
      </c>
      <c r="G40" s="274">
        <v>0.0</v>
      </c>
      <c r="H40" s="274">
        <v>0.0</v>
      </c>
      <c r="I40" s="273">
        <v>0.0</v>
      </c>
      <c r="J40" s="273">
        <v>0.0</v>
      </c>
      <c r="K40" s="278">
        <v>0.0</v>
      </c>
      <c r="L40" s="273">
        <v>36.0</v>
      </c>
      <c r="M40" s="273">
        <v>0.0</v>
      </c>
      <c r="N40" s="273" t="s">
        <v>1302</v>
      </c>
    </row>
    <row r="43">
      <c r="A43" s="136"/>
      <c r="B43" s="136"/>
      <c r="C43" s="299"/>
      <c r="D43" s="299"/>
      <c r="E43" s="299"/>
      <c r="F43" s="299"/>
      <c r="G43" s="299"/>
      <c r="H43" s="299"/>
      <c r="I43" s="299"/>
      <c r="J43" s="299"/>
      <c r="K43" s="299"/>
      <c r="L43" s="299"/>
      <c r="M43" s="136"/>
      <c r="N43" s="136"/>
      <c r="O43" s="136"/>
    </row>
    <row r="44">
      <c r="A44" s="136"/>
      <c r="B44" s="136"/>
      <c r="C44" s="299"/>
      <c r="D44" s="299"/>
      <c r="E44" s="299"/>
      <c r="F44" s="299"/>
      <c r="G44" s="299"/>
      <c r="H44" s="299"/>
      <c r="I44" s="299"/>
      <c r="J44" s="299"/>
      <c r="K44" s="299"/>
      <c r="L44" s="299"/>
      <c r="M44" s="136"/>
      <c r="N44" s="136"/>
      <c r="O44" s="136"/>
    </row>
    <row r="45">
      <c r="A45" s="300">
        <v>2023.0</v>
      </c>
    </row>
    <row r="46">
      <c r="A46" s="234"/>
      <c r="B46" s="100" t="s">
        <v>1329</v>
      </c>
      <c r="C46" s="100" t="s">
        <v>1330</v>
      </c>
      <c r="D46" s="100" t="s">
        <v>1286</v>
      </c>
      <c r="E46" s="234" t="s">
        <v>1287</v>
      </c>
      <c r="F46" s="234" t="s">
        <v>1288</v>
      </c>
      <c r="G46" s="234" t="s">
        <v>1289</v>
      </c>
      <c r="H46" s="234" t="s">
        <v>1290</v>
      </c>
      <c r="I46" s="234" t="s">
        <v>1291</v>
      </c>
      <c r="J46" s="234" t="s">
        <v>1292</v>
      </c>
      <c r="K46" s="234" t="s">
        <v>1293</v>
      </c>
      <c r="L46" s="234" t="s">
        <v>1294</v>
      </c>
      <c r="M46" s="234" t="s">
        <v>1295</v>
      </c>
      <c r="N46" s="234" t="s">
        <v>1296</v>
      </c>
      <c r="O46" s="301"/>
    </row>
    <row r="47">
      <c r="A47" s="278" t="s">
        <v>56</v>
      </c>
      <c r="B47" s="278" t="s">
        <v>55</v>
      </c>
      <c r="C47" s="302">
        <v>0.0</v>
      </c>
      <c r="D47" s="302">
        <v>2.2959516E7</v>
      </c>
      <c r="E47" s="302">
        <v>0.0</v>
      </c>
      <c r="F47" s="302">
        <v>0.0</v>
      </c>
      <c r="G47" s="302">
        <v>0.0</v>
      </c>
      <c r="H47" s="302">
        <v>0.0</v>
      </c>
      <c r="I47" s="302">
        <v>0.0</v>
      </c>
      <c r="J47" s="302">
        <v>0.0</v>
      </c>
      <c r="K47" s="302">
        <v>0.0</v>
      </c>
      <c r="L47" s="302">
        <v>4.0</v>
      </c>
      <c r="M47" s="278">
        <v>1.0</v>
      </c>
      <c r="N47" s="278" t="s">
        <v>1297</v>
      </c>
      <c r="O47" s="303"/>
    </row>
    <row r="48">
      <c r="A48" s="278" t="s">
        <v>127</v>
      </c>
      <c r="B48" s="278" t="s">
        <v>126</v>
      </c>
      <c r="C48" s="302">
        <v>0.0</v>
      </c>
      <c r="D48" s="302">
        <v>3715522.0</v>
      </c>
      <c r="E48" s="302">
        <v>0.0</v>
      </c>
      <c r="F48" s="302">
        <v>0.0</v>
      </c>
      <c r="G48" s="302">
        <v>0.0</v>
      </c>
      <c r="H48" s="302">
        <v>0.0</v>
      </c>
      <c r="I48" s="302">
        <v>0.0</v>
      </c>
      <c r="J48" s="302">
        <v>0.0</v>
      </c>
      <c r="K48" s="302">
        <v>0.0</v>
      </c>
      <c r="L48" s="302">
        <v>2.0</v>
      </c>
      <c r="M48" s="278">
        <v>1.0</v>
      </c>
      <c r="N48" s="278" t="s">
        <v>1297</v>
      </c>
      <c r="O48" s="303"/>
    </row>
    <row r="49">
      <c r="A49" s="278" t="s">
        <v>139</v>
      </c>
      <c r="B49" s="278" t="s">
        <v>138</v>
      </c>
      <c r="C49" s="302">
        <v>2.0</v>
      </c>
      <c r="D49" s="302">
        <v>1.24937259E8</v>
      </c>
      <c r="E49" s="302">
        <v>2.0</v>
      </c>
      <c r="F49" s="302">
        <v>0.0</v>
      </c>
      <c r="G49" s="302">
        <v>0.0</v>
      </c>
      <c r="H49" s="302">
        <v>0.0</v>
      </c>
      <c r="I49" s="302">
        <v>2.0</v>
      </c>
      <c r="J49" s="302">
        <v>0.0</v>
      </c>
      <c r="K49" s="302">
        <v>0.0</v>
      </c>
      <c r="L49" s="302">
        <v>12.0</v>
      </c>
      <c r="M49" s="278">
        <v>3.0</v>
      </c>
      <c r="N49" s="278" t="s">
        <v>1297</v>
      </c>
      <c r="O49" s="303"/>
    </row>
    <row r="50">
      <c r="A50" s="278" t="s">
        <v>174</v>
      </c>
      <c r="B50" s="278" t="s">
        <v>173</v>
      </c>
      <c r="C50" s="302">
        <v>1.0</v>
      </c>
      <c r="D50" s="302">
        <v>1.4023588E7</v>
      </c>
      <c r="E50" s="302">
        <v>1.0</v>
      </c>
      <c r="F50" s="302">
        <v>0.0</v>
      </c>
      <c r="G50" s="302">
        <v>0.0</v>
      </c>
      <c r="H50" s="302">
        <v>0.0</v>
      </c>
      <c r="I50" s="302">
        <v>1.0</v>
      </c>
      <c r="J50" s="302">
        <v>0.0</v>
      </c>
      <c r="K50" s="302">
        <v>0.0</v>
      </c>
      <c r="L50" s="302">
        <v>4.0</v>
      </c>
      <c r="M50" s="278">
        <v>1.0</v>
      </c>
      <c r="N50" s="278" t="s">
        <v>1297</v>
      </c>
      <c r="O50" s="303"/>
    </row>
    <row r="51">
      <c r="A51" s="278" t="s">
        <v>211</v>
      </c>
      <c r="B51" s="278" t="s">
        <v>210</v>
      </c>
      <c r="C51" s="302">
        <v>2.0</v>
      </c>
      <c r="D51" s="302">
        <v>4798604.0</v>
      </c>
      <c r="E51" s="302">
        <v>2.0</v>
      </c>
      <c r="F51" s="302">
        <v>0.0</v>
      </c>
      <c r="G51" s="302">
        <v>0.0</v>
      </c>
      <c r="H51" s="302">
        <v>0.0</v>
      </c>
      <c r="I51" s="302">
        <v>0.0</v>
      </c>
      <c r="J51" s="302">
        <v>0.0</v>
      </c>
      <c r="K51" s="302">
        <v>2.0</v>
      </c>
      <c r="L51" s="302">
        <v>3.0</v>
      </c>
      <c r="M51" s="278">
        <v>0.0</v>
      </c>
      <c r="N51" s="278" t="s">
        <v>1297</v>
      </c>
      <c r="O51" s="303"/>
    </row>
    <row r="52">
      <c r="A52" s="278" t="s">
        <v>259</v>
      </c>
      <c r="B52" s="278" t="s">
        <v>258</v>
      </c>
      <c r="C52" s="302">
        <v>2.0</v>
      </c>
      <c r="D52" s="302">
        <v>1.7536231E7</v>
      </c>
      <c r="E52" s="302">
        <v>0.0</v>
      </c>
      <c r="F52" s="302">
        <v>0.0</v>
      </c>
      <c r="G52" s="302">
        <v>2.0</v>
      </c>
      <c r="H52" s="302">
        <v>0.0</v>
      </c>
      <c r="I52" s="302">
        <v>1.0</v>
      </c>
      <c r="J52" s="302">
        <v>0.0</v>
      </c>
      <c r="K52" s="302">
        <v>1.0</v>
      </c>
      <c r="L52" s="302">
        <v>3.0</v>
      </c>
      <c r="M52" s="278">
        <v>0.0</v>
      </c>
      <c r="N52" s="278" t="s">
        <v>1297</v>
      </c>
      <c r="O52" s="303"/>
    </row>
    <row r="53">
      <c r="A53" s="278" t="s">
        <v>292</v>
      </c>
      <c r="B53" s="278" t="s">
        <v>291</v>
      </c>
      <c r="C53" s="302">
        <v>1.0</v>
      </c>
      <c r="D53" s="302">
        <v>4.7486909E7</v>
      </c>
      <c r="E53" s="302">
        <v>0.0</v>
      </c>
      <c r="F53" s="302">
        <v>0.0</v>
      </c>
      <c r="G53" s="302">
        <v>1.0</v>
      </c>
      <c r="H53" s="302">
        <v>0.0</v>
      </c>
      <c r="I53" s="302">
        <v>0.0</v>
      </c>
      <c r="J53" s="302">
        <v>0.0</v>
      </c>
      <c r="K53" s="302">
        <v>1.0</v>
      </c>
      <c r="L53" s="302">
        <v>12.0</v>
      </c>
      <c r="M53" s="278">
        <v>1.0</v>
      </c>
      <c r="N53" s="278" t="s">
        <v>1297</v>
      </c>
      <c r="O53" s="303"/>
    </row>
    <row r="54">
      <c r="A54" s="278" t="s">
        <v>324</v>
      </c>
      <c r="B54" s="278" t="s">
        <v>323</v>
      </c>
      <c r="C54" s="302">
        <v>1.0</v>
      </c>
      <c r="D54" s="302">
        <v>6.6455898E7</v>
      </c>
      <c r="E54" s="302">
        <v>0.0</v>
      </c>
      <c r="F54" s="302">
        <v>0.0</v>
      </c>
      <c r="G54" s="302">
        <v>1.0</v>
      </c>
      <c r="H54" s="302">
        <v>0.0</v>
      </c>
      <c r="I54" s="302">
        <v>1.0</v>
      </c>
      <c r="J54" s="302">
        <v>0.0</v>
      </c>
      <c r="K54" s="302">
        <v>0.0</v>
      </c>
      <c r="L54" s="302">
        <v>2.0</v>
      </c>
      <c r="M54" s="278">
        <v>0.0</v>
      </c>
      <c r="N54" s="278" t="s">
        <v>1297</v>
      </c>
      <c r="O54" s="303"/>
    </row>
    <row r="55">
      <c r="A55" s="278" t="s">
        <v>394</v>
      </c>
      <c r="B55" s="278" t="s">
        <v>393</v>
      </c>
      <c r="C55" s="302">
        <v>0.0</v>
      </c>
      <c r="D55" s="302">
        <v>1.425849288E9</v>
      </c>
      <c r="E55" s="302">
        <v>0.0</v>
      </c>
      <c r="F55" s="302">
        <v>0.0</v>
      </c>
      <c r="G55" s="302">
        <v>0.0</v>
      </c>
      <c r="H55" s="302">
        <v>0.0</v>
      </c>
      <c r="I55" s="302">
        <v>0.0</v>
      </c>
      <c r="J55" s="302">
        <v>0.0</v>
      </c>
      <c r="K55" s="302">
        <v>0.0</v>
      </c>
      <c r="L55" s="302">
        <v>4.0</v>
      </c>
      <c r="M55" s="278">
        <v>4.0</v>
      </c>
      <c r="N55" s="278" t="s">
        <v>1298</v>
      </c>
      <c r="O55" s="303"/>
    </row>
    <row r="56">
      <c r="A56" s="278" t="s">
        <v>403</v>
      </c>
      <c r="B56" s="278" t="s">
        <v>402</v>
      </c>
      <c r="C56" s="302">
        <v>0.0</v>
      </c>
      <c r="D56" s="302">
        <v>2.6116716E7</v>
      </c>
      <c r="E56" s="302">
        <v>0.0</v>
      </c>
      <c r="F56" s="302">
        <v>0.0</v>
      </c>
      <c r="G56" s="302">
        <v>0.0</v>
      </c>
      <c r="H56" s="302">
        <v>0.0</v>
      </c>
      <c r="I56" s="302">
        <v>0.0</v>
      </c>
      <c r="J56" s="302">
        <v>0.0</v>
      </c>
      <c r="K56" s="302">
        <v>0.0</v>
      </c>
      <c r="L56" s="302">
        <v>3.0</v>
      </c>
      <c r="M56" s="278">
        <v>3.0</v>
      </c>
      <c r="N56" s="278" t="s">
        <v>1298</v>
      </c>
      <c r="O56" s="303"/>
    </row>
    <row r="57">
      <c r="A57" s="278" t="s">
        <v>417</v>
      </c>
      <c r="B57" s="278" t="s">
        <v>416</v>
      </c>
      <c r="C57" s="302">
        <v>9.0</v>
      </c>
      <c r="D57" s="302">
        <v>1.422026528E9</v>
      </c>
      <c r="E57" s="302">
        <v>7.0</v>
      </c>
      <c r="F57" s="302">
        <v>0.0</v>
      </c>
      <c r="G57" s="302">
        <v>2.0</v>
      </c>
      <c r="H57" s="302">
        <v>0.0</v>
      </c>
      <c r="I57" s="302">
        <v>1.0</v>
      </c>
      <c r="J57" s="302">
        <v>8.0</v>
      </c>
      <c r="K57" s="302">
        <v>0.0</v>
      </c>
      <c r="L57" s="302">
        <v>111.0</v>
      </c>
      <c r="M57" s="278">
        <v>3.0</v>
      </c>
      <c r="N57" s="278" t="s">
        <v>1298</v>
      </c>
      <c r="O57" s="303"/>
    </row>
    <row r="58">
      <c r="A58" s="278" t="s">
        <v>523</v>
      </c>
      <c r="B58" s="278" t="s">
        <v>522</v>
      </c>
      <c r="C58" s="302">
        <v>14.0</v>
      </c>
      <c r="D58" s="302">
        <v>8.8844498E7</v>
      </c>
      <c r="E58" s="302">
        <v>14.0</v>
      </c>
      <c r="F58" s="302">
        <v>0.0</v>
      </c>
      <c r="G58" s="302">
        <v>0.0</v>
      </c>
      <c r="H58" s="302">
        <v>0.0</v>
      </c>
      <c r="I58" s="302">
        <v>0.0</v>
      </c>
      <c r="J58" s="302">
        <v>14.0</v>
      </c>
      <c r="K58" s="302">
        <v>0.0</v>
      </c>
      <c r="L58" s="302">
        <v>41.0</v>
      </c>
      <c r="M58" s="278">
        <v>5.0</v>
      </c>
      <c r="N58" s="278" t="s">
        <v>1298</v>
      </c>
      <c r="O58" s="303"/>
    </row>
    <row r="59">
      <c r="A59" s="278" t="s">
        <v>642</v>
      </c>
      <c r="B59" s="278" t="s">
        <v>641</v>
      </c>
      <c r="C59" s="302">
        <v>0.0</v>
      </c>
      <c r="D59" s="302">
        <v>1.1315547E7</v>
      </c>
      <c r="E59" s="302">
        <v>0.0</v>
      </c>
      <c r="F59" s="302">
        <v>0.0</v>
      </c>
      <c r="G59" s="302">
        <v>0.0</v>
      </c>
      <c r="H59" s="302">
        <v>0.0</v>
      </c>
      <c r="I59" s="302">
        <v>0.0</v>
      </c>
      <c r="J59" s="302">
        <v>0.0</v>
      </c>
      <c r="K59" s="302">
        <v>0.0</v>
      </c>
      <c r="L59" s="302">
        <v>5.0</v>
      </c>
      <c r="M59" s="278">
        <v>1.0</v>
      </c>
      <c r="N59" s="278" t="s">
        <v>1298</v>
      </c>
      <c r="O59" s="303"/>
    </row>
    <row r="60">
      <c r="A60" s="278" t="s">
        <v>681</v>
      </c>
      <c r="B60" s="278" t="s">
        <v>680</v>
      </c>
      <c r="C60" s="302">
        <v>0.0</v>
      </c>
      <c r="D60" s="302">
        <v>5.4380868E7</v>
      </c>
      <c r="E60" s="302">
        <v>0.0</v>
      </c>
      <c r="F60" s="302">
        <v>0.0</v>
      </c>
      <c r="G60" s="302">
        <v>0.0</v>
      </c>
      <c r="H60" s="302">
        <v>0.0</v>
      </c>
      <c r="I60" s="302">
        <v>0.0</v>
      </c>
      <c r="J60" s="302">
        <v>0.0</v>
      </c>
      <c r="K60" s="302">
        <v>0.0</v>
      </c>
      <c r="L60" s="302">
        <v>6.0</v>
      </c>
      <c r="M60" s="278">
        <v>2.0</v>
      </c>
      <c r="N60" s="278" t="s">
        <v>1298</v>
      </c>
      <c r="O60" s="303"/>
    </row>
    <row r="61">
      <c r="A61" s="278" t="s">
        <v>697</v>
      </c>
      <c r="B61" s="278" t="s">
        <v>696</v>
      </c>
      <c r="C61" s="302">
        <v>0.0</v>
      </c>
      <c r="D61" s="302">
        <v>4609315.0</v>
      </c>
      <c r="E61" s="302">
        <v>0.0</v>
      </c>
      <c r="F61" s="302">
        <v>0.0</v>
      </c>
      <c r="G61" s="302">
        <v>0.0</v>
      </c>
      <c r="H61" s="302">
        <v>0.0</v>
      </c>
      <c r="I61" s="302">
        <v>0.0</v>
      </c>
      <c r="J61" s="302">
        <v>0.0</v>
      </c>
      <c r="K61" s="302">
        <v>0.0</v>
      </c>
      <c r="L61" s="302">
        <v>3.0</v>
      </c>
      <c r="M61" s="278">
        <v>3.0</v>
      </c>
      <c r="N61" s="278" t="s">
        <v>1298</v>
      </c>
      <c r="O61" s="303"/>
    </row>
    <row r="62">
      <c r="A62" s="278" t="s">
        <v>704</v>
      </c>
      <c r="B62" s="278" t="s">
        <v>703</v>
      </c>
      <c r="C62" s="302">
        <v>3.0</v>
      </c>
      <c r="D62" s="302">
        <v>2.38126113E8</v>
      </c>
      <c r="E62" s="302">
        <v>0.0</v>
      </c>
      <c r="F62" s="302">
        <v>0.0</v>
      </c>
      <c r="G62" s="302">
        <v>3.0</v>
      </c>
      <c r="H62" s="302">
        <v>0.0</v>
      </c>
      <c r="I62" s="302">
        <v>2.0</v>
      </c>
      <c r="J62" s="302">
        <v>0.0</v>
      </c>
      <c r="K62" s="302">
        <v>1.0</v>
      </c>
      <c r="L62" s="302">
        <v>15.0</v>
      </c>
      <c r="M62" s="278">
        <v>2.0</v>
      </c>
      <c r="N62" s="278" t="s">
        <v>1298</v>
      </c>
      <c r="O62" s="303"/>
    </row>
    <row r="63">
      <c r="A63" s="278" t="s">
        <v>755</v>
      </c>
      <c r="B63" s="278" t="s">
        <v>754</v>
      </c>
      <c r="C63" s="302">
        <v>0.0</v>
      </c>
      <c r="D63" s="302">
        <v>2705914.0</v>
      </c>
      <c r="E63" s="302">
        <v>0.0</v>
      </c>
      <c r="F63" s="302">
        <v>0.0</v>
      </c>
      <c r="G63" s="302">
        <v>0.0</v>
      </c>
      <c r="H63" s="302">
        <v>0.0</v>
      </c>
      <c r="I63" s="302">
        <v>0.0</v>
      </c>
      <c r="J63" s="302">
        <v>0.0</v>
      </c>
      <c r="K63" s="302">
        <v>0.0</v>
      </c>
      <c r="L63" s="302">
        <v>1.0</v>
      </c>
      <c r="M63" s="278">
        <v>1.0</v>
      </c>
      <c r="N63" s="278" t="s">
        <v>1298</v>
      </c>
      <c r="O63" s="303"/>
    </row>
    <row r="64">
      <c r="A64" s="278" t="s">
        <v>794</v>
      </c>
      <c r="B64" s="278" t="s">
        <v>793</v>
      </c>
      <c r="C64" s="302">
        <v>0.0</v>
      </c>
      <c r="D64" s="302">
        <v>7.1753808E7</v>
      </c>
      <c r="E64" s="302">
        <v>0.0</v>
      </c>
      <c r="F64" s="302">
        <v>0.0</v>
      </c>
      <c r="G64" s="302">
        <v>0.0</v>
      </c>
      <c r="H64" s="302">
        <v>0.0</v>
      </c>
      <c r="I64" s="302">
        <v>0.0</v>
      </c>
      <c r="J64" s="302">
        <v>0.0</v>
      </c>
      <c r="K64" s="302">
        <v>0.0</v>
      </c>
      <c r="L64" s="302">
        <v>1.0</v>
      </c>
      <c r="M64" s="278">
        <v>1.0</v>
      </c>
      <c r="N64" s="278" t="s">
        <v>1298</v>
      </c>
      <c r="O64" s="303"/>
    </row>
    <row r="65">
      <c r="A65" s="278" t="s">
        <v>799</v>
      </c>
      <c r="B65" s="278" t="s">
        <v>798</v>
      </c>
      <c r="C65" s="302">
        <v>2.0</v>
      </c>
      <c r="D65" s="302">
        <v>8.5590849E7</v>
      </c>
      <c r="E65" s="302">
        <v>0.0</v>
      </c>
      <c r="F65" s="302">
        <v>1.0</v>
      </c>
      <c r="G65" s="302">
        <v>1.0</v>
      </c>
      <c r="H65" s="302">
        <v>0.0</v>
      </c>
      <c r="I65" s="302">
        <v>2.0</v>
      </c>
      <c r="J65" s="302">
        <v>0.0</v>
      </c>
      <c r="K65" s="302">
        <v>0.0</v>
      </c>
      <c r="L65" s="302">
        <v>12.0</v>
      </c>
      <c r="M65" s="278">
        <v>1.0</v>
      </c>
      <c r="N65" s="278" t="s">
        <v>1298</v>
      </c>
      <c r="O65" s="303"/>
    </row>
    <row r="66">
      <c r="A66" s="278" t="s">
        <v>825</v>
      </c>
      <c r="B66" s="278" t="s">
        <v>824</v>
      </c>
      <c r="C66" s="302">
        <v>0.0</v>
      </c>
      <c r="D66" s="302">
        <v>6474341.0</v>
      </c>
      <c r="E66" s="302">
        <v>0.0</v>
      </c>
      <c r="F66" s="302">
        <v>0.0</v>
      </c>
      <c r="G66" s="302">
        <v>0.0</v>
      </c>
      <c r="H66" s="302">
        <v>0.0</v>
      </c>
      <c r="I66" s="302">
        <v>0.0</v>
      </c>
      <c r="J66" s="302">
        <v>0.0</v>
      </c>
      <c r="K66" s="302">
        <v>0.0</v>
      </c>
      <c r="L66" s="302">
        <v>4.0</v>
      </c>
      <c r="M66" s="278">
        <v>4.0</v>
      </c>
      <c r="N66" s="278" t="s">
        <v>1298</v>
      </c>
      <c r="O66" s="303"/>
    </row>
    <row r="67">
      <c r="A67" s="278" t="s">
        <v>837</v>
      </c>
      <c r="B67" s="278" t="s">
        <v>1331</v>
      </c>
      <c r="C67" s="302">
        <v>0.0</v>
      </c>
      <c r="D67" s="302">
        <v>9478996.0</v>
      </c>
      <c r="E67" s="302">
        <v>0.0</v>
      </c>
      <c r="F67" s="302">
        <v>0.0</v>
      </c>
      <c r="G67" s="302">
        <v>0.0</v>
      </c>
      <c r="H67" s="302">
        <v>0.0</v>
      </c>
      <c r="I67" s="302">
        <v>0.0</v>
      </c>
      <c r="J67" s="302">
        <v>0.0</v>
      </c>
      <c r="K67" s="302">
        <v>0.0</v>
      </c>
      <c r="L67" s="302">
        <v>2.0</v>
      </c>
      <c r="M67" s="278">
        <v>2.0</v>
      </c>
      <c r="N67" s="278" t="s">
        <v>1298</v>
      </c>
      <c r="O67" s="303"/>
    </row>
    <row r="68">
      <c r="A68" s="278" t="s">
        <v>846</v>
      </c>
      <c r="B68" s="278" t="s">
        <v>845</v>
      </c>
      <c r="C68" s="302">
        <v>0.0</v>
      </c>
      <c r="D68" s="302">
        <v>3.4902257E7</v>
      </c>
      <c r="E68" s="302">
        <v>0.0</v>
      </c>
      <c r="F68" s="302">
        <v>0.0</v>
      </c>
      <c r="G68" s="302">
        <v>0.0</v>
      </c>
      <c r="H68" s="302">
        <v>0.0</v>
      </c>
      <c r="I68" s="302">
        <v>0.0</v>
      </c>
      <c r="J68" s="302">
        <v>0.0</v>
      </c>
      <c r="K68" s="302">
        <v>0.0</v>
      </c>
      <c r="L68" s="302">
        <v>6.0</v>
      </c>
      <c r="M68" s="278">
        <v>3.0</v>
      </c>
      <c r="N68" s="278" t="s">
        <v>1298</v>
      </c>
      <c r="O68" s="303"/>
    </row>
    <row r="69">
      <c r="A69" s="278" t="s">
        <v>861</v>
      </c>
      <c r="B69" s="278" t="s">
        <v>860</v>
      </c>
      <c r="C69" s="302">
        <v>0.0</v>
      </c>
      <c r="D69" s="302">
        <v>3.4070907E7</v>
      </c>
      <c r="E69" s="302">
        <v>0.0</v>
      </c>
      <c r="F69" s="302">
        <v>0.0</v>
      </c>
      <c r="G69" s="302">
        <v>0.0</v>
      </c>
      <c r="H69" s="302">
        <v>0.0</v>
      </c>
      <c r="I69" s="302">
        <v>0.0</v>
      </c>
      <c r="J69" s="302">
        <v>0.0</v>
      </c>
      <c r="K69" s="302">
        <v>0.0</v>
      </c>
      <c r="L69" s="302">
        <v>3.0</v>
      </c>
      <c r="M69" s="278">
        <v>1.0</v>
      </c>
      <c r="N69" s="278" t="s">
        <v>1298</v>
      </c>
      <c r="O69" s="303"/>
    </row>
    <row r="70">
      <c r="A70" s="278" t="s">
        <v>953</v>
      </c>
      <c r="B70" s="278" t="s">
        <v>952</v>
      </c>
      <c r="C70" s="302">
        <v>0.0</v>
      </c>
      <c r="D70" s="302">
        <v>1.44694112E8</v>
      </c>
      <c r="E70" s="302">
        <v>0.0</v>
      </c>
      <c r="F70" s="302">
        <v>0.0</v>
      </c>
      <c r="G70" s="302">
        <v>0.0</v>
      </c>
      <c r="H70" s="302">
        <v>0.0</v>
      </c>
      <c r="I70" s="302">
        <v>0.0</v>
      </c>
      <c r="J70" s="302">
        <v>0.0</v>
      </c>
      <c r="K70" s="302">
        <v>0.0</v>
      </c>
      <c r="L70" s="302">
        <v>9.0</v>
      </c>
      <c r="M70" s="278">
        <v>4.0</v>
      </c>
      <c r="N70" s="278" t="s">
        <v>1300</v>
      </c>
      <c r="O70" s="303"/>
    </row>
    <row r="71">
      <c r="A71" s="278" t="s">
        <v>986</v>
      </c>
      <c r="B71" s="278" t="s">
        <v>985</v>
      </c>
      <c r="C71" s="302">
        <v>0.0</v>
      </c>
      <c r="D71" s="302">
        <v>3.6069274E7</v>
      </c>
      <c r="E71" s="302">
        <v>0.0</v>
      </c>
      <c r="F71" s="302">
        <v>0.0</v>
      </c>
      <c r="G71" s="302">
        <v>0.0</v>
      </c>
      <c r="H71" s="302">
        <v>0.0</v>
      </c>
      <c r="I71" s="302">
        <v>0.0</v>
      </c>
      <c r="J71" s="302">
        <v>0.0</v>
      </c>
      <c r="K71" s="302">
        <v>0.0</v>
      </c>
      <c r="L71" s="302">
        <v>1.0</v>
      </c>
      <c r="M71" s="278">
        <v>1.0</v>
      </c>
      <c r="N71" s="278" t="s">
        <v>1300</v>
      </c>
      <c r="O71" s="303"/>
    </row>
    <row r="72">
      <c r="A72" s="278" t="s">
        <v>1006</v>
      </c>
      <c r="B72" s="278" t="s">
        <v>1005</v>
      </c>
      <c r="C72" s="302">
        <v>1.0</v>
      </c>
      <c r="D72" s="302">
        <v>1.1203797E7</v>
      </c>
      <c r="E72" s="302">
        <v>1.0</v>
      </c>
      <c r="F72" s="302">
        <v>0.0</v>
      </c>
      <c r="G72" s="302">
        <v>0.0</v>
      </c>
      <c r="H72" s="302">
        <v>0.0</v>
      </c>
      <c r="I72" s="302">
        <v>0.0</v>
      </c>
      <c r="J72" s="302">
        <v>0.0</v>
      </c>
      <c r="K72" s="302">
        <v>1.0</v>
      </c>
      <c r="L72" s="302">
        <v>8.0</v>
      </c>
      <c r="M72" s="278">
        <v>0.0</v>
      </c>
      <c r="N72" s="278" t="s">
        <v>1301</v>
      </c>
      <c r="O72" s="303"/>
    </row>
    <row r="73">
      <c r="A73" s="278" t="s">
        <v>1058</v>
      </c>
      <c r="B73" s="278" t="s">
        <v>1057</v>
      </c>
      <c r="C73" s="302">
        <v>1.0</v>
      </c>
      <c r="D73" s="302">
        <v>2.15802222E8</v>
      </c>
      <c r="E73" s="302">
        <v>0.0</v>
      </c>
      <c r="F73" s="302">
        <v>0.0</v>
      </c>
      <c r="G73" s="302">
        <v>0.0</v>
      </c>
      <c r="H73" s="302">
        <v>1.0</v>
      </c>
      <c r="I73" s="302">
        <v>1.0</v>
      </c>
      <c r="J73" s="302">
        <v>0.0</v>
      </c>
      <c r="K73" s="302">
        <v>0.0</v>
      </c>
      <c r="L73" s="302">
        <v>5.0</v>
      </c>
      <c r="M73" s="278">
        <v>0.0</v>
      </c>
      <c r="N73" s="278" t="s">
        <v>1302</v>
      </c>
      <c r="O73" s="304"/>
    </row>
    <row r="74">
      <c r="A74" s="278" t="s">
        <v>1088</v>
      </c>
      <c r="B74" s="278" t="s">
        <v>1087</v>
      </c>
      <c r="C74" s="302">
        <v>1.0</v>
      </c>
      <c r="D74" s="302">
        <v>620437.0</v>
      </c>
      <c r="E74" s="302">
        <v>1.0</v>
      </c>
      <c r="F74" s="302">
        <v>0.0</v>
      </c>
      <c r="G74" s="302">
        <v>0.0</v>
      </c>
      <c r="H74" s="302">
        <v>0.0</v>
      </c>
      <c r="I74" s="302">
        <v>1.0</v>
      </c>
      <c r="J74" s="302">
        <v>0.0</v>
      </c>
      <c r="K74" s="302">
        <v>0.0</v>
      </c>
      <c r="L74" s="302">
        <v>1.0</v>
      </c>
      <c r="M74" s="278">
        <v>0.0</v>
      </c>
      <c r="N74" s="278" t="s">
        <v>1302</v>
      </c>
      <c r="O74" s="304"/>
    </row>
    <row r="75">
      <c r="A75" s="278" t="s">
        <v>604</v>
      </c>
      <c r="B75" s="278" t="s">
        <v>603</v>
      </c>
      <c r="C75" s="302">
        <v>2.0</v>
      </c>
      <c r="D75" s="302">
        <v>1.360632E7</v>
      </c>
      <c r="E75" s="302">
        <v>0.0</v>
      </c>
      <c r="F75" s="302">
        <v>0.0</v>
      </c>
      <c r="G75" s="302">
        <v>2.0</v>
      </c>
      <c r="H75" s="302">
        <v>0.0</v>
      </c>
      <c r="I75" s="302">
        <v>0.0</v>
      </c>
      <c r="J75" s="302">
        <v>2.0</v>
      </c>
      <c r="K75" s="302">
        <v>0.0</v>
      </c>
      <c r="L75" s="302">
        <v>326.0</v>
      </c>
      <c r="M75" s="278">
        <v>0.0</v>
      </c>
      <c r="N75" s="278" t="s">
        <v>1298</v>
      </c>
      <c r="O75" s="304"/>
    </row>
    <row r="76">
      <c r="A76" s="305"/>
      <c r="B76" s="306"/>
      <c r="C76" s="307"/>
      <c r="D76" s="308"/>
      <c r="E76" s="305"/>
      <c r="F76" s="304"/>
      <c r="G76" s="304"/>
      <c r="H76" s="304"/>
      <c r="I76" s="304"/>
      <c r="J76" s="305"/>
      <c r="K76" s="305"/>
      <c r="L76" s="308"/>
      <c r="M76" s="304"/>
      <c r="N76" s="304"/>
      <c r="O76" s="304"/>
    </row>
    <row r="77">
      <c r="A77" s="305"/>
      <c r="B77" s="306"/>
      <c r="C77" s="307"/>
      <c r="D77" s="308"/>
      <c r="E77" s="305"/>
      <c r="F77" s="304"/>
      <c r="G77" s="304"/>
      <c r="H77" s="304"/>
      <c r="I77" s="304"/>
      <c r="J77" s="305"/>
      <c r="K77" s="305"/>
      <c r="L77" s="308"/>
      <c r="M77" s="304"/>
      <c r="N77" s="304"/>
      <c r="O77" s="304"/>
    </row>
    <row r="78">
      <c r="A78" s="305"/>
      <c r="B78" s="306"/>
      <c r="C78" s="307"/>
      <c r="D78" s="308"/>
      <c r="E78" s="305"/>
      <c r="F78" s="304"/>
      <c r="G78" s="304"/>
      <c r="H78" s="304"/>
      <c r="I78" s="304"/>
      <c r="J78" s="305"/>
      <c r="K78" s="305"/>
      <c r="L78" s="308"/>
      <c r="M78" s="304"/>
      <c r="N78" s="304"/>
      <c r="O78" s="304"/>
    </row>
    <row r="79">
      <c r="A79" s="305"/>
      <c r="B79" s="306"/>
      <c r="C79" s="306"/>
      <c r="D79" s="308"/>
      <c r="E79" s="305"/>
      <c r="F79" s="304"/>
      <c r="G79" s="304"/>
      <c r="H79" s="304"/>
      <c r="I79" s="304"/>
      <c r="J79" s="305"/>
      <c r="K79" s="305"/>
      <c r="L79" s="308"/>
      <c r="M79" s="304"/>
      <c r="N79" s="304"/>
      <c r="O79" s="304"/>
    </row>
    <row r="80">
      <c r="A80" s="305"/>
      <c r="B80" s="306"/>
      <c r="C80" s="307"/>
      <c r="D80" s="308"/>
      <c r="E80" s="305"/>
      <c r="F80" s="304"/>
      <c r="G80" s="304"/>
      <c r="H80" s="304"/>
      <c r="I80" s="304"/>
      <c r="J80" s="305"/>
      <c r="K80" s="305"/>
      <c r="L80" s="308"/>
      <c r="M80" s="304"/>
      <c r="N80" s="304"/>
      <c r="O80" s="304"/>
    </row>
    <row r="81">
      <c r="A81" s="305"/>
      <c r="B81" s="306"/>
      <c r="C81" s="307"/>
      <c r="D81" s="308"/>
      <c r="E81" s="305"/>
      <c r="F81" s="304"/>
      <c r="G81" s="304"/>
      <c r="H81" s="304"/>
      <c r="I81" s="304"/>
      <c r="J81" s="305"/>
      <c r="K81" s="305"/>
      <c r="L81" s="308"/>
      <c r="M81" s="304"/>
      <c r="N81" s="304"/>
      <c r="O81" s="304"/>
    </row>
  </sheetData>
  <mergeCells count="2">
    <mergeCell ref="A1:M1"/>
    <mergeCell ref="A45:O4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0.75"/>
  </cols>
  <sheetData>
    <row r="1">
      <c r="A1" s="271" t="s">
        <v>1332</v>
      </c>
      <c r="N1" s="136"/>
      <c r="O1" s="136"/>
      <c r="P1" s="136"/>
      <c r="Q1" s="136"/>
      <c r="R1" s="136"/>
      <c r="S1" s="136"/>
      <c r="T1" s="136"/>
      <c r="U1" s="136"/>
      <c r="V1" s="136"/>
      <c r="W1" s="136"/>
      <c r="X1" s="136"/>
      <c r="Y1" s="136"/>
    </row>
    <row r="2">
      <c r="A2" s="100" t="s">
        <v>1283</v>
      </c>
      <c r="B2" s="100" t="s">
        <v>1333</v>
      </c>
      <c r="C2" s="100" t="s">
        <v>1334</v>
      </c>
      <c r="D2" s="100" t="s">
        <v>1286</v>
      </c>
      <c r="E2" s="234" t="s">
        <v>1287</v>
      </c>
      <c r="F2" s="234" t="s">
        <v>1288</v>
      </c>
      <c r="G2" s="234" t="s">
        <v>1289</v>
      </c>
      <c r="H2" s="234" t="s">
        <v>1290</v>
      </c>
      <c r="I2" s="234" t="s">
        <v>1291</v>
      </c>
      <c r="J2" s="234" t="s">
        <v>1292</v>
      </c>
      <c r="K2" s="234" t="s">
        <v>1293</v>
      </c>
      <c r="L2" s="234" t="s">
        <v>1294</v>
      </c>
      <c r="M2" s="234" t="s">
        <v>1295</v>
      </c>
      <c r="N2" s="234" t="s">
        <v>1296</v>
      </c>
      <c r="O2" s="234"/>
      <c r="P2" s="234"/>
      <c r="Q2" s="234"/>
      <c r="R2" s="234"/>
      <c r="S2" s="234"/>
      <c r="T2" s="234"/>
      <c r="U2" s="234"/>
      <c r="V2" s="234"/>
      <c r="W2" s="234"/>
      <c r="X2" s="234"/>
      <c r="Y2" s="234"/>
    </row>
    <row r="3">
      <c r="A3" s="278" t="s">
        <v>56</v>
      </c>
      <c r="B3" s="278" t="s">
        <v>55</v>
      </c>
      <c r="C3" s="302">
        <v>0.0</v>
      </c>
      <c r="D3" s="302">
        <v>2.2959516E7</v>
      </c>
      <c r="E3" s="302">
        <v>0.0</v>
      </c>
      <c r="F3" s="302">
        <v>0.0</v>
      </c>
      <c r="G3" s="302">
        <v>0.0</v>
      </c>
      <c r="H3" s="302">
        <v>0.0</v>
      </c>
      <c r="I3" s="302">
        <v>0.0</v>
      </c>
      <c r="J3" s="302">
        <v>0.0</v>
      </c>
      <c r="K3" s="302">
        <v>0.0</v>
      </c>
      <c r="L3" s="302">
        <v>4.0</v>
      </c>
      <c r="M3" s="278">
        <v>1.0</v>
      </c>
      <c r="N3" s="278" t="s">
        <v>1297</v>
      </c>
      <c r="O3" s="278"/>
      <c r="P3" s="136"/>
      <c r="Q3" s="136"/>
      <c r="R3" s="136"/>
      <c r="S3" s="136"/>
      <c r="T3" s="136"/>
      <c r="U3" s="136"/>
      <c r="V3" s="136"/>
      <c r="W3" s="136"/>
      <c r="X3" s="136"/>
    </row>
    <row r="4">
      <c r="A4" s="278" t="s">
        <v>79</v>
      </c>
      <c r="B4" s="278" t="s">
        <v>78</v>
      </c>
      <c r="C4" s="302">
        <v>1.0</v>
      </c>
      <c r="D4" s="302">
        <v>1.7997367E7</v>
      </c>
      <c r="E4" s="302">
        <v>0.0</v>
      </c>
      <c r="F4" s="302">
        <v>1.0</v>
      </c>
      <c r="G4" s="302">
        <v>0.0</v>
      </c>
      <c r="H4" s="302">
        <v>0.0</v>
      </c>
      <c r="I4" s="302">
        <v>0.0</v>
      </c>
      <c r="J4" s="302">
        <v>0.0</v>
      </c>
      <c r="K4" s="302">
        <v>1.0</v>
      </c>
      <c r="L4" s="302">
        <v>6.0</v>
      </c>
      <c r="M4" s="278">
        <v>0.0</v>
      </c>
      <c r="N4" s="278" t="s">
        <v>1297</v>
      </c>
      <c r="O4" s="278"/>
      <c r="P4" s="136"/>
      <c r="Q4" s="136"/>
      <c r="R4" s="136"/>
      <c r="S4" s="136"/>
      <c r="T4" s="136"/>
      <c r="U4" s="136"/>
      <c r="V4" s="136"/>
      <c r="W4" s="136"/>
      <c r="X4" s="136"/>
    </row>
    <row r="5">
      <c r="A5" s="278" t="s">
        <v>127</v>
      </c>
      <c r="B5" s="278" t="s">
        <v>126</v>
      </c>
      <c r="C5" s="302">
        <v>0.0</v>
      </c>
      <c r="D5" s="302">
        <v>3715522.0</v>
      </c>
      <c r="E5" s="302">
        <v>0.0</v>
      </c>
      <c r="F5" s="302">
        <v>0.0</v>
      </c>
      <c r="G5" s="302">
        <v>0.0</v>
      </c>
      <c r="H5" s="302">
        <v>0.0</v>
      </c>
      <c r="I5" s="302">
        <v>0.0</v>
      </c>
      <c r="J5" s="302">
        <v>0.0</v>
      </c>
      <c r="K5" s="302">
        <v>0.0</v>
      </c>
      <c r="L5" s="302">
        <v>2.0</v>
      </c>
      <c r="M5" s="278">
        <v>1.0</v>
      </c>
      <c r="N5" s="278" t="s">
        <v>1297</v>
      </c>
      <c r="O5" s="278"/>
      <c r="P5" s="136"/>
      <c r="Q5" s="136"/>
      <c r="R5" s="136"/>
      <c r="S5" s="136"/>
      <c r="T5" s="136"/>
      <c r="U5" s="136"/>
      <c r="V5" s="136"/>
      <c r="W5" s="136"/>
      <c r="X5" s="136"/>
    </row>
    <row r="6">
      <c r="A6" s="278" t="s">
        <v>139</v>
      </c>
      <c r="B6" s="278" t="s">
        <v>138</v>
      </c>
      <c r="C6" s="302">
        <v>2.0</v>
      </c>
      <c r="D6" s="302">
        <v>1.24937259E8</v>
      </c>
      <c r="E6" s="302">
        <v>2.0</v>
      </c>
      <c r="F6" s="302">
        <v>0.0</v>
      </c>
      <c r="G6" s="302">
        <v>0.0</v>
      </c>
      <c r="H6" s="302">
        <v>0.0</v>
      </c>
      <c r="I6" s="302">
        <v>2.0</v>
      </c>
      <c r="J6" s="302">
        <v>0.0</v>
      </c>
      <c r="K6" s="302">
        <v>0.0</v>
      </c>
      <c r="L6" s="302">
        <v>12.0</v>
      </c>
      <c r="M6" s="278">
        <v>2.0</v>
      </c>
      <c r="N6" s="278" t="s">
        <v>1297</v>
      </c>
      <c r="O6" s="278"/>
      <c r="P6" s="136"/>
      <c r="Q6" s="136"/>
      <c r="R6" s="136"/>
      <c r="S6" s="136"/>
      <c r="T6" s="136"/>
      <c r="U6" s="136"/>
      <c r="V6" s="136"/>
      <c r="W6" s="136"/>
      <c r="X6" s="136"/>
    </row>
    <row r="7">
      <c r="A7" s="278" t="s">
        <v>161</v>
      </c>
      <c r="B7" s="278" t="s">
        <v>160</v>
      </c>
      <c r="C7" s="302">
        <v>1.0</v>
      </c>
      <c r="D7" s="302">
        <v>2412778.0</v>
      </c>
      <c r="E7" s="302">
        <v>0.0</v>
      </c>
      <c r="F7" s="302">
        <v>1.0</v>
      </c>
      <c r="G7" s="302">
        <v>0.0</v>
      </c>
      <c r="H7" s="302">
        <v>0.0</v>
      </c>
      <c r="I7" s="302">
        <v>0.0</v>
      </c>
      <c r="J7" s="302">
        <v>0.0</v>
      </c>
      <c r="K7" s="302">
        <v>1.0</v>
      </c>
      <c r="L7" s="302">
        <v>3.0</v>
      </c>
      <c r="M7" s="278">
        <v>0.0</v>
      </c>
      <c r="N7" s="278" t="s">
        <v>1297</v>
      </c>
      <c r="O7" s="278"/>
      <c r="P7" s="136"/>
      <c r="Q7" s="136"/>
      <c r="R7" s="136"/>
      <c r="S7" s="136"/>
      <c r="T7" s="136"/>
      <c r="U7" s="136"/>
      <c r="V7" s="136"/>
      <c r="W7" s="136"/>
      <c r="X7" s="136"/>
    </row>
    <row r="8">
      <c r="A8" s="278" t="s">
        <v>174</v>
      </c>
      <c r="B8" s="278" t="s">
        <v>173</v>
      </c>
      <c r="C8" s="302">
        <v>2.0</v>
      </c>
      <c r="D8" s="302">
        <v>1.4023588E7</v>
      </c>
      <c r="E8" s="302">
        <v>1.0</v>
      </c>
      <c r="F8" s="302">
        <v>0.0</v>
      </c>
      <c r="G8" s="302">
        <v>1.0</v>
      </c>
      <c r="H8" s="302">
        <v>0.0</v>
      </c>
      <c r="I8" s="302">
        <v>2.0</v>
      </c>
      <c r="J8" s="302">
        <v>0.0</v>
      </c>
      <c r="K8" s="302">
        <v>0.0</v>
      </c>
      <c r="L8" s="302">
        <v>5.0</v>
      </c>
      <c r="M8" s="278">
        <v>2.0</v>
      </c>
      <c r="N8" s="278" t="s">
        <v>1297</v>
      </c>
      <c r="O8" s="278"/>
      <c r="P8" s="136"/>
      <c r="Q8" s="136"/>
      <c r="R8" s="136"/>
      <c r="S8" s="136"/>
      <c r="T8" s="136"/>
      <c r="U8" s="136"/>
      <c r="V8" s="136"/>
      <c r="W8" s="136"/>
      <c r="X8" s="136"/>
    </row>
    <row r="9">
      <c r="A9" s="278" t="s">
        <v>211</v>
      </c>
      <c r="B9" s="278" t="s">
        <v>210</v>
      </c>
      <c r="C9" s="302">
        <v>2.0</v>
      </c>
      <c r="D9" s="302">
        <v>4798604.0</v>
      </c>
      <c r="E9" s="302">
        <v>2.0</v>
      </c>
      <c r="F9" s="302">
        <v>0.0</v>
      </c>
      <c r="G9" s="302">
        <v>0.0</v>
      </c>
      <c r="H9" s="302">
        <v>0.0</v>
      </c>
      <c r="I9" s="302">
        <v>0.0</v>
      </c>
      <c r="J9" s="302">
        <v>0.0</v>
      </c>
      <c r="K9" s="302">
        <v>2.0</v>
      </c>
      <c r="L9" s="302">
        <v>3.0</v>
      </c>
      <c r="M9" s="278">
        <v>0.0</v>
      </c>
      <c r="N9" s="278" t="s">
        <v>1297</v>
      </c>
      <c r="O9" s="278"/>
      <c r="P9" s="136"/>
      <c r="Q9" s="136"/>
      <c r="R9" s="136"/>
      <c r="S9" s="136"/>
      <c r="T9" s="136"/>
      <c r="U9" s="136"/>
      <c r="V9" s="136"/>
      <c r="W9" s="136"/>
      <c r="X9" s="136"/>
    </row>
    <row r="10">
      <c r="A10" s="278" t="s">
        <v>259</v>
      </c>
      <c r="B10" s="278" t="s">
        <v>258</v>
      </c>
      <c r="C10" s="302">
        <v>5.0</v>
      </c>
      <c r="D10" s="302">
        <v>1.7536231E7</v>
      </c>
      <c r="E10" s="302">
        <v>3.0</v>
      </c>
      <c r="F10" s="302">
        <v>0.0</v>
      </c>
      <c r="G10" s="302">
        <v>2.0</v>
      </c>
      <c r="H10" s="302">
        <v>0.0</v>
      </c>
      <c r="I10" s="302">
        <v>3.0</v>
      </c>
      <c r="J10" s="302">
        <v>0.0</v>
      </c>
      <c r="K10" s="302">
        <v>2.0</v>
      </c>
      <c r="L10" s="302">
        <v>6.0</v>
      </c>
      <c r="M10" s="278">
        <v>1.0</v>
      </c>
      <c r="N10" s="278" t="s">
        <v>1297</v>
      </c>
      <c r="O10" s="278"/>
      <c r="P10" s="136"/>
      <c r="Q10" s="136"/>
      <c r="R10" s="136"/>
      <c r="S10" s="136"/>
      <c r="T10" s="136"/>
      <c r="U10" s="136"/>
      <c r="V10" s="136"/>
      <c r="W10" s="136"/>
      <c r="X10" s="136"/>
    </row>
    <row r="11">
      <c r="A11" s="278" t="s">
        <v>281</v>
      </c>
      <c r="B11" s="278" t="s">
        <v>280</v>
      </c>
      <c r="C11" s="302">
        <v>1.0</v>
      </c>
      <c r="D11" s="302">
        <v>1.786503E7</v>
      </c>
      <c r="E11" s="302">
        <v>0.0</v>
      </c>
      <c r="F11" s="302">
        <v>0.0</v>
      </c>
      <c r="G11" s="302">
        <v>1.0</v>
      </c>
      <c r="H11" s="302">
        <v>0.0</v>
      </c>
      <c r="I11" s="302">
        <v>1.0</v>
      </c>
      <c r="J11" s="302">
        <v>0.0</v>
      </c>
      <c r="K11" s="302">
        <v>0.0</v>
      </c>
      <c r="L11" s="302">
        <v>4.0</v>
      </c>
      <c r="M11" s="278">
        <v>1.0</v>
      </c>
      <c r="N11" s="278" t="s">
        <v>1297</v>
      </c>
      <c r="O11" s="278"/>
      <c r="P11" s="136"/>
      <c r="Q11" s="136"/>
      <c r="R11" s="136"/>
      <c r="S11" s="136"/>
      <c r="T11" s="136"/>
      <c r="U11" s="136"/>
      <c r="V11" s="136"/>
      <c r="W11" s="136"/>
      <c r="X11" s="136"/>
    </row>
    <row r="12">
      <c r="A12" s="278" t="s">
        <v>292</v>
      </c>
      <c r="B12" s="278" t="s">
        <v>291</v>
      </c>
      <c r="C12" s="302">
        <v>1.0</v>
      </c>
      <c r="D12" s="302">
        <v>4.7486909E7</v>
      </c>
      <c r="E12" s="302">
        <v>0.0</v>
      </c>
      <c r="F12" s="302">
        <v>0.0</v>
      </c>
      <c r="G12" s="302">
        <v>1.0</v>
      </c>
      <c r="H12" s="302">
        <v>0.0</v>
      </c>
      <c r="I12" s="302">
        <v>0.0</v>
      </c>
      <c r="J12" s="302">
        <v>0.0</v>
      </c>
      <c r="K12" s="302">
        <v>1.0</v>
      </c>
      <c r="L12" s="302">
        <v>12.0</v>
      </c>
      <c r="M12" s="278">
        <v>0.0</v>
      </c>
      <c r="N12" s="278" t="s">
        <v>1297</v>
      </c>
      <c r="O12" s="278"/>
      <c r="P12" s="136"/>
      <c r="Q12" s="136"/>
      <c r="R12" s="136"/>
      <c r="S12" s="136"/>
      <c r="T12" s="136"/>
      <c r="U12" s="136"/>
      <c r="V12" s="136"/>
      <c r="W12" s="136"/>
      <c r="X12" s="136"/>
    </row>
    <row r="13">
      <c r="A13" s="278" t="s">
        <v>324</v>
      </c>
      <c r="B13" s="278" t="s">
        <v>323</v>
      </c>
      <c r="C13" s="302">
        <v>1.0</v>
      </c>
      <c r="D13" s="302">
        <v>6.6455898E7</v>
      </c>
      <c r="E13" s="302">
        <v>0.0</v>
      </c>
      <c r="F13" s="302">
        <v>0.0</v>
      </c>
      <c r="G13" s="302">
        <v>1.0</v>
      </c>
      <c r="H13" s="302">
        <v>0.0</v>
      </c>
      <c r="I13" s="302">
        <v>1.0</v>
      </c>
      <c r="J13" s="302">
        <v>0.0</v>
      </c>
      <c r="K13" s="302">
        <v>0.0</v>
      </c>
      <c r="L13" s="302">
        <v>2.0</v>
      </c>
      <c r="M13" s="278">
        <v>0.0</v>
      </c>
      <c r="N13" s="278" t="s">
        <v>1297</v>
      </c>
      <c r="O13" s="278"/>
      <c r="P13" s="136"/>
      <c r="Q13" s="136"/>
      <c r="R13" s="136"/>
      <c r="S13" s="136"/>
      <c r="T13" s="136"/>
      <c r="U13" s="136"/>
      <c r="V13" s="136"/>
      <c r="W13" s="136"/>
      <c r="X13" s="136"/>
    </row>
    <row r="14">
      <c r="A14" s="278" t="s">
        <v>331</v>
      </c>
      <c r="B14" s="278" t="s">
        <v>330</v>
      </c>
      <c r="C14" s="302">
        <v>1.0</v>
      </c>
      <c r="D14" s="302">
        <v>1.6488132E7</v>
      </c>
      <c r="E14" s="302">
        <v>0.0</v>
      </c>
      <c r="F14" s="302">
        <v>1.0</v>
      </c>
      <c r="G14" s="302">
        <v>0.0</v>
      </c>
      <c r="H14" s="302">
        <v>0.0</v>
      </c>
      <c r="I14" s="302">
        <v>1.0</v>
      </c>
      <c r="J14" s="302">
        <v>0.0</v>
      </c>
      <c r="K14" s="302">
        <v>0.0</v>
      </c>
      <c r="L14" s="302">
        <v>7.0</v>
      </c>
      <c r="M14" s="278">
        <v>0.0</v>
      </c>
      <c r="N14" s="278" t="s">
        <v>1297</v>
      </c>
      <c r="O14" s="278"/>
      <c r="P14" s="136"/>
      <c r="Q14" s="136"/>
      <c r="R14" s="136"/>
      <c r="S14" s="136"/>
      <c r="T14" s="136"/>
      <c r="U14" s="136"/>
      <c r="V14" s="136"/>
      <c r="W14" s="136"/>
      <c r="X14" s="136"/>
    </row>
    <row r="15">
      <c r="A15" s="278" t="s">
        <v>359</v>
      </c>
      <c r="B15" s="278" t="s">
        <v>358</v>
      </c>
      <c r="C15" s="302">
        <v>1.0</v>
      </c>
      <c r="D15" s="302">
        <v>120000.0</v>
      </c>
      <c r="E15" s="302">
        <v>0.0</v>
      </c>
      <c r="F15" s="302">
        <v>0.0</v>
      </c>
      <c r="G15" s="302">
        <v>1.0</v>
      </c>
      <c r="H15" s="302">
        <v>0.0</v>
      </c>
      <c r="I15" s="302">
        <v>0.0</v>
      </c>
      <c r="J15" s="302">
        <v>1.0</v>
      </c>
      <c r="K15" s="302">
        <v>0.0</v>
      </c>
      <c r="L15" s="302">
        <v>3.0</v>
      </c>
      <c r="M15" s="278">
        <v>0.0</v>
      </c>
      <c r="N15" s="278" t="s">
        <v>1298</v>
      </c>
      <c r="O15" s="278"/>
      <c r="P15" s="136"/>
      <c r="Q15" s="136"/>
      <c r="R15" s="136"/>
      <c r="S15" s="136"/>
      <c r="T15" s="136"/>
      <c r="U15" s="136"/>
      <c r="V15" s="136"/>
      <c r="W15" s="136"/>
      <c r="X15" s="136"/>
    </row>
    <row r="16">
      <c r="A16" s="278" t="s">
        <v>394</v>
      </c>
      <c r="B16" s="278" t="s">
        <v>393</v>
      </c>
      <c r="C16" s="302">
        <v>0.0</v>
      </c>
      <c r="D16" s="302">
        <v>1.425849288E9</v>
      </c>
      <c r="E16" s="302">
        <v>0.0</v>
      </c>
      <c r="F16" s="302">
        <v>0.0</v>
      </c>
      <c r="G16" s="302">
        <v>0.0</v>
      </c>
      <c r="H16" s="302">
        <v>0.0</v>
      </c>
      <c r="I16" s="302">
        <v>0.0</v>
      </c>
      <c r="J16" s="302">
        <v>0.0</v>
      </c>
      <c r="K16" s="302">
        <v>0.0</v>
      </c>
      <c r="L16" s="302">
        <v>4.0</v>
      </c>
      <c r="M16" s="278">
        <v>4.0</v>
      </c>
      <c r="N16" s="278" t="s">
        <v>1298</v>
      </c>
      <c r="O16" s="278"/>
      <c r="P16" s="136"/>
      <c r="Q16" s="136"/>
      <c r="R16" s="136"/>
      <c r="S16" s="136"/>
      <c r="T16" s="136"/>
      <c r="U16" s="136"/>
      <c r="V16" s="136"/>
      <c r="W16" s="136"/>
      <c r="X16" s="136"/>
    </row>
    <row r="17">
      <c r="A17" s="278" t="s">
        <v>403</v>
      </c>
      <c r="B17" s="278" t="s">
        <v>402</v>
      </c>
      <c r="C17" s="302">
        <v>0.0</v>
      </c>
      <c r="D17" s="302">
        <v>2.6116716E7</v>
      </c>
      <c r="E17" s="302">
        <v>0.0</v>
      </c>
      <c r="F17" s="302">
        <v>0.0</v>
      </c>
      <c r="G17" s="302">
        <v>0.0</v>
      </c>
      <c r="H17" s="302">
        <v>0.0</v>
      </c>
      <c r="I17" s="302">
        <v>0.0</v>
      </c>
      <c r="J17" s="302">
        <v>0.0</v>
      </c>
      <c r="K17" s="302">
        <v>0.0</v>
      </c>
      <c r="L17" s="302">
        <v>3.0</v>
      </c>
      <c r="M17" s="278">
        <v>3.0</v>
      </c>
      <c r="N17" s="278" t="s">
        <v>1298</v>
      </c>
      <c r="O17" s="278"/>
      <c r="P17" s="136"/>
      <c r="Q17" s="136"/>
      <c r="R17" s="136"/>
      <c r="S17" s="136"/>
      <c r="T17" s="136"/>
      <c r="U17" s="136"/>
      <c r="V17" s="136"/>
      <c r="W17" s="136"/>
      <c r="X17" s="136"/>
    </row>
    <row r="18">
      <c r="A18" s="278" t="s">
        <v>417</v>
      </c>
      <c r="B18" s="278" t="s">
        <v>416</v>
      </c>
      <c r="C18" s="302">
        <v>11.0</v>
      </c>
      <c r="D18" s="302">
        <v>1.422026528E9</v>
      </c>
      <c r="E18" s="302">
        <v>8.0</v>
      </c>
      <c r="F18" s="302">
        <v>0.0</v>
      </c>
      <c r="G18" s="302">
        <v>3.0</v>
      </c>
      <c r="H18" s="302">
        <v>0.0</v>
      </c>
      <c r="I18" s="302">
        <v>1.0</v>
      </c>
      <c r="J18" s="302">
        <v>10.0</v>
      </c>
      <c r="K18" s="302">
        <v>0.0</v>
      </c>
      <c r="L18" s="302">
        <v>113.0</v>
      </c>
      <c r="M18" s="278">
        <v>2.0</v>
      </c>
      <c r="N18" s="278" t="s">
        <v>1298</v>
      </c>
      <c r="O18" s="278"/>
      <c r="P18" s="136"/>
      <c r="Q18" s="136"/>
      <c r="R18" s="136"/>
      <c r="S18" s="136"/>
      <c r="T18" s="136"/>
      <c r="U18" s="136"/>
      <c r="V18" s="136"/>
      <c r="W18" s="136"/>
      <c r="X18" s="136"/>
    </row>
    <row r="19">
      <c r="A19" s="278" t="s">
        <v>523</v>
      </c>
      <c r="B19" s="278" t="s">
        <v>522</v>
      </c>
      <c r="C19" s="302">
        <v>29.0</v>
      </c>
      <c r="D19" s="302">
        <v>8.8844498E7</v>
      </c>
      <c r="E19" s="302">
        <v>29.0</v>
      </c>
      <c r="F19" s="302">
        <v>0.0</v>
      </c>
      <c r="G19" s="302">
        <v>0.0</v>
      </c>
      <c r="H19" s="302">
        <v>0.0</v>
      </c>
      <c r="I19" s="302">
        <v>0.0</v>
      </c>
      <c r="J19" s="302">
        <v>27.0</v>
      </c>
      <c r="K19" s="302">
        <v>2.0</v>
      </c>
      <c r="L19" s="302">
        <v>56.0</v>
      </c>
      <c r="M19" s="278">
        <v>5.0</v>
      </c>
      <c r="N19" s="278" t="s">
        <v>1298</v>
      </c>
      <c r="O19" s="278"/>
      <c r="P19" s="136"/>
      <c r="Q19" s="136"/>
      <c r="R19" s="136"/>
      <c r="S19" s="136"/>
      <c r="T19" s="136"/>
      <c r="U19" s="136"/>
      <c r="V19" s="136"/>
      <c r="W19" s="136"/>
      <c r="X19" s="136"/>
    </row>
    <row r="20">
      <c r="A20" s="278" t="s">
        <v>590</v>
      </c>
      <c r="B20" s="278" t="s">
        <v>589</v>
      </c>
      <c r="C20" s="302">
        <v>1.0</v>
      </c>
      <c r="D20" s="302">
        <v>4.4996074E7</v>
      </c>
      <c r="E20" s="302">
        <v>0.0</v>
      </c>
      <c r="F20" s="302">
        <v>0.0</v>
      </c>
      <c r="G20" s="302">
        <v>0.0</v>
      </c>
      <c r="H20" s="302">
        <v>1.0</v>
      </c>
      <c r="I20" s="302">
        <v>1.0</v>
      </c>
      <c r="J20" s="302">
        <v>0.0</v>
      </c>
      <c r="K20" s="302">
        <v>0.0</v>
      </c>
      <c r="L20" s="302">
        <v>7.0</v>
      </c>
      <c r="M20" s="278">
        <v>1.0</v>
      </c>
      <c r="N20" s="278" t="s">
        <v>1298</v>
      </c>
      <c r="O20" s="278"/>
      <c r="P20" s="136"/>
      <c r="Q20" s="136"/>
      <c r="R20" s="136"/>
      <c r="S20" s="136"/>
      <c r="T20" s="136"/>
      <c r="U20" s="136"/>
      <c r="V20" s="136"/>
      <c r="W20" s="136"/>
      <c r="X20" s="136"/>
    </row>
    <row r="21">
      <c r="A21" s="278" t="s">
        <v>604</v>
      </c>
      <c r="B21" s="278" t="s">
        <v>603</v>
      </c>
      <c r="C21" s="302">
        <v>4.0</v>
      </c>
      <c r="D21" s="302">
        <v>1.360632E7</v>
      </c>
      <c r="E21" s="302">
        <v>0.0</v>
      </c>
      <c r="F21" s="302">
        <v>0.0</v>
      </c>
      <c r="G21" s="302">
        <v>4.0</v>
      </c>
      <c r="H21" s="302">
        <v>0.0</v>
      </c>
      <c r="I21" s="302">
        <v>0.0</v>
      </c>
      <c r="J21" s="302">
        <v>4.0</v>
      </c>
      <c r="K21" s="302">
        <v>0.0</v>
      </c>
      <c r="L21" s="302">
        <v>328.0</v>
      </c>
      <c r="M21" s="278">
        <v>0.0</v>
      </c>
      <c r="N21" s="278" t="s">
        <v>1298</v>
      </c>
      <c r="O21" s="278"/>
      <c r="P21" s="136"/>
      <c r="Q21" s="136"/>
      <c r="R21" s="136"/>
      <c r="S21" s="136"/>
      <c r="T21" s="136"/>
      <c r="U21" s="136"/>
      <c r="V21" s="136"/>
      <c r="W21" s="136"/>
      <c r="X21" s="136"/>
    </row>
    <row r="22">
      <c r="A22" s="278" t="s">
        <v>642</v>
      </c>
      <c r="B22" s="278" t="s">
        <v>641</v>
      </c>
      <c r="C22" s="302">
        <v>0.0</v>
      </c>
      <c r="D22" s="302">
        <v>1.1315547E7</v>
      </c>
      <c r="E22" s="302">
        <v>0.0</v>
      </c>
      <c r="F22" s="302">
        <v>0.0</v>
      </c>
      <c r="G22" s="302">
        <v>0.0</v>
      </c>
      <c r="H22" s="302">
        <v>0.0</v>
      </c>
      <c r="I22" s="302">
        <v>0.0</v>
      </c>
      <c r="J22" s="302">
        <v>0.0</v>
      </c>
      <c r="K22" s="302">
        <v>0.0</v>
      </c>
      <c r="L22" s="302">
        <v>5.0</v>
      </c>
      <c r="M22" s="278">
        <v>1.0</v>
      </c>
      <c r="N22" s="278" t="s">
        <v>1298</v>
      </c>
      <c r="O22" s="278"/>
      <c r="P22" s="136"/>
      <c r="Q22" s="136"/>
      <c r="R22" s="136"/>
      <c r="S22" s="136"/>
      <c r="T22" s="136"/>
      <c r="U22" s="136"/>
      <c r="V22" s="136"/>
      <c r="W22" s="136"/>
      <c r="X22" s="136"/>
    </row>
    <row r="23">
      <c r="A23" s="278" t="s">
        <v>681</v>
      </c>
      <c r="B23" s="278" t="s">
        <v>680</v>
      </c>
      <c r="C23" s="302">
        <v>0.0</v>
      </c>
      <c r="D23" s="302">
        <v>5.4380868E7</v>
      </c>
      <c r="E23" s="302">
        <v>0.0</v>
      </c>
      <c r="F23" s="302">
        <v>0.0</v>
      </c>
      <c r="G23" s="302">
        <v>0.0</v>
      </c>
      <c r="H23" s="302">
        <v>0.0</v>
      </c>
      <c r="I23" s="302">
        <v>0.0</v>
      </c>
      <c r="J23" s="302">
        <v>0.0</v>
      </c>
      <c r="K23" s="302">
        <v>0.0</v>
      </c>
      <c r="L23" s="302">
        <v>6.0</v>
      </c>
      <c r="M23" s="278">
        <v>2.0</v>
      </c>
      <c r="N23" s="278" t="s">
        <v>1298</v>
      </c>
      <c r="O23" s="278"/>
      <c r="P23" s="136"/>
      <c r="Q23" s="136"/>
      <c r="R23" s="136"/>
      <c r="S23" s="136"/>
      <c r="T23" s="136"/>
      <c r="U23" s="136"/>
      <c r="V23" s="136"/>
      <c r="W23" s="136"/>
      <c r="X23" s="136"/>
    </row>
    <row r="24">
      <c r="A24" s="278" t="s">
        <v>697</v>
      </c>
      <c r="B24" s="278" t="s">
        <v>696</v>
      </c>
      <c r="C24" s="302">
        <v>0.0</v>
      </c>
      <c r="D24" s="302">
        <v>4609315.0</v>
      </c>
      <c r="E24" s="302">
        <v>0.0</v>
      </c>
      <c r="F24" s="302">
        <v>0.0</v>
      </c>
      <c r="G24" s="302">
        <v>0.0</v>
      </c>
      <c r="H24" s="302">
        <v>0.0</v>
      </c>
      <c r="I24" s="302">
        <v>0.0</v>
      </c>
      <c r="J24" s="302">
        <v>0.0</v>
      </c>
      <c r="K24" s="302">
        <v>0.0</v>
      </c>
      <c r="L24" s="302">
        <v>3.0</v>
      </c>
      <c r="M24" s="278">
        <v>3.0</v>
      </c>
      <c r="N24" s="278" t="s">
        <v>1298</v>
      </c>
      <c r="O24" s="278"/>
      <c r="P24" s="136"/>
      <c r="Q24" s="136"/>
      <c r="R24" s="136"/>
      <c r="S24" s="136"/>
      <c r="T24" s="136"/>
      <c r="U24" s="136"/>
      <c r="V24" s="136"/>
      <c r="W24" s="136"/>
      <c r="X24" s="136"/>
    </row>
    <row r="25">
      <c r="A25" s="278" t="s">
        <v>704</v>
      </c>
      <c r="B25" s="278" t="s">
        <v>703</v>
      </c>
      <c r="C25" s="302">
        <v>4.0</v>
      </c>
      <c r="D25" s="302">
        <v>2.38126113E8</v>
      </c>
      <c r="E25" s="302">
        <v>0.0</v>
      </c>
      <c r="F25" s="302">
        <v>0.0</v>
      </c>
      <c r="G25" s="302">
        <v>4.0</v>
      </c>
      <c r="H25" s="302">
        <v>0.0</v>
      </c>
      <c r="I25" s="302">
        <v>3.0</v>
      </c>
      <c r="J25" s="302">
        <v>0.0</v>
      </c>
      <c r="K25" s="302">
        <v>1.0</v>
      </c>
      <c r="L25" s="302">
        <v>17.0</v>
      </c>
      <c r="M25" s="278">
        <v>2.0</v>
      </c>
      <c r="N25" s="278" t="s">
        <v>1298</v>
      </c>
      <c r="O25" s="278"/>
      <c r="P25" s="136"/>
      <c r="Q25" s="136"/>
      <c r="R25" s="136"/>
      <c r="S25" s="136"/>
      <c r="T25" s="136"/>
      <c r="U25" s="136"/>
      <c r="V25" s="136"/>
      <c r="W25" s="136"/>
      <c r="X25" s="136"/>
    </row>
    <row r="26">
      <c r="A26" s="278" t="s">
        <v>755</v>
      </c>
      <c r="B26" s="278" t="s">
        <v>754</v>
      </c>
      <c r="C26" s="302">
        <v>0.0</v>
      </c>
      <c r="D26" s="302">
        <v>2705914.0</v>
      </c>
      <c r="E26" s="302">
        <v>0.0</v>
      </c>
      <c r="F26" s="302">
        <v>0.0</v>
      </c>
      <c r="G26" s="302">
        <v>0.0</v>
      </c>
      <c r="H26" s="302">
        <v>0.0</v>
      </c>
      <c r="I26" s="302">
        <v>0.0</v>
      </c>
      <c r="J26" s="302">
        <v>0.0</v>
      </c>
      <c r="K26" s="302">
        <v>0.0</v>
      </c>
      <c r="L26" s="302">
        <v>1.0</v>
      </c>
      <c r="M26" s="278">
        <v>1.0</v>
      </c>
      <c r="N26" s="278" t="s">
        <v>1298</v>
      </c>
      <c r="O26" s="278"/>
      <c r="P26" s="136"/>
      <c r="Q26" s="136"/>
      <c r="R26" s="136"/>
      <c r="S26" s="136"/>
      <c r="T26" s="136"/>
      <c r="U26" s="136"/>
      <c r="V26" s="136"/>
      <c r="W26" s="136"/>
      <c r="X26" s="136"/>
    </row>
    <row r="27">
      <c r="A27" s="278" t="s">
        <v>794</v>
      </c>
      <c r="B27" s="278" t="s">
        <v>793</v>
      </c>
      <c r="C27" s="302">
        <v>0.0</v>
      </c>
      <c r="D27" s="302">
        <v>7.1753808E7</v>
      </c>
      <c r="E27" s="302">
        <v>0.0</v>
      </c>
      <c r="F27" s="302">
        <v>0.0</v>
      </c>
      <c r="G27" s="302">
        <v>0.0</v>
      </c>
      <c r="H27" s="302">
        <v>0.0</v>
      </c>
      <c r="I27" s="302">
        <v>0.0</v>
      </c>
      <c r="J27" s="302">
        <v>0.0</v>
      </c>
      <c r="K27" s="302">
        <v>0.0</v>
      </c>
      <c r="L27" s="302">
        <v>1.0</v>
      </c>
      <c r="M27" s="278">
        <v>1.0</v>
      </c>
      <c r="N27" s="278" t="s">
        <v>1298</v>
      </c>
      <c r="O27" s="278"/>
      <c r="P27" s="136"/>
      <c r="Q27" s="136"/>
      <c r="R27" s="136"/>
      <c r="S27" s="136"/>
      <c r="T27" s="136"/>
      <c r="U27" s="136"/>
      <c r="V27" s="136"/>
      <c r="W27" s="136"/>
      <c r="X27" s="136"/>
    </row>
    <row r="28">
      <c r="A28" s="278" t="s">
        <v>799</v>
      </c>
      <c r="B28" s="278" t="s">
        <v>798</v>
      </c>
      <c r="C28" s="302">
        <v>2.0</v>
      </c>
      <c r="D28" s="302">
        <v>8.5590849E7</v>
      </c>
      <c r="E28" s="302">
        <v>0.0</v>
      </c>
      <c r="F28" s="302">
        <v>1.0</v>
      </c>
      <c r="G28" s="302">
        <v>1.0</v>
      </c>
      <c r="H28" s="302">
        <v>0.0</v>
      </c>
      <c r="I28" s="302">
        <v>2.0</v>
      </c>
      <c r="J28" s="302">
        <v>0.0</v>
      </c>
      <c r="K28" s="302">
        <v>0.0</v>
      </c>
      <c r="L28" s="302">
        <v>12.0</v>
      </c>
      <c r="M28" s="278">
        <v>1.0</v>
      </c>
      <c r="N28" s="278" t="s">
        <v>1298</v>
      </c>
      <c r="O28" s="278"/>
      <c r="P28" s="136"/>
      <c r="Q28" s="136"/>
      <c r="R28" s="136"/>
      <c r="S28" s="136"/>
      <c r="T28" s="136"/>
      <c r="U28" s="136"/>
      <c r="V28" s="136"/>
      <c r="W28" s="136"/>
      <c r="X28" s="136"/>
    </row>
    <row r="29">
      <c r="A29" s="278" t="s">
        <v>825</v>
      </c>
      <c r="B29" s="278" t="s">
        <v>824</v>
      </c>
      <c r="C29" s="302">
        <v>0.0</v>
      </c>
      <c r="D29" s="302">
        <v>6474341.0</v>
      </c>
      <c r="E29" s="302">
        <v>0.0</v>
      </c>
      <c r="F29" s="302">
        <v>0.0</v>
      </c>
      <c r="G29" s="302">
        <v>0.0</v>
      </c>
      <c r="H29" s="302">
        <v>0.0</v>
      </c>
      <c r="I29" s="302">
        <v>0.0</v>
      </c>
      <c r="J29" s="302">
        <v>0.0</v>
      </c>
      <c r="K29" s="302">
        <v>0.0</v>
      </c>
      <c r="L29" s="302">
        <v>4.0</v>
      </c>
      <c r="M29" s="278">
        <v>4.0</v>
      </c>
      <c r="N29" s="278" t="s">
        <v>1298</v>
      </c>
      <c r="O29" s="278"/>
      <c r="P29" s="136"/>
      <c r="Q29" s="136"/>
      <c r="R29" s="136"/>
      <c r="S29" s="136"/>
      <c r="T29" s="136"/>
      <c r="U29" s="136"/>
      <c r="V29" s="136"/>
      <c r="W29" s="136"/>
      <c r="X29" s="136"/>
    </row>
    <row r="30">
      <c r="A30" s="278" t="s">
        <v>837</v>
      </c>
      <c r="B30" s="278" t="s">
        <v>1299</v>
      </c>
      <c r="C30" s="302">
        <v>0.0</v>
      </c>
      <c r="D30" s="302">
        <v>9478996.0</v>
      </c>
      <c r="E30" s="302">
        <v>0.0</v>
      </c>
      <c r="F30" s="302">
        <v>0.0</v>
      </c>
      <c r="G30" s="302">
        <v>0.0</v>
      </c>
      <c r="H30" s="302">
        <v>0.0</v>
      </c>
      <c r="I30" s="302">
        <v>0.0</v>
      </c>
      <c r="J30" s="302">
        <v>0.0</v>
      </c>
      <c r="K30" s="302">
        <v>0.0</v>
      </c>
      <c r="L30" s="302">
        <v>2.0</v>
      </c>
      <c r="M30" s="278">
        <v>2.0</v>
      </c>
      <c r="N30" s="278" t="s">
        <v>1298</v>
      </c>
      <c r="O30" s="278"/>
      <c r="P30" s="136"/>
      <c r="Q30" s="136"/>
      <c r="R30" s="136"/>
      <c r="S30" s="136"/>
      <c r="T30" s="136"/>
      <c r="U30" s="136"/>
      <c r="V30" s="136"/>
      <c r="W30" s="136"/>
      <c r="X30" s="136"/>
    </row>
    <row r="31">
      <c r="A31" s="278" t="s">
        <v>846</v>
      </c>
      <c r="B31" s="278" t="s">
        <v>845</v>
      </c>
      <c r="C31" s="302">
        <v>0.0</v>
      </c>
      <c r="D31" s="302">
        <v>3.4902257E7</v>
      </c>
      <c r="E31" s="302">
        <v>0.0</v>
      </c>
      <c r="F31" s="302">
        <v>0.0</v>
      </c>
      <c r="G31" s="302">
        <v>0.0</v>
      </c>
      <c r="H31" s="302">
        <v>0.0</v>
      </c>
      <c r="I31" s="302">
        <v>0.0</v>
      </c>
      <c r="J31" s="302">
        <v>0.0</v>
      </c>
      <c r="K31" s="302">
        <v>0.0</v>
      </c>
      <c r="L31" s="302">
        <v>6.0</v>
      </c>
      <c r="M31" s="278">
        <v>3.0</v>
      </c>
      <c r="N31" s="278" t="s">
        <v>1298</v>
      </c>
      <c r="O31" s="278"/>
      <c r="P31" s="136"/>
      <c r="Q31" s="136"/>
      <c r="R31" s="136"/>
      <c r="S31" s="136"/>
      <c r="T31" s="136"/>
      <c r="U31" s="136"/>
      <c r="V31" s="136"/>
      <c r="W31" s="136"/>
      <c r="X31" s="136"/>
    </row>
    <row r="32">
      <c r="A32" s="278" t="s">
        <v>861</v>
      </c>
      <c r="B32" s="278" t="s">
        <v>860</v>
      </c>
      <c r="C32" s="302">
        <v>3.0</v>
      </c>
      <c r="D32" s="302">
        <v>3.4070907E7</v>
      </c>
      <c r="E32" s="302">
        <v>0.0</v>
      </c>
      <c r="F32" s="302">
        <v>0.0</v>
      </c>
      <c r="G32" s="302">
        <v>3.0</v>
      </c>
      <c r="H32" s="302">
        <v>0.0</v>
      </c>
      <c r="I32" s="302">
        <v>2.0</v>
      </c>
      <c r="J32" s="302">
        <v>0.0</v>
      </c>
      <c r="K32" s="302">
        <v>1.0</v>
      </c>
      <c r="L32" s="302">
        <v>6.0</v>
      </c>
      <c r="M32" s="278">
        <v>3.0</v>
      </c>
      <c r="N32" s="278" t="s">
        <v>1298</v>
      </c>
      <c r="O32" s="278"/>
      <c r="P32" s="136"/>
      <c r="Q32" s="136"/>
      <c r="R32" s="136"/>
      <c r="S32" s="136"/>
      <c r="T32" s="136"/>
      <c r="U32" s="136"/>
      <c r="V32" s="136"/>
      <c r="W32" s="136"/>
      <c r="X32" s="136"/>
    </row>
    <row r="33">
      <c r="A33" s="278" t="s">
        <v>953</v>
      </c>
      <c r="B33" s="278" t="s">
        <v>952</v>
      </c>
      <c r="C33" s="302">
        <v>0.0</v>
      </c>
      <c r="D33" s="302">
        <v>1.44694112E8</v>
      </c>
      <c r="E33" s="302">
        <v>0.0</v>
      </c>
      <c r="F33" s="302">
        <v>0.0</v>
      </c>
      <c r="G33" s="302">
        <v>0.0</v>
      </c>
      <c r="H33" s="302">
        <v>0.0</v>
      </c>
      <c r="I33" s="302">
        <v>0.0</v>
      </c>
      <c r="J33" s="302">
        <v>0.0</v>
      </c>
      <c r="K33" s="302">
        <v>0.0</v>
      </c>
      <c r="L33" s="302">
        <v>9.0</v>
      </c>
      <c r="M33" s="278">
        <v>4.0</v>
      </c>
      <c r="N33" s="278" t="s">
        <v>1300</v>
      </c>
      <c r="O33" s="278"/>
      <c r="P33" s="136"/>
      <c r="Q33" s="136"/>
      <c r="R33" s="136"/>
      <c r="S33" s="136"/>
      <c r="T33" s="136"/>
      <c r="U33" s="136"/>
      <c r="V33" s="136"/>
      <c r="W33" s="136"/>
      <c r="X33" s="136"/>
    </row>
    <row r="34">
      <c r="A34" s="278" t="s">
        <v>986</v>
      </c>
      <c r="B34" s="278" t="s">
        <v>985</v>
      </c>
      <c r="C34" s="302">
        <v>0.0</v>
      </c>
      <c r="D34" s="302">
        <v>3.6069274E7</v>
      </c>
      <c r="E34" s="302">
        <v>0.0</v>
      </c>
      <c r="F34" s="302">
        <v>0.0</v>
      </c>
      <c r="G34" s="302">
        <v>0.0</v>
      </c>
      <c r="H34" s="302">
        <v>0.0</v>
      </c>
      <c r="I34" s="302">
        <v>0.0</v>
      </c>
      <c r="J34" s="302">
        <v>0.0</v>
      </c>
      <c r="K34" s="302">
        <v>0.0</v>
      </c>
      <c r="L34" s="302">
        <v>1.0</v>
      </c>
      <c r="M34" s="278">
        <v>1.0</v>
      </c>
      <c r="N34" s="278" t="s">
        <v>1300</v>
      </c>
      <c r="O34" s="278"/>
      <c r="P34" s="136"/>
      <c r="Q34" s="136"/>
      <c r="R34" s="136"/>
      <c r="S34" s="136"/>
      <c r="T34" s="136"/>
      <c r="U34" s="136"/>
      <c r="V34" s="136"/>
      <c r="W34" s="136"/>
      <c r="X34" s="136"/>
    </row>
    <row r="35">
      <c r="A35" s="278" t="s">
        <v>1006</v>
      </c>
      <c r="B35" s="278" t="s">
        <v>1005</v>
      </c>
      <c r="C35" s="302">
        <v>1.0</v>
      </c>
      <c r="D35" s="302">
        <v>1.1203797E7</v>
      </c>
      <c r="E35" s="302">
        <v>1.0</v>
      </c>
      <c r="F35" s="302">
        <v>0.0</v>
      </c>
      <c r="G35" s="302">
        <v>0.0</v>
      </c>
      <c r="H35" s="302">
        <v>0.0</v>
      </c>
      <c r="I35" s="302">
        <v>0.0</v>
      </c>
      <c r="J35" s="302">
        <v>0.0</v>
      </c>
      <c r="K35" s="302">
        <v>1.0</v>
      </c>
      <c r="L35" s="302">
        <v>8.0</v>
      </c>
      <c r="M35" s="278">
        <v>0.0</v>
      </c>
      <c r="N35" s="278" t="s">
        <v>1301</v>
      </c>
      <c r="O35" s="278"/>
      <c r="P35" s="136"/>
      <c r="Q35" s="136"/>
      <c r="R35" s="136"/>
      <c r="S35" s="136"/>
      <c r="T35" s="136"/>
      <c r="U35" s="136"/>
      <c r="V35" s="136"/>
      <c r="W35" s="136"/>
      <c r="X35" s="136"/>
    </row>
    <row r="36">
      <c r="A36" s="278" t="s">
        <v>1058</v>
      </c>
      <c r="B36" s="278" t="s">
        <v>1057</v>
      </c>
      <c r="C36" s="302">
        <v>1.0</v>
      </c>
      <c r="D36" s="302">
        <v>2.15802222E8</v>
      </c>
      <c r="E36" s="302">
        <v>0.0</v>
      </c>
      <c r="F36" s="302">
        <v>0.0</v>
      </c>
      <c r="G36" s="302">
        <v>0.0</v>
      </c>
      <c r="H36" s="302">
        <v>1.0</v>
      </c>
      <c r="I36" s="302">
        <v>1.0</v>
      </c>
      <c r="J36" s="302">
        <v>0.0</v>
      </c>
      <c r="K36" s="302">
        <v>0.0</v>
      </c>
      <c r="L36" s="302">
        <v>5.0</v>
      </c>
      <c r="M36" s="278">
        <v>0.0</v>
      </c>
      <c r="N36" s="278" t="s">
        <v>1302</v>
      </c>
      <c r="O36" s="278"/>
      <c r="P36" s="136"/>
      <c r="Q36" s="136"/>
      <c r="R36" s="136"/>
      <c r="S36" s="136"/>
      <c r="T36" s="136"/>
      <c r="U36" s="136"/>
      <c r="V36" s="136"/>
      <c r="W36" s="136"/>
      <c r="X36" s="136"/>
    </row>
    <row r="37">
      <c r="A37" s="278" t="s">
        <v>1088</v>
      </c>
      <c r="B37" s="278" t="s">
        <v>1087</v>
      </c>
      <c r="C37" s="302">
        <v>1.0</v>
      </c>
      <c r="D37" s="302">
        <v>620437.0</v>
      </c>
      <c r="E37" s="302">
        <v>1.0</v>
      </c>
      <c r="F37" s="302">
        <v>0.0</v>
      </c>
      <c r="G37" s="302">
        <v>0.0</v>
      </c>
      <c r="H37" s="302">
        <v>0.0</v>
      </c>
      <c r="I37" s="302">
        <v>1.0</v>
      </c>
      <c r="J37" s="302">
        <v>0.0</v>
      </c>
      <c r="K37" s="302">
        <v>0.0</v>
      </c>
      <c r="L37" s="302">
        <v>1.0</v>
      </c>
      <c r="M37" s="278">
        <v>0.0</v>
      </c>
      <c r="N37" s="278" t="s">
        <v>1302</v>
      </c>
      <c r="O37" s="278"/>
      <c r="P37" s="136"/>
      <c r="Q37" s="136"/>
      <c r="R37" s="136"/>
      <c r="S37" s="136"/>
      <c r="T37" s="136"/>
      <c r="U37" s="136"/>
      <c r="V37" s="136"/>
      <c r="W37" s="136"/>
      <c r="X37" s="136"/>
    </row>
    <row r="38">
      <c r="A38" s="278" t="s">
        <v>1093</v>
      </c>
      <c r="B38" s="278" t="s">
        <v>1092</v>
      </c>
      <c r="C38" s="302">
        <v>1.0</v>
      </c>
      <c r="D38" s="302">
        <v>2.8555733E7</v>
      </c>
      <c r="E38" s="302">
        <v>0.0</v>
      </c>
      <c r="F38" s="302">
        <v>1.0</v>
      </c>
      <c r="G38" s="302">
        <v>0.0</v>
      </c>
      <c r="H38" s="302">
        <v>0.0</v>
      </c>
      <c r="I38" s="302">
        <v>0.0</v>
      </c>
      <c r="J38" s="302">
        <v>0.0</v>
      </c>
      <c r="K38" s="302">
        <v>1.0</v>
      </c>
      <c r="L38" s="302">
        <v>35.0</v>
      </c>
      <c r="M38" s="278">
        <v>0.0</v>
      </c>
      <c r="N38" s="278" t="s">
        <v>1302</v>
      </c>
      <c r="O38" s="278"/>
      <c r="P38" s="136"/>
      <c r="Q38" s="136"/>
      <c r="R38" s="136"/>
      <c r="S38" s="136"/>
      <c r="T38" s="136"/>
      <c r="U38" s="136"/>
      <c r="V38" s="136"/>
      <c r="W38" s="136"/>
      <c r="X38" s="136"/>
    </row>
    <row r="39">
      <c r="A39" s="136"/>
      <c r="B39" s="136"/>
      <c r="C39" s="136"/>
      <c r="D39" s="136"/>
      <c r="E39" s="136"/>
      <c r="F39" s="136"/>
      <c r="G39" s="136"/>
      <c r="H39" s="136"/>
      <c r="I39" s="136"/>
      <c r="J39" s="136"/>
      <c r="K39" s="136"/>
      <c r="L39" s="136" t="s">
        <v>1303</v>
      </c>
      <c r="M39" s="136"/>
      <c r="N39" s="136"/>
      <c r="O39" s="136"/>
      <c r="P39" s="136"/>
      <c r="Q39" s="136"/>
      <c r="R39" s="136"/>
      <c r="S39" s="136"/>
      <c r="T39" s="136"/>
      <c r="U39" s="136"/>
      <c r="V39" s="136"/>
      <c r="W39" s="136"/>
      <c r="X39" s="136"/>
      <c r="Y39" s="136"/>
    </row>
    <row r="40">
      <c r="A40" s="136"/>
      <c r="B40" s="136"/>
      <c r="C40" s="136"/>
      <c r="D40" s="136"/>
      <c r="E40" s="136"/>
      <c r="F40" s="136"/>
      <c r="G40" s="136"/>
      <c r="H40" s="136"/>
      <c r="I40" s="136"/>
      <c r="J40" s="136"/>
      <c r="K40" s="136"/>
      <c r="L40" s="136" t="s">
        <v>1303</v>
      </c>
      <c r="M40" s="136"/>
      <c r="N40" s="136"/>
      <c r="O40" s="136"/>
      <c r="P40" s="136"/>
      <c r="Q40" s="136"/>
      <c r="R40" s="136"/>
      <c r="S40" s="136"/>
      <c r="T40" s="136"/>
      <c r="U40" s="136"/>
      <c r="V40" s="136"/>
      <c r="W40" s="136"/>
      <c r="X40" s="136"/>
      <c r="Y40" s="136"/>
    </row>
    <row r="41">
      <c r="A41" s="136"/>
      <c r="B41" s="136"/>
      <c r="C41" s="136"/>
      <c r="D41" s="136"/>
      <c r="E41" s="136"/>
      <c r="F41" s="136"/>
      <c r="G41" s="136"/>
      <c r="H41" s="136"/>
      <c r="I41" s="136"/>
      <c r="J41" s="136"/>
      <c r="K41" s="136"/>
      <c r="L41" s="136" t="s">
        <v>1303</v>
      </c>
      <c r="M41" s="136"/>
      <c r="N41" s="136"/>
      <c r="O41" s="136"/>
      <c r="P41" s="136"/>
      <c r="Q41" s="136"/>
      <c r="R41" s="136"/>
      <c r="S41" s="136"/>
      <c r="T41" s="136"/>
      <c r="U41" s="136"/>
      <c r="V41" s="136"/>
      <c r="W41" s="136"/>
      <c r="X41" s="136"/>
      <c r="Y41" s="136"/>
    </row>
    <row r="42">
      <c r="A42" s="136"/>
      <c r="B42" s="136"/>
      <c r="C42" s="136"/>
      <c r="D42" s="136"/>
      <c r="E42" s="136"/>
      <c r="F42" s="136"/>
      <c r="G42" s="136"/>
      <c r="H42" s="136"/>
      <c r="I42" s="136"/>
      <c r="J42" s="136"/>
      <c r="K42" s="136"/>
      <c r="L42" s="136" t="s">
        <v>1303</v>
      </c>
      <c r="M42" s="136"/>
      <c r="N42" s="136"/>
      <c r="O42" s="136"/>
      <c r="P42" s="136"/>
      <c r="Q42" s="136"/>
      <c r="R42" s="136"/>
      <c r="S42" s="136"/>
      <c r="T42" s="136"/>
      <c r="U42" s="136"/>
      <c r="V42" s="136"/>
      <c r="W42" s="136"/>
      <c r="X42" s="136"/>
      <c r="Y42" s="136"/>
    </row>
    <row r="43">
      <c r="A43" s="279" t="s">
        <v>1335</v>
      </c>
    </row>
    <row r="44">
      <c r="A44" s="30" t="s">
        <v>1305</v>
      </c>
      <c r="B44" s="30" t="s">
        <v>1306</v>
      </c>
      <c r="C44" s="30" t="s">
        <v>1307</v>
      </c>
      <c r="D44" s="30" t="s">
        <v>1308</v>
      </c>
      <c r="E44" s="30" t="s">
        <v>1287</v>
      </c>
      <c r="F44" s="30" t="s">
        <v>1288</v>
      </c>
      <c r="G44" s="30" t="s">
        <v>1289</v>
      </c>
      <c r="H44" s="30" t="s">
        <v>1290</v>
      </c>
      <c r="I44" s="114" t="s">
        <v>1309</v>
      </c>
      <c r="J44" s="30" t="s">
        <v>1296</v>
      </c>
      <c r="K44" s="114" t="s">
        <v>1310</v>
      </c>
      <c r="L44" s="30" t="s">
        <v>1311</v>
      </c>
      <c r="M44" s="30" t="s">
        <v>1312</v>
      </c>
      <c r="N44" s="30" t="s">
        <v>1313</v>
      </c>
      <c r="O44" s="30" t="s">
        <v>1314</v>
      </c>
      <c r="P44" s="30" t="s">
        <v>1315</v>
      </c>
      <c r="Q44" s="30" t="s">
        <v>1316</v>
      </c>
      <c r="R44" s="30" t="s">
        <v>1317</v>
      </c>
      <c r="S44" s="30" t="s">
        <v>1318</v>
      </c>
      <c r="T44" s="30" t="s">
        <v>1336</v>
      </c>
      <c r="U44" s="30" t="s">
        <v>1319</v>
      </c>
      <c r="V44" s="30" t="s">
        <v>1320</v>
      </c>
      <c r="W44" s="30" t="s">
        <v>1321</v>
      </c>
      <c r="X44" s="30" t="s">
        <v>1322</v>
      </c>
      <c r="Y44" s="30" t="s">
        <v>1323</v>
      </c>
    </row>
    <row r="45">
      <c r="A45" s="114" t="s">
        <v>56</v>
      </c>
      <c r="B45" s="291">
        <v>44572.0</v>
      </c>
      <c r="C45" s="292"/>
      <c r="D45" s="293">
        <v>17256.0</v>
      </c>
      <c r="E45" s="55" t="b">
        <v>0</v>
      </c>
      <c r="F45" s="55" t="b">
        <v>0</v>
      </c>
      <c r="G45" s="55" t="b">
        <v>1</v>
      </c>
      <c r="H45" s="55" t="b">
        <v>0</v>
      </c>
      <c r="I45" s="55" t="s">
        <v>38</v>
      </c>
      <c r="J45" s="55" t="s">
        <v>1297</v>
      </c>
      <c r="K45" s="294">
        <v>2.2959516E7</v>
      </c>
      <c r="L45" s="55" t="b">
        <v>1</v>
      </c>
      <c r="M45" s="55" t="b">
        <v>0</v>
      </c>
      <c r="N45" s="55" t="b">
        <v>0</v>
      </c>
      <c r="O45" s="55" t="b">
        <v>0</v>
      </c>
      <c r="P45" s="55" t="b">
        <v>0</v>
      </c>
      <c r="Q45" s="55" t="b">
        <v>0</v>
      </c>
      <c r="R45" s="55" t="b">
        <v>0</v>
      </c>
      <c r="S45" s="55" t="b">
        <v>0</v>
      </c>
      <c r="T45" s="55" t="b">
        <v>1</v>
      </c>
      <c r="U45" s="295"/>
      <c r="V45" s="295"/>
      <c r="W45" s="295"/>
      <c r="X45" s="296" t="s">
        <v>1324</v>
      </c>
      <c r="Y45" s="295"/>
    </row>
    <row r="46">
      <c r="A46" s="114" t="s">
        <v>79</v>
      </c>
      <c r="B46" s="291">
        <v>45267.0</v>
      </c>
      <c r="C46" s="309">
        <v>45268.0</v>
      </c>
      <c r="D46" s="297">
        <v>14.0</v>
      </c>
      <c r="E46" s="55" t="b">
        <v>0</v>
      </c>
      <c r="F46" s="55" t="b">
        <v>1</v>
      </c>
      <c r="G46" s="55" t="b">
        <v>0</v>
      </c>
      <c r="H46" s="55" t="b">
        <v>0</v>
      </c>
      <c r="I46" s="55" t="s">
        <v>38</v>
      </c>
      <c r="J46" s="55" t="s">
        <v>1297</v>
      </c>
      <c r="K46" s="294">
        <v>1.7997367E7</v>
      </c>
      <c r="L46" s="55" t="b">
        <v>0</v>
      </c>
      <c r="M46" s="55" t="b">
        <v>0</v>
      </c>
      <c r="N46" s="55" t="b">
        <v>0</v>
      </c>
      <c r="O46" s="55" t="b">
        <v>0</v>
      </c>
      <c r="P46" s="55" t="b">
        <v>0</v>
      </c>
      <c r="Q46" s="55" t="b">
        <v>0</v>
      </c>
      <c r="R46" s="55" t="b">
        <v>0</v>
      </c>
      <c r="S46" s="55" t="b">
        <v>0</v>
      </c>
      <c r="T46" s="55" t="b">
        <v>0</v>
      </c>
      <c r="U46" s="296" t="s">
        <v>1324</v>
      </c>
      <c r="V46" s="295"/>
      <c r="W46" s="295"/>
      <c r="X46" s="295"/>
      <c r="Y46" s="296" t="s">
        <v>1324</v>
      </c>
    </row>
    <row r="47">
      <c r="A47" s="114" t="s">
        <v>127</v>
      </c>
      <c r="B47" s="291">
        <v>40544.0</v>
      </c>
      <c r="C47" s="292"/>
      <c r="D47" s="293">
        <v>113928.0</v>
      </c>
      <c r="E47" s="55" t="b">
        <v>0</v>
      </c>
      <c r="F47" s="55" t="b">
        <v>0</v>
      </c>
      <c r="G47" s="55" t="b">
        <v>1</v>
      </c>
      <c r="H47" s="55" t="b">
        <v>0</v>
      </c>
      <c r="I47" s="55" t="s">
        <v>38</v>
      </c>
      <c r="J47" s="55" t="s">
        <v>1297</v>
      </c>
      <c r="K47" s="294">
        <v>3715522.0</v>
      </c>
      <c r="L47" s="55" t="b">
        <v>0</v>
      </c>
      <c r="M47" s="55" t="b">
        <v>0</v>
      </c>
      <c r="N47" s="55" t="b">
        <v>1</v>
      </c>
      <c r="O47" s="55" t="b">
        <v>0</v>
      </c>
      <c r="P47" s="55" t="b">
        <v>0</v>
      </c>
      <c r="Q47" s="55" t="b">
        <v>0</v>
      </c>
      <c r="R47" s="55" t="b">
        <v>0</v>
      </c>
      <c r="S47" s="55" t="b">
        <v>0</v>
      </c>
      <c r="T47" s="55" t="b">
        <v>1</v>
      </c>
      <c r="U47" s="295"/>
      <c r="V47" s="295"/>
      <c r="W47" s="295"/>
      <c r="X47" s="296" t="s">
        <v>1324</v>
      </c>
      <c r="Y47" s="295"/>
    </row>
    <row r="48">
      <c r="A48" s="114" t="s">
        <v>139</v>
      </c>
      <c r="B48" s="291">
        <v>44967.0</v>
      </c>
      <c r="C48" s="233"/>
      <c r="D48" s="293">
        <v>7776.0</v>
      </c>
      <c r="E48" s="55" t="b">
        <v>1</v>
      </c>
      <c r="F48" s="55" t="b">
        <v>0</v>
      </c>
      <c r="G48" s="55" t="b">
        <v>0</v>
      </c>
      <c r="H48" s="55" t="b">
        <v>0</v>
      </c>
      <c r="I48" s="55" t="s">
        <v>38</v>
      </c>
      <c r="J48" s="55" t="s">
        <v>1297</v>
      </c>
      <c r="K48" s="294">
        <v>1.24937259E8</v>
      </c>
      <c r="L48" s="55" t="b">
        <v>0</v>
      </c>
      <c r="M48" s="55" t="b">
        <v>0</v>
      </c>
      <c r="N48" s="55" t="b">
        <v>1</v>
      </c>
      <c r="O48" s="55" t="b">
        <v>0</v>
      </c>
      <c r="P48" s="55" t="b">
        <v>0</v>
      </c>
      <c r="Q48" s="55" t="b">
        <v>0</v>
      </c>
      <c r="R48" s="55" t="b">
        <v>0</v>
      </c>
      <c r="S48" s="55" t="b">
        <v>0</v>
      </c>
      <c r="T48" s="55" t="b">
        <v>1</v>
      </c>
      <c r="U48" s="295"/>
      <c r="V48" s="296" t="s">
        <v>1324</v>
      </c>
      <c r="W48" s="295"/>
      <c r="X48" s="295"/>
      <c r="Y48" s="296" t="s">
        <v>1324</v>
      </c>
    </row>
    <row r="49">
      <c r="A49" s="114" t="s">
        <v>139</v>
      </c>
      <c r="B49" s="291">
        <v>44966.0</v>
      </c>
      <c r="C49" s="233"/>
      <c r="D49" s="293">
        <v>7800.0</v>
      </c>
      <c r="E49" s="55" t="b">
        <v>1</v>
      </c>
      <c r="F49" s="55" t="b">
        <v>0</v>
      </c>
      <c r="G49" s="55" t="b">
        <v>0</v>
      </c>
      <c r="H49" s="55" t="b">
        <v>0</v>
      </c>
      <c r="I49" s="55" t="s">
        <v>38</v>
      </c>
      <c r="J49" s="55" t="s">
        <v>1297</v>
      </c>
      <c r="K49" s="294">
        <v>1.24937259E8</v>
      </c>
      <c r="L49" s="55" t="b">
        <v>1</v>
      </c>
      <c r="M49" s="55" t="b">
        <v>0</v>
      </c>
      <c r="N49" s="55" t="b">
        <v>0</v>
      </c>
      <c r="O49" s="55" t="b">
        <v>0</v>
      </c>
      <c r="P49" s="55" t="b">
        <v>1</v>
      </c>
      <c r="Q49" s="55" t="b">
        <v>0</v>
      </c>
      <c r="R49" s="55" t="b">
        <v>1</v>
      </c>
      <c r="S49" s="55" t="b">
        <v>0</v>
      </c>
      <c r="T49" s="55" t="b">
        <v>1</v>
      </c>
      <c r="U49" s="295"/>
      <c r="V49" s="296" t="s">
        <v>1324</v>
      </c>
      <c r="W49" s="295"/>
      <c r="X49" s="295"/>
      <c r="Y49" s="296" t="s">
        <v>1324</v>
      </c>
    </row>
    <row r="50">
      <c r="A50" s="114" t="s">
        <v>139</v>
      </c>
      <c r="B50" s="291">
        <v>44139.0</v>
      </c>
      <c r="C50" s="292"/>
      <c r="D50" s="293">
        <v>27648.0</v>
      </c>
      <c r="E50" s="55" t="b">
        <v>0</v>
      </c>
      <c r="F50" s="55" t="b">
        <v>0</v>
      </c>
      <c r="G50" s="55" t="b">
        <v>1</v>
      </c>
      <c r="H50" s="55" t="b">
        <v>0</v>
      </c>
      <c r="I50" s="55" t="s">
        <v>145</v>
      </c>
      <c r="J50" s="55" t="s">
        <v>1297</v>
      </c>
      <c r="K50" s="294">
        <v>5443000.0</v>
      </c>
      <c r="L50" s="55" t="b">
        <v>0</v>
      </c>
      <c r="M50" s="55" t="b">
        <v>0</v>
      </c>
      <c r="N50" s="55" t="b">
        <v>0</v>
      </c>
      <c r="O50" s="55" t="b">
        <v>0</v>
      </c>
      <c r="P50" s="55" t="b">
        <v>0</v>
      </c>
      <c r="Q50" s="55" t="b">
        <v>0</v>
      </c>
      <c r="R50" s="55" t="b">
        <v>0</v>
      </c>
      <c r="S50" s="55" t="b">
        <v>0</v>
      </c>
      <c r="T50" s="55" t="b">
        <v>0</v>
      </c>
      <c r="U50" s="295"/>
      <c r="V50" s="295"/>
      <c r="W50" s="295"/>
      <c r="X50" s="296" t="s">
        <v>1324</v>
      </c>
      <c r="Y50" s="295"/>
    </row>
    <row r="51">
      <c r="A51" s="114" t="s">
        <v>161</v>
      </c>
      <c r="B51" s="291">
        <v>45164.0</v>
      </c>
      <c r="C51" s="291">
        <v>45168.0</v>
      </c>
      <c r="D51" s="297">
        <v>96.0</v>
      </c>
      <c r="E51" s="55" t="b">
        <v>0</v>
      </c>
      <c r="F51" s="55" t="b">
        <v>1</v>
      </c>
      <c r="G51" s="55" t="b">
        <v>0</v>
      </c>
      <c r="H51" s="55" t="b">
        <v>0</v>
      </c>
      <c r="I51" s="55" t="s">
        <v>38</v>
      </c>
      <c r="J51" s="55" t="s">
        <v>1297</v>
      </c>
      <c r="K51" s="294">
        <v>2412778.0</v>
      </c>
      <c r="L51" s="55" t="b">
        <v>0</v>
      </c>
      <c r="M51" s="55" t="b">
        <v>0</v>
      </c>
      <c r="N51" s="55" t="b">
        <v>0</v>
      </c>
      <c r="O51" s="55" t="b">
        <v>0</v>
      </c>
      <c r="P51" s="55" t="b">
        <v>0</v>
      </c>
      <c r="Q51" s="55" t="b">
        <v>0</v>
      </c>
      <c r="R51" s="55" t="b">
        <v>0</v>
      </c>
      <c r="S51" s="55" t="b">
        <v>0</v>
      </c>
      <c r="T51" s="55" t="b">
        <v>0</v>
      </c>
      <c r="U51" s="296" t="s">
        <v>1324</v>
      </c>
      <c r="V51" s="295"/>
      <c r="W51" s="295"/>
      <c r="X51" s="295"/>
      <c r="Y51" s="296" t="s">
        <v>1324</v>
      </c>
    </row>
    <row r="52">
      <c r="A52" s="114" t="s">
        <v>174</v>
      </c>
      <c r="B52" s="291">
        <v>45254.0</v>
      </c>
      <c r="C52" s="292"/>
      <c r="D52" s="297">
        <v>888.0</v>
      </c>
      <c r="E52" s="55" t="b">
        <v>0</v>
      </c>
      <c r="F52" s="55" t="b">
        <v>0</v>
      </c>
      <c r="G52" s="55" t="b">
        <v>1</v>
      </c>
      <c r="H52" s="55" t="b">
        <v>0</v>
      </c>
      <c r="I52" s="55" t="s">
        <v>38</v>
      </c>
      <c r="J52" s="55" t="s">
        <v>1297</v>
      </c>
      <c r="K52" s="294">
        <v>1.4023588E7</v>
      </c>
      <c r="L52" s="55" t="b">
        <v>1</v>
      </c>
      <c r="M52" s="55" t="b">
        <v>0</v>
      </c>
      <c r="N52" s="55" t="b">
        <v>0</v>
      </c>
      <c r="O52" s="55" t="b">
        <v>0</v>
      </c>
      <c r="P52" s="55" t="b">
        <v>1</v>
      </c>
      <c r="Q52" s="55" t="b">
        <v>1</v>
      </c>
      <c r="R52" s="55" t="b">
        <v>0</v>
      </c>
      <c r="S52" s="55" t="b">
        <v>0</v>
      </c>
      <c r="T52" s="55" t="b">
        <v>1</v>
      </c>
      <c r="U52" s="295"/>
      <c r="V52" s="296" t="s">
        <v>1324</v>
      </c>
      <c r="W52" s="295"/>
      <c r="X52" s="295"/>
      <c r="Y52" s="296" t="s">
        <v>1324</v>
      </c>
    </row>
    <row r="53">
      <c r="A53" s="114" t="s">
        <v>174</v>
      </c>
      <c r="B53" s="291">
        <v>45063.0</v>
      </c>
      <c r="C53" s="292"/>
      <c r="D53" s="293">
        <v>5472.0</v>
      </c>
      <c r="E53" s="55" t="b">
        <v>1</v>
      </c>
      <c r="F53" s="55" t="b">
        <v>0</v>
      </c>
      <c r="G53" s="55" t="b">
        <v>0</v>
      </c>
      <c r="H53" s="55" t="b">
        <v>0</v>
      </c>
      <c r="I53" s="55" t="s">
        <v>38</v>
      </c>
      <c r="J53" s="55" t="s">
        <v>1297</v>
      </c>
      <c r="K53" s="294">
        <v>1.4023588E7</v>
      </c>
      <c r="L53" s="55" t="b">
        <v>1</v>
      </c>
      <c r="M53" s="55" t="b">
        <v>0</v>
      </c>
      <c r="N53" s="55" t="b">
        <v>1</v>
      </c>
      <c r="O53" s="55" t="b">
        <v>1</v>
      </c>
      <c r="P53" s="55" t="b">
        <v>1</v>
      </c>
      <c r="Q53" s="55" t="b">
        <v>1</v>
      </c>
      <c r="R53" s="55" t="b">
        <v>1</v>
      </c>
      <c r="S53" s="55" t="b">
        <v>1</v>
      </c>
      <c r="T53" s="55" t="b">
        <v>1</v>
      </c>
      <c r="U53" s="295"/>
      <c r="V53" s="296" t="s">
        <v>1324</v>
      </c>
      <c r="W53" s="295"/>
      <c r="X53" s="295"/>
      <c r="Y53" s="296" t="s">
        <v>1324</v>
      </c>
    </row>
    <row r="54">
      <c r="A54" s="114" t="s">
        <v>211</v>
      </c>
      <c r="B54" s="291">
        <v>45077.0</v>
      </c>
      <c r="C54" s="291">
        <v>45084.0</v>
      </c>
      <c r="D54" s="297">
        <v>168.0</v>
      </c>
      <c r="E54" s="55" t="b">
        <v>1</v>
      </c>
      <c r="F54" s="55" t="b">
        <v>0</v>
      </c>
      <c r="G54" s="55" t="b">
        <v>0</v>
      </c>
      <c r="H54" s="55" t="b">
        <v>0</v>
      </c>
      <c r="I54" s="55" t="s">
        <v>38</v>
      </c>
      <c r="J54" s="55" t="s">
        <v>1297</v>
      </c>
      <c r="K54" s="294">
        <v>4798604.0</v>
      </c>
      <c r="L54" s="55" t="b">
        <v>0</v>
      </c>
      <c r="M54" s="55" t="b">
        <v>0</v>
      </c>
      <c r="N54" s="55" t="b">
        <v>0</v>
      </c>
      <c r="O54" s="55" t="b">
        <v>0</v>
      </c>
      <c r="P54" s="55" t="b">
        <v>0</v>
      </c>
      <c r="Q54" s="55" t="b">
        <v>0</v>
      </c>
      <c r="R54" s="55" t="b">
        <v>0</v>
      </c>
      <c r="S54" s="55" t="b">
        <v>0</v>
      </c>
      <c r="T54" s="55" t="b">
        <v>0</v>
      </c>
      <c r="U54" s="296" t="s">
        <v>1324</v>
      </c>
      <c r="V54" s="295"/>
      <c r="W54" s="295"/>
      <c r="X54" s="295"/>
      <c r="Y54" s="296" t="s">
        <v>1324</v>
      </c>
    </row>
    <row r="55">
      <c r="A55" s="114" t="s">
        <v>211</v>
      </c>
      <c r="B55" s="291">
        <v>44991.0</v>
      </c>
      <c r="C55" s="291">
        <v>44997.0</v>
      </c>
      <c r="D55" s="297">
        <v>144.0</v>
      </c>
      <c r="E55" s="55" t="b">
        <v>1</v>
      </c>
      <c r="F55" s="55" t="b">
        <v>0</v>
      </c>
      <c r="G55" s="55" t="b">
        <v>0</v>
      </c>
      <c r="H55" s="55" t="b">
        <v>0</v>
      </c>
      <c r="I55" s="55" t="s">
        <v>38</v>
      </c>
      <c r="J55" s="55" t="s">
        <v>1297</v>
      </c>
      <c r="K55" s="294">
        <v>4798604.0</v>
      </c>
      <c r="L55" s="55" t="b">
        <v>0</v>
      </c>
      <c r="M55" s="55" t="b">
        <v>0</v>
      </c>
      <c r="N55" s="55" t="b">
        <v>0</v>
      </c>
      <c r="O55" s="55" t="b">
        <v>0</v>
      </c>
      <c r="P55" s="55" t="b">
        <v>0</v>
      </c>
      <c r="Q55" s="55" t="b">
        <v>0</v>
      </c>
      <c r="R55" s="55" t="b">
        <v>0</v>
      </c>
      <c r="S55" s="55" t="b">
        <v>0</v>
      </c>
      <c r="T55" s="55" t="b">
        <v>0</v>
      </c>
      <c r="U55" s="296" t="s">
        <v>1324</v>
      </c>
      <c r="V55" s="295"/>
      <c r="W55" s="295"/>
      <c r="X55" s="295"/>
      <c r="Y55" s="296" t="s">
        <v>1324</v>
      </c>
    </row>
    <row r="56">
      <c r="A56" s="114" t="s">
        <v>259</v>
      </c>
      <c r="B56" s="291">
        <v>45140.0</v>
      </c>
      <c r="C56" s="292"/>
      <c r="D56" s="293">
        <v>3624.0</v>
      </c>
      <c r="E56" s="55" t="b">
        <v>0</v>
      </c>
      <c r="F56" s="55" t="b">
        <v>0</v>
      </c>
      <c r="G56" s="55" t="b">
        <v>1</v>
      </c>
      <c r="H56" s="55" t="b">
        <v>0</v>
      </c>
      <c r="I56" s="55" t="s">
        <v>38</v>
      </c>
      <c r="J56" s="55" t="s">
        <v>1297</v>
      </c>
      <c r="K56" s="294">
        <v>1.7536231E7</v>
      </c>
      <c r="L56" s="55" t="b">
        <v>0</v>
      </c>
      <c r="M56" s="55" t="b">
        <v>0</v>
      </c>
      <c r="N56" s="55" t="b">
        <v>0</v>
      </c>
      <c r="O56" s="55" t="b">
        <v>0</v>
      </c>
      <c r="P56" s="55" t="b">
        <v>0</v>
      </c>
      <c r="Q56" s="55" t="b">
        <v>0</v>
      </c>
      <c r="R56" s="55" t="b">
        <v>1</v>
      </c>
      <c r="S56" s="55" t="b">
        <v>0</v>
      </c>
      <c r="T56" s="55" t="b">
        <v>1</v>
      </c>
      <c r="U56" s="295"/>
      <c r="V56" s="296" t="s">
        <v>1324</v>
      </c>
      <c r="W56" s="295"/>
      <c r="X56" s="295"/>
      <c r="Y56" s="296" t="s">
        <v>1324</v>
      </c>
    </row>
    <row r="57">
      <c r="A57" s="114" t="s">
        <v>259</v>
      </c>
      <c r="B57" s="291">
        <v>45138.0</v>
      </c>
      <c r="C57" s="291">
        <v>45145.0</v>
      </c>
      <c r="D57" s="297">
        <v>144.0</v>
      </c>
      <c r="E57" s="55" t="b">
        <v>0</v>
      </c>
      <c r="F57" s="55" t="b">
        <v>0</v>
      </c>
      <c r="G57" s="55" t="b">
        <v>1</v>
      </c>
      <c r="H57" s="55" t="b">
        <v>0</v>
      </c>
      <c r="I57" s="55" t="s">
        <v>38</v>
      </c>
      <c r="J57" s="55" t="s">
        <v>1297</v>
      </c>
      <c r="K57" s="294">
        <v>1.7536231E7</v>
      </c>
      <c r="L57" s="55" t="b">
        <v>0</v>
      </c>
      <c r="M57" s="55" t="b">
        <v>0</v>
      </c>
      <c r="N57" s="55" t="b">
        <v>0</v>
      </c>
      <c r="O57" s="55" t="b">
        <v>0</v>
      </c>
      <c r="P57" s="55" t="b">
        <v>0</v>
      </c>
      <c r="Q57" s="55" t="b">
        <v>0</v>
      </c>
      <c r="R57" s="55" t="b">
        <v>0</v>
      </c>
      <c r="S57" s="55" t="b">
        <v>0</v>
      </c>
      <c r="T57" s="55" t="b">
        <v>0</v>
      </c>
      <c r="U57" s="296" t="s">
        <v>1324</v>
      </c>
      <c r="V57" s="295"/>
      <c r="W57" s="295"/>
      <c r="X57" s="295"/>
      <c r="Y57" s="296" t="s">
        <v>1324</v>
      </c>
    </row>
    <row r="58">
      <c r="A58" s="114" t="s">
        <v>259</v>
      </c>
      <c r="B58" s="291">
        <v>45081.0</v>
      </c>
      <c r="C58" s="291">
        <v>45084.0</v>
      </c>
      <c r="D58" s="297">
        <v>84.0</v>
      </c>
      <c r="E58" s="55" t="b">
        <v>1</v>
      </c>
      <c r="F58" s="55" t="b">
        <v>0</v>
      </c>
      <c r="G58" s="55" t="b">
        <v>0</v>
      </c>
      <c r="H58" s="55" t="b">
        <v>0</v>
      </c>
      <c r="I58" s="55" t="s">
        <v>38</v>
      </c>
      <c r="J58" s="55" t="s">
        <v>1297</v>
      </c>
      <c r="K58" s="294">
        <v>1.7536231E7</v>
      </c>
      <c r="L58" s="55" t="b">
        <v>0</v>
      </c>
      <c r="M58" s="55" t="b">
        <v>0</v>
      </c>
      <c r="N58" s="55" t="b">
        <v>0</v>
      </c>
      <c r="O58" s="55" t="b">
        <v>0</v>
      </c>
      <c r="P58" s="55" t="b">
        <v>0</v>
      </c>
      <c r="Q58" s="55" t="b">
        <v>0</v>
      </c>
      <c r="R58" s="55" t="b">
        <v>0</v>
      </c>
      <c r="S58" s="55" t="b">
        <v>0</v>
      </c>
      <c r="T58" s="55" t="b">
        <v>0</v>
      </c>
      <c r="U58" s="296" t="s">
        <v>1324</v>
      </c>
      <c r="V58" s="295"/>
      <c r="W58" s="295"/>
      <c r="X58" s="295"/>
      <c r="Y58" s="296" t="s">
        <v>1324</v>
      </c>
    </row>
    <row r="59">
      <c r="A59" s="114" t="s">
        <v>259</v>
      </c>
      <c r="B59" s="291">
        <v>45078.0</v>
      </c>
      <c r="C59" s="291">
        <v>45144.0</v>
      </c>
      <c r="D59" s="293">
        <v>1584.0</v>
      </c>
      <c r="E59" s="55" t="b">
        <v>1</v>
      </c>
      <c r="F59" s="55" t="b">
        <v>0</v>
      </c>
      <c r="G59" s="55" t="b">
        <v>0</v>
      </c>
      <c r="H59" s="55" t="b">
        <v>0</v>
      </c>
      <c r="I59" s="55" t="s">
        <v>38</v>
      </c>
      <c r="J59" s="55" t="s">
        <v>1297</v>
      </c>
      <c r="K59" s="294">
        <v>1.7536231E7</v>
      </c>
      <c r="L59" s="55" t="b">
        <v>0</v>
      </c>
      <c r="M59" s="55" t="b">
        <v>0</v>
      </c>
      <c r="N59" s="55" t="b">
        <v>0</v>
      </c>
      <c r="O59" s="55" t="b">
        <v>0</v>
      </c>
      <c r="P59" s="55" t="b">
        <v>1</v>
      </c>
      <c r="Q59" s="55" t="b">
        <v>0</v>
      </c>
      <c r="R59" s="55" t="b">
        <v>0</v>
      </c>
      <c r="S59" s="55" t="b">
        <v>0</v>
      </c>
      <c r="T59" s="55" t="b">
        <v>1</v>
      </c>
      <c r="U59" s="296" t="s">
        <v>1324</v>
      </c>
      <c r="V59" s="295"/>
      <c r="W59" s="295"/>
      <c r="X59" s="295"/>
      <c r="Y59" s="296" t="s">
        <v>1324</v>
      </c>
    </row>
    <row r="60">
      <c r="A60" s="114" t="s">
        <v>259</v>
      </c>
      <c r="B60" s="291">
        <v>45078.0</v>
      </c>
      <c r="C60" s="291">
        <v>45084.0</v>
      </c>
      <c r="D60" s="297">
        <v>180.0</v>
      </c>
      <c r="E60" s="55" t="b">
        <v>1</v>
      </c>
      <c r="F60" s="55" t="b">
        <v>0</v>
      </c>
      <c r="G60" s="55" t="b">
        <v>0</v>
      </c>
      <c r="H60" s="55" t="b">
        <v>0</v>
      </c>
      <c r="I60" s="55" t="s">
        <v>38</v>
      </c>
      <c r="J60" s="55" t="s">
        <v>1297</v>
      </c>
      <c r="K60" s="294">
        <v>1.7536231E7</v>
      </c>
      <c r="L60" s="55" t="b">
        <v>1</v>
      </c>
      <c r="M60" s="55" t="b">
        <v>1</v>
      </c>
      <c r="N60" s="55" t="b">
        <v>1</v>
      </c>
      <c r="O60" s="55" t="b">
        <v>1</v>
      </c>
      <c r="P60" s="55" t="b">
        <v>0</v>
      </c>
      <c r="Q60" s="55" t="b">
        <v>1</v>
      </c>
      <c r="R60" s="55" t="b">
        <v>0</v>
      </c>
      <c r="S60" s="55" t="b">
        <v>0</v>
      </c>
      <c r="T60" s="55" t="b">
        <v>1</v>
      </c>
      <c r="U60" s="296" t="s">
        <v>1324</v>
      </c>
      <c r="V60" s="295"/>
      <c r="W60" s="295"/>
      <c r="X60" s="295"/>
      <c r="Y60" s="296" t="s">
        <v>1324</v>
      </c>
    </row>
    <row r="61">
      <c r="A61" s="114" t="s">
        <v>281</v>
      </c>
      <c r="B61" s="291">
        <v>45159.0</v>
      </c>
      <c r="C61" s="292"/>
      <c r="D61" s="293">
        <v>3168.0</v>
      </c>
      <c r="E61" s="55" t="b">
        <v>0</v>
      </c>
      <c r="F61" s="55" t="b">
        <v>0</v>
      </c>
      <c r="G61" s="55" t="b">
        <v>1</v>
      </c>
      <c r="H61" s="55" t="b">
        <v>0</v>
      </c>
      <c r="I61" s="55" t="s">
        <v>38</v>
      </c>
      <c r="J61" s="55" t="s">
        <v>1297</v>
      </c>
      <c r="K61" s="294">
        <v>1.786503E7</v>
      </c>
      <c r="L61" s="55" t="b">
        <v>0</v>
      </c>
      <c r="M61" s="55" t="b">
        <v>0</v>
      </c>
      <c r="N61" s="55" t="b">
        <v>0</v>
      </c>
      <c r="O61" s="55" t="b">
        <v>0</v>
      </c>
      <c r="P61" s="55" t="b">
        <v>1</v>
      </c>
      <c r="Q61" s="55" t="b">
        <v>0</v>
      </c>
      <c r="R61" s="55" t="b">
        <v>1</v>
      </c>
      <c r="S61" s="55" t="b">
        <v>0</v>
      </c>
      <c r="T61" s="55" t="b">
        <v>1</v>
      </c>
      <c r="U61" s="295"/>
      <c r="V61" s="296" t="s">
        <v>1324</v>
      </c>
      <c r="W61" s="295"/>
      <c r="X61" s="295"/>
      <c r="Y61" s="296" t="s">
        <v>1324</v>
      </c>
    </row>
    <row r="62">
      <c r="A62" s="114" t="s">
        <v>292</v>
      </c>
      <c r="B62" s="291">
        <v>45031.0</v>
      </c>
      <c r="C62" s="292"/>
      <c r="D62" s="293">
        <v>6240.0</v>
      </c>
      <c r="E62" s="55" t="b">
        <v>0</v>
      </c>
      <c r="F62" s="55" t="b">
        <v>0</v>
      </c>
      <c r="G62" s="55" t="b">
        <v>1</v>
      </c>
      <c r="H62" s="55" t="b">
        <v>0</v>
      </c>
      <c r="I62" s="55" t="s">
        <v>38</v>
      </c>
      <c r="J62" s="55" t="s">
        <v>1297</v>
      </c>
      <c r="K62" s="294">
        <v>4.7486909E7</v>
      </c>
      <c r="L62" s="55" t="b">
        <v>0</v>
      </c>
      <c r="M62" s="55" t="b">
        <v>0</v>
      </c>
      <c r="N62" s="55" t="b">
        <v>0</v>
      </c>
      <c r="O62" s="55" t="b">
        <v>0</v>
      </c>
      <c r="P62" s="55" t="b">
        <v>0</v>
      </c>
      <c r="Q62" s="55" t="b">
        <v>0</v>
      </c>
      <c r="R62" s="55" t="b">
        <v>0</v>
      </c>
      <c r="S62" s="55" t="b">
        <v>0</v>
      </c>
      <c r="T62" s="55" t="b">
        <v>0</v>
      </c>
      <c r="U62" s="295"/>
      <c r="V62" s="296" t="s">
        <v>1324</v>
      </c>
      <c r="W62" s="295"/>
      <c r="X62" s="295"/>
      <c r="Y62" s="296" t="s">
        <v>1324</v>
      </c>
    </row>
    <row r="63">
      <c r="A63" s="114" t="s">
        <v>324</v>
      </c>
      <c r="B63" s="291">
        <v>44972.0</v>
      </c>
      <c r="C63" s="309">
        <v>44973.0</v>
      </c>
      <c r="D63" s="297">
        <v>24.0</v>
      </c>
      <c r="E63" s="55" t="b">
        <v>0</v>
      </c>
      <c r="F63" s="55" t="b">
        <v>0</v>
      </c>
      <c r="G63" s="55" t="b">
        <v>1</v>
      </c>
      <c r="H63" s="55" t="b">
        <v>0</v>
      </c>
      <c r="I63" s="55" t="s">
        <v>38</v>
      </c>
      <c r="J63" s="55" t="s">
        <v>1297</v>
      </c>
      <c r="K63" s="294">
        <v>6.6455898E7</v>
      </c>
      <c r="L63" s="55" t="b">
        <v>0</v>
      </c>
      <c r="M63" s="55" t="b">
        <v>0</v>
      </c>
      <c r="N63" s="55" t="b">
        <v>0</v>
      </c>
      <c r="O63" s="55" t="b">
        <v>0</v>
      </c>
      <c r="P63" s="55" t="b">
        <v>0</v>
      </c>
      <c r="Q63" s="55" t="b">
        <v>0</v>
      </c>
      <c r="R63" s="55" t="b">
        <v>0</v>
      </c>
      <c r="S63" s="55" t="b">
        <v>1</v>
      </c>
      <c r="T63" s="55" t="b">
        <v>1</v>
      </c>
      <c r="U63" s="296" t="s">
        <v>1324</v>
      </c>
      <c r="V63" s="295"/>
      <c r="W63" s="295"/>
      <c r="X63" s="295"/>
      <c r="Y63" s="296" t="s">
        <v>1324</v>
      </c>
    </row>
    <row r="64">
      <c r="A64" s="114" t="s">
        <v>331</v>
      </c>
      <c r="B64" s="291">
        <v>45161.0</v>
      </c>
      <c r="C64" s="309">
        <v>45161.0</v>
      </c>
      <c r="D64" s="297">
        <v>8.0</v>
      </c>
      <c r="E64" s="55" t="b">
        <v>0</v>
      </c>
      <c r="F64" s="55" t="b">
        <v>1</v>
      </c>
      <c r="G64" s="55" t="b">
        <v>0</v>
      </c>
      <c r="H64" s="55" t="b">
        <v>0</v>
      </c>
      <c r="I64" s="55" t="s">
        <v>38</v>
      </c>
      <c r="J64" s="55" t="s">
        <v>1297</v>
      </c>
      <c r="K64" s="294">
        <v>1.6488132E7</v>
      </c>
      <c r="L64" s="55" t="b">
        <v>1</v>
      </c>
      <c r="M64" s="55" t="b">
        <v>1</v>
      </c>
      <c r="N64" s="55" t="b">
        <v>1</v>
      </c>
      <c r="O64" s="55" t="b">
        <v>1</v>
      </c>
      <c r="P64" s="55" t="b">
        <v>1</v>
      </c>
      <c r="Q64" s="55" t="b">
        <v>0</v>
      </c>
      <c r="R64" s="55" t="b">
        <v>0</v>
      </c>
      <c r="S64" s="55" t="b">
        <v>0</v>
      </c>
      <c r="T64" s="55" t="b">
        <v>1</v>
      </c>
      <c r="U64" s="296" t="s">
        <v>1324</v>
      </c>
      <c r="V64" s="295"/>
      <c r="W64" s="295"/>
      <c r="X64" s="295"/>
      <c r="Y64" s="296" t="s">
        <v>1324</v>
      </c>
    </row>
    <row r="65">
      <c r="A65" s="114" t="s">
        <v>359</v>
      </c>
      <c r="B65" s="291">
        <v>45188.0</v>
      </c>
      <c r="C65" s="233"/>
      <c r="D65" s="293">
        <v>2472.0</v>
      </c>
      <c r="E65" s="55" t="b">
        <v>0</v>
      </c>
      <c r="F65" s="55" t="b">
        <v>0</v>
      </c>
      <c r="G65" s="55" t="b">
        <v>1</v>
      </c>
      <c r="H65" s="55" t="b">
        <v>0</v>
      </c>
      <c r="I65" s="55" t="s">
        <v>361</v>
      </c>
      <c r="J65" s="55" t="s">
        <v>1298</v>
      </c>
      <c r="K65" s="294">
        <v>120000.0</v>
      </c>
      <c r="L65" s="55" t="b">
        <v>0</v>
      </c>
      <c r="M65" s="55" t="b">
        <v>0</v>
      </c>
      <c r="N65" s="55" t="b">
        <v>0</v>
      </c>
      <c r="O65" s="55" t="b">
        <v>0</v>
      </c>
      <c r="P65" s="55" t="b">
        <v>0</v>
      </c>
      <c r="Q65" s="55" t="b">
        <v>0</v>
      </c>
      <c r="R65" s="55" t="b">
        <v>0</v>
      </c>
      <c r="S65" s="55" t="b">
        <v>0</v>
      </c>
      <c r="T65" s="55" t="b">
        <v>0</v>
      </c>
      <c r="U65" s="295"/>
      <c r="V65" s="296" t="s">
        <v>1324</v>
      </c>
      <c r="W65" s="295"/>
      <c r="X65" s="295"/>
      <c r="Y65" s="296" t="s">
        <v>1324</v>
      </c>
    </row>
    <row r="66">
      <c r="A66" s="114" t="s">
        <v>394</v>
      </c>
      <c r="B66" s="291">
        <v>39995.0</v>
      </c>
      <c r="C66" s="233"/>
      <c r="D66" s="293">
        <v>127104.0</v>
      </c>
      <c r="E66" s="55" t="b">
        <v>0</v>
      </c>
      <c r="F66" s="55" t="b">
        <v>0</v>
      </c>
      <c r="G66" s="55" t="b">
        <v>1</v>
      </c>
      <c r="H66" s="55" t="b">
        <v>0</v>
      </c>
      <c r="I66" s="55" t="s">
        <v>38</v>
      </c>
      <c r="J66" s="55" t="s">
        <v>1298</v>
      </c>
      <c r="K66" s="294">
        <v>1.425849288E9</v>
      </c>
      <c r="L66" s="55" t="b">
        <v>1</v>
      </c>
      <c r="M66" s="55" t="b">
        <v>1</v>
      </c>
      <c r="N66" s="55" t="b">
        <v>1</v>
      </c>
      <c r="O66" s="55" t="b">
        <v>0</v>
      </c>
      <c r="P66" s="55" t="b">
        <v>0</v>
      </c>
      <c r="Q66" s="55" t="b">
        <v>0</v>
      </c>
      <c r="R66" s="55" t="b">
        <v>0</v>
      </c>
      <c r="S66" s="55" t="b">
        <v>0</v>
      </c>
      <c r="T66" s="55" t="b">
        <v>1</v>
      </c>
      <c r="U66" s="295"/>
      <c r="V66" s="295"/>
      <c r="W66" s="295"/>
      <c r="X66" s="296" t="s">
        <v>1324</v>
      </c>
      <c r="Y66" s="295"/>
    </row>
    <row r="67">
      <c r="A67" s="114" t="s">
        <v>394</v>
      </c>
      <c r="B67" s="291">
        <v>42642.0</v>
      </c>
      <c r="C67" s="233"/>
      <c r="D67" s="293">
        <v>63576.0</v>
      </c>
      <c r="E67" s="55" t="b">
        <v>1</v>
      </c>
      <c r="F67" s="55" t="b">
        <v>0</v>
      </c>
      <c r="G67" s="55" t="b">
        <v>0</v>
      </c>
      <c r="H67" s="55" t="b">
        <v>0</v>
      </c>
      <c r="I67" s="55" t="s">
        <v>38</v>
      </c>
      <c r="J67" s="55" t="s">
        <v>1298</v>
      </c>
      <c r="K67" s="294">
        <v>1.425849288E9</v>
      </c>
      <c r="L67" s="55" t="b">
        <v>0</v>
      </c>
      <c r="M67" s="55" t="b">
        <v>0</v>
      </c>
      <c r="N67" s="55" t="b">
        <v>0</v>
      </c>
      <c r="O67" s="55" t="b">
        <v>1</v>
      </c>
      <c r="P67" s="55" t="b">
        <v>0</v>
      </c>
      <c r="Q67" s="55" t="b">
        <v>0</v>
      </c>
      <c r="R67" s="55" t="b">
        <v>0</v>
      </c>
      <c r="S67" s="55" t="b">
        <v>0</v>
      </c>
      <c r="T67" s="55" t="b">
        <v>1</v>
      </c>
      <c r="U67" s="295"/>
      <c r="V67" s="295"/>
      <c r="W67" s="295"/>
      <c r="X67" s="296" t="s">
        <v>1324</v>
      </c>
      <c r="Y67" s="295"/>
    </row>
    <row r="68">
      <c r="A68" s="114" t="s">
        <v>394</v>
      </c>
      <c r="B68" s="291">
        <v>42564.0</v>
      </c>
      <c r="C68" s="233"/>
      <c r="D68" s="293">
        <v>65448.0</v>
      </c>
      <c r="E68" s="55" t="b">
        <v>0</v>
      </c>
      <c r="F68" s="55" t="b">
        <v>0</v>
      </c>
      <c r="G68" s="55" t="b">
        <v>1</v>
      </c>
      <c r="H68" s="55" t="b">
        <v>0</v>
      </c>
      <c r="I68" s="55" t="s">
        <v>38</v>
      </c>
      <c r="J68" s="55" t="s">
        <v>1298</v>
      </c>
      <c r="K68" s="294">
        <v>1.425849288E9</v>
      </c>
      <c r="L68" s="55" t="b">
        <v>0</v>
      </c>
      <c r="M68" s="55" t="b">
        <v>0</v>
      </c>
      <c r="N68" s="55" t="b">
        <v>0</v>
      </c>
      <c r="O68" s="55" t="b">
        <v>0</v>
      </c>
      <c r="P68" s="55" t="b">
        <v>1</v>
      </c>
      <c r="Q68" s="55" t="b">
        <v>0</v>
      </c>
      <c r="R68" s="55" t="b">
        <v>0</v>
      </c>
      <c r="S68" s="55" t="b">
        <v>0</v>
      </c>
      <c r="T68" s="55" t="b">
        <v>1</v>
      </c>
      <c r="U68" s="295"/>
      <c r="V68" s="295"/>
      <c r="W68" s="295"/>
      <c r="X68" s="296" t="s">
        <v>1324</v>
      </c>
      <c r="Y68" s="295"/>
    </row>
    <row r="69">
      <c r="A69" s="114" t="s">
        <v>394</v>
      </c>
      <c r="B69" s="291">
        <v>42979.0</v>
      </c>
      <c r="C69" s="233"/>
      <c r="D69" s="293">
        <v>55488.0</v>
      </c>
      <c r="E69" s="55" t="b">
        <v>0</v>
      </c>
      <c r="F69" s="55" t="b">
        <v>0</v>
      </c>
      <c r="G69" s="55" t="b">
        <v>1</v>
      </c>
      <c r="H69" s="55" t="b">
        <v>0</v>
      </c>
      <c r="I69" s="55" t="s">
        <v>38</v>
      </c>
      <c r="J69" s="55" t="s">
        <v>1298</v>
      </c>
      <c r="K69" s="294">
        <v>1.425849288E9</v>
      </c>
      <c r="L69" s="55" t="b">
        <v>0</v>
      </c>
      <c r="M69" s="55" t="b">
        <v>0</v>
      </c>
      <c r="N69" s="55" t="b">
        <v>0</v>
      </c>
      <c r="O69" s="55" t="b">
        <v>0</v>
      </c>
      <c r="P69" s="55" t="b">
        <v>0</v>
      </c>
      <c r="Q69" s="55" t="b">
        <v>1</v>
      </c>
      <c r="R69" s="55" t="b">
        <v>0</v>
      </c>
      <c r="S69" s="55" t="b">
        <v>0</v>
      </c>
      <c r="T69" s="55" t="b">
        <v>1</v>
      </c>
      <c r="U69" s="295"/>
      <c r="V69" s="295"/>
      <c r="W69" s="295"/>
      <c r="X69" s="296" t="s">
        <v>1324</v>
      </c>
      <c r="Y69" s="295"/>
    </row>
    <row r="70">
      <c r="A70" s="114" t="s">
        <v>403</v>
      </c>
      <c r="B70" s="291">
        <v>43084.0</v>
      </c>
      <c r="C70" s="233"/>
      <c r="D70" s="293">
        <v>52968.0</v>
      </c>
      <c r="E70" s="55" t="b">
        <v>0</v>
      </c>
      <c r="F70" s="55" t="b">
        <v>0</v>
      </c>
      <c r="G70" s="55" t="b">
        <v>1</v>
      </c>
      <c r="H70" s="55" t="b">
        <v>0</v>
      </c>
      <c r="I70" s="55" t="s">
        <v>38</v>
      </c>
      <c r="J70" s="55" t="s">
        <v>1298</v>
      </c>
      <c r="K70" s="294">
        <v>2.6116716E7</v>
      </c>
      <c r="L70" s="55" t="b">
        <v>0</v>
      </c>
      <c r="M70" s="55" t="b">
        <v>0</v>
      </c>
      <c r="N70" s="55" t="b">
        <v>0</v>
      </c>
      <c r="O70" s="55" t="b">
        <v>0</v>
      </c>
      <c r="P70" s="55" t="b">
        <v>0</v>
      </c>
      <c r="Q70" s="55" t="b">
        <v>1</v>
      </c>
      <c r="R70" s="55" t="b">
        <v>0</v>
      </c>
      <c r="S70" s="55" t="b">
        <v>0</v>
      </c>
      <c r="T70" s="55" t="b">
        <v>1</v>
      </c>
      <c r="U70" s="295"/>
      <c r="V70" s="295"/>
      <c r="W70" s="295"/>
      <c r="X70" s="296" t="s">
        <v>1324</v>
      </c>
      <c r="Y70" s="295"/>
    </row>
    <row r="71">
      <c r="A71" s="114" t="s">
        <v>403</v>
      </c>
      <c r="B71" s="291">
        <v>42461.0</v>
      </c>
      <c r="C71" s="292"/>
      <c r="D71" s="293">
        <v>67920.0</v>
      </c>
      <c r="E71" s="55" t="b">
        <v>0</v>
      </c>
      <c r="F71" s="55" t="b">
        <v>0</v>
      </c>
      <c r="G71" s="55" t="b">
        <v>1</v>
      </c>
      <c r="H71" s="55" t="b">
        <v>0</v>
      </c>
      <c r="I71" s="55" t="s">
        <v>38</v>
      </c>
      <c r="J71" s="55" t="s">
        <v>1298</v>
      </c>
      <c r="K71" s="294">
        <v>2.6116716E7</v>
      </c>
      <c r="L71" s="55" t="b">
        <v>1</v>
      </c>
      <c r="M71" s="55" t="b">
        <v>1</v>
      </c>
      <c r="N71" s="55" t="b">
        <v>1</v>
      </c>
      <c r="O71" s="55" t="b">
        <v>0</v>
      </c>
      <c r="P71" s="55" t="b">
        <v>0</v>
      </c>
      <c r="Q71" s="55" t="b">
        <v>0</v>
      </c>
      <c r="R71" s="55" t="b">
        <v>0</v>
      </c>
      <c r="S71" s="55" t="b">
        <v>0</v>
      </c>
      <c r="T71" s="55" t="b">
        <v>1</v>
      </c>
      <c r="U71" s="295"/>
      <c r="V71" s="295"/>
      <c r="W71" s="295"/>
      <c r="X71" s="296" t="s">
        <v>1324</v>
      </c>
      <c r="Y71" s="295"/>
    </row>
    <row r="72">
      <c r="A72" s="114" t="s">
        <v>403</v>
      </c>
      <c r="B72" s="291">
        <v>42177.0</v>
      </c>
      <c r="C72" s="233"/>
      <c r="D72" s="293">
        <v>74736.0</v>
      </c>
      <c r="E72" s="55" t="b">
        <v>0</v>
      </c>
      <c r="F72" s="55" t="b">
        <v>0</v>
      </c>
      <c r="G72" s="55" t="b">
        <v>1</v>
      </c>
      <c r="H72" s="55" t="b">
        <v>0</v>
      </c>
      <c r="I72" s="55" t="s">
        <v>38</v>
      </c>
      <c r="J72" s="55" t="s">
        <v>1298</v>
      </c>
      <c r="K72" s="294">
        <v>2.6116716E7</v>
      </c>
      <c r="L72" s="55" t="b">
        <v>0</v>
      </c>
      <c r="M72" s="55" t="b">
        <v>0</v>
      </c>
      <c r="N72" s="55" t="b">
        <v>0</v>
      </c>
      <c r="O72" s="55" t="b">
        <v>1</v>
      </c>
      <c r="P72" s="55" t="b">
        <v>0</v>
      </c>
      <c r="Q72" s="55" t="b">
        <v>0</v>
      </c>
      <c r="R72" s="55" t="b">
        <v>0</v>
      </c>
      <c r="S72" s="55" t="b">
        <v>0</v>
      </c>
      <c r="T72" s="55" t="b">
        <v>1</v>
      </c>
      <c r="U72" s="295"/>
      <c r="V72" s="295"/>
      <c r="W72" s="295"/>
      <c r="X72" s="296" t="s">
        <v>1324</v>
      </c>
      <c r="Y72" s="295"/>
    </row>
    <row r="73">
      <c r="A73" s="114" t="s">
        <v>417</v>
      </c>
      <c r="B73" s="291">
        <v>45049.0</v>
      </c>
      <c r="C73" s="233"/>
      <c r="D73" s="293">
        <v>5808.0</v>
      </c>
      <c r="E73" s="55" t="b">
        <v>1</v>
      </c>
      <c r="F73" s="55" t="b">
        <v>0</v>
      </c>
      <c r="G73" s="55" t="b">
        <v>0</v>
      </c>
      <c r="H73" s="55" t="b">
        <v>0</v>
      </c>
      <c r="I73" s="55" t="s">
        <v>427</v>
      </c>
      <c r="J73" s="55" t="s">
        <v>1298</v>
      </c>
      <c r="K73" s="294">
        <v>3436948.0</v>
      </c>
      <c r="L73" s="55" t="b">
        <v>0</v>
      </c>
      <c r="M73" s="55" t="b">
        <v>0</v>
      </c>
      <c r="N73" s="55" t="b">
        <v>0</v>
      </c>
      <c r="O73" s="55" t="b">
        <v>0</v>
      </c>
      <c r="P73" s="55" t="b">
        <v>0</v>
      </c>
      <c r="Q73" s="55" t="b">
        <v>0</v>
      </c>
      <c r="R73" s="55" t="b">
        <v>0</v>
      </c>
      <c r="S73" s="55" t="b">
        <v>0</v>
      </c>
      <c r="T73" s="55" t="b">
        <v>0</v>
      </c>
      <c r="U73" s="295"/>
      <c r="V73" s="296" t="s">
        <v>1324</v>
      </c>
      <c r="W73" s="295"/>
      <c r="X73" s="295"/>
      <c r="Y73" s="296" t="s">
        <v>1324</v>
      </c>
    </row>
    <row r="74">
      <c r="A74" s="114" t="s">
        <v>417</v>
      </c>
      <c r="B74" s="291">
        <v>45047.0</v>
      </c>
      <c r="C74" s="292"/>
      <c r="D74" s="293">
        <v>5856.0</v>
      </c>
      <c r="E74" s="55" t="b">
        <v>0</v>
      </c>
      <c r="F74" s="55" t="b">
        <v>0</v>
      </c>
      <c r="G74" s="55" t="b">
        <v>1</v>
      </c>
      <c r="H74" s="55" t="b">
        <v>0</v>
      </c>
      <c r="I74" s="55" t="s">
        <v>38</v>
      </c>
      <c r="J74" s="55" t="s">
        <v>1298</v>
      </c>
      <c r="K74" s="294">
        <v>1.422026528E9</v>
      </c>
      <c r="L74" s="55" t="b">
        <v>0</v>
      </c>
      <c r="M74" s="55" t="b">
        <v>0</v>
      </c>
      <c r="N74" s="55" t="b">
        <v>0</v>
      </c>
      <c r="O74" s="55" t="b">
        <v>0</v>
      </c>
      <c r="P74" s="55" t="b">
        <v>0</v>
      </c>
      <c r="Q74" s="55" t="b">
        <v>0</v>
      </c>
      <c r="R74" s="55" t="b">
        <v>0</v>
      </c>
      <c r="S74" s="55" t="b">
        <v>1</v>
      </c>
      <c r="T74" s="55" t="b">
        <v>1</v>
      </c>
      <c r="U74" s="295"/>
      <c r="V74" s="296" t="s">
        <v>1324</v>
      </c>
      <c r="W74" s="295"/>
      <c r="X74" s="295"/>
      <c r="Y74" s="296" t="s">
        <v>1324</v>
      </c>
    </row>
    <row r="75">
      <c r="A75" s="114" t="s">
        <v>417</v>
      </c>
      <c r="B75" s="291">
        <v>43984.0</v>
      </c>
      <c r="C75" s="292"/>
      <c r="D75" s="293">
        <v>31368.0</v>
      </c>
      <c r="E75" s="55" t="b">
        <v>0</v>
      </c>
      <c r="F75" s="55" t="b">
        <v>0</v>
      </c>
      <c r="G75" s="55" t="b">
        <v>0</v>
      </c>
      <c r="H75" s="55" t="b">
        <v>1</v>
      </c>
      <c r="I75" s="55" t="s">
        <v>38</v>
      </c>
      <c r="J75" s="55" t="s">
        <v>1298</v>
      </c>
      <c r="K75" s="294">
        <v>1.422026528E9</v>
      </c>
      <c r="L75" s="55" t="b">
        <v>0</v>
      </c>
      <c r="M75" s="55" t="b">
        <v>0</v>
      </c>
      <c r="N75" s="55" t="b">
        <v>0</v>
      </c>
      <c r="O75" s="55" t="b">
        <v>0</v>
      </c>
      <c r="P75" s="55" t="b">
        <v>0</v>
      </c>
      <c r="Q75" s="55" t="b">
        <v>0</v>
      </c>
      <c r="R75" s="55" t="b">
        <v>1</v>
      </c>
      <c r="S75" s="55" t="b">
        <v>1</v>
      </c>
      <c r="T75" s="55" t="b">
        <v>1</v>
      </c>
      <c r="U75" s="295"/>
      <c r="V75" s="295"/>
      <c r="W75" s="295"/>
      <c r="X75" s="296" t="s">
        <v>1324</v>
      </c>
      <c r="Y75" s="295"/>
    </row>
    <row r="76">
      <c r="A76" s="114" t="s">
        <v>417</v>
      </c>
      <c r="B76" s="291">
        <v>45231.0</v>
      </c>
      <c r="C76" s="291">
        <v>45233.0</v>
      </c>
      <c r="D76" s="297">
        <v>48.0</v>
      </c>
      <c r="E76" s="55" t="b">
        <v>1</v>
      </c>
      <c r="F76" s="55" t="b">
        <v>0</v>
      </c>
      <c r="G76" s="55" t="b">
        <v>0</v>
      </c>
      <c r="H76" s="55" t="b">
        <v>0</v>
      </c>
      <c r="I76" s="55" t="s">
        <v>486</v>
      </c>
      <c r="J76" s="55" t="s">
        <v>1298</v>
      </c>
      <c r="K76" s="294">
        <v>1.422026528E9</v>
      </c>
      <c r="L76" s="55" t="b">
        <v>0</v>
      </c>
      <c r="M76" s="55" t="b">
        <v>0</v>
      </c>
      <c r="N76" s="55" t="b">
        <v>0</v>
      </c>
      <c r="O76" s="55" t="b">
        <v>0</v>
      </c>
      <c r="P76" s="55" t="b">
        <v>0</v>
      </c>
      <c r="Q76" s="55" t="b">
        <v>0</v>
      </c>
      <c r="R76" s="55" t="b">
        <v>0</v>
      </c>
      <c r="S76" s="55" t="b">
        <v>0</v>
      </c>
      <c r="T76" s="55" t="b">
        <v>0</v>
      </c>
      <c r="U76" s="296" t="s">
        <v>1324</v>
      </c>
      <c r="V76" s="295"/>
      <c r="W76" s="295"/>
      <c r="X76" s="295"/>
      <c r="Y76" s="296" t="s">
        <v>1324</v>
      </c>
    </row>
    <row r="77">
      <c r="A77" s="114" t="s">
        <v>417</v>
      </c>
      <c r="B77" s="291">
        <v>45164.0</v>
      </c>
      <c r="C77" s="291">
        <v>45166.0</v>
      </c>
      <c r="D77" s="297">
        <v>72.0</v>
      </c>
      <c r="E77" s="55" t="b">
        <v>0</v>
      </c>
      <c r="F77" s="55" t="b">
        <v>0</v>
      </c>
      <c r="G77" s="55" t="b">
        <v>1</v>
      </c>
      <c r="H77" s="55" t="b">
        <v>0</v>
      </c>
      <c r="I77" s="55" t="s">
        <v>486</v>
      </c>
      <c r="J77" s="55" t="s">
        <v>1298</v>
      </c>
      <c r="K77" s="294">
        <v>1.422026528E9</v>
      </c>
      <c r="L77" s="55" t="b">
        <v>0</v>
      </c>
      <c r="M77" s="55" t="b">
        <v>0</v>
      </c>
      <c r="N77" s="55" t="b">
        <v>0</v>
      </c>
      <c r="O77" s="55" t="b">
        <v>0</v>
      </c>
      <c r="P77" s="55" t="b">
        <v>0</v>
      </c>
      <c r="Q77" s="55" t="b">
        <v>0</v>
      </c>
      <c r="R77" s="55" t="b">
        <v>0</v>
      </c>
      <c r="S77" s="55" t="b">
        <v>0</v>
      </c>
      <c r="T77" s="55" t="b">
        <v>0</v>
      </c>
      <c r="U77" s="296" t="s">
        <v>1324</v>
      </c>
      <c r="V77" s="295"/>
      <c r="W77" s="295"/>
      <c r="X77" s="295"/>
      <c r="Y77" s="296" t="s">
        <v>1324</v>
      </c>
    </row>
    <row r="78">
      <c r="A78" s="114" t="s">
        <v>417</v>
      </c>
      <c r="B78" s="291">
        <v>45084.0</v>
      </c>
      <c r="C78" s="291">
        <v>45085.0</v>
      </c>
      <c r="D78" s="297">
        <v>24.0</v>
      </c>
      <c r="E78" s="55" t="b">
        <v>1</v>
      </c>
      <c r="F78" s="55" t="b">
        <v>0</v>
      </c>
      <c r="G78" s="55" t="b">
        <v>0</v>
      </c>
      <c r="H78" s="55" t="b">
        <v>0</v>
      </c>
      <c r="I78" s="55" t="s">
        <v>486</v>
      </c>
      <c r="J78" s="55" t="s">
        <v>1298</v>
      </c>
      <c r="K78" s="294">
        <v>1.422026528E9</v>
      </c>
      <c r="L78" s="55" t="b">
        <v>0</v>
      </c>
      <c r="M78" s="55" t="b">
        <v>0</v>
      </c>
      <c r="N78" s="55" t="b">
        <v>0</v>
      </c>
      <c r="O78" s="55" t="b">
        <v>0</v>
      </c>
      <c r="P78" s="55" t="b">
        <v>0</v>
      </c>
      <c r="Q78" s="55" t="b">
        <v>0</v>
      </c>
      <c r="R78" s="55" t="b">
        <v>0</v>
      </c>
      <c r="S78" s="55" t="b">
        <v>0</v>
      </c>
      <c r="T78" s="55" t="b">
        <v>0</v>
      </c>
      <c r="U78" s="296" t="s">
        <v>1324</v>
      </c>
      <c r="V78" s="295"/>
      <c r="W78" s="295"/>
      <c r="X78" s="295"/>
      <c r="Y78" s="296" t="s">
        <v>1324</v>
      </c>
    </row>
    <row r="79">
      <c r="A79" s="114" t="s">
        <v>417</v>
      </c>
      <c r="B79" s="291">
        <v>45055.0</v>
      </c>
      <c r="C79" s="291">
        <v>45058.0</v>
      </c>
      <c r="D79" s="297">
        <v>72.0</v>
      </c>
      <c r="E79" s="55" t="b">
        <v>1</v>
      </c>
      <c r="F79" s="55" t="b">
        <v>0</v>
      </c>
      <c r="G79" s="55" t="b">
        <v>0</v>
      </c>
      <c r="H79" s="55" t="b">
        <v>0</v>
      </c>
      <c r="I79" s="55" t="s">
        <v>486</v>
      </c>
      <c r="J79" s="55" t="s">
        <v>1298</v>
      </c>
      <c r="K79" s="294">
        <v>1.422026528E9</v>
      </c>
      <c r="L79" s="55" t="b">
        <v>0</v>
      </c>
      <c r="M79" s="55" t="b">
        <v>0</v>
      </c>
      <c r="N79" s="55" t="b">
        <v>0</v>
      </c>
      <c r="O79" s="55" t="b">
        <v>0</v>
      </c>
      <c r="P79" s="55" t="b">
        <v>0</v>
      </c>
      <c r="Q79" s="55" t="b">
        <v>0</v>
      </c>
      <c r="R79" s="55" t="b">
        <v>0</v>
      </c>
      <c r="S79" s="55" t="b">
        <v>0</v>
      </c>
      <c r="T79" s="55" t="b">
        <v>0</v>
      </c>
      <c r="U79" s="296" t="s">
        <v>1324</v>
      </c>
      <c r="V79" s="295"/>
      <c r="W79" s="295"/>
      <c r="X79" s="295"/>
      <c r="Y79" s="296" t="s">
        <v>1324</v>
      </c>
    </row>
    <row r="80">
      <c r="A80" s="114" t="s">
        <v>417</v>
      </c>
      <c r="B80" s="291">
        <v>45043.0</v>
      </c>
      <c r="C80" s="291">
        <v>45048.0</v>
      </c>
      <c r="D80" s="297">
        <v>120.0</v>
      </c>
      <c r="E80" s="55" t="b">
        <v>1</v>
      </c>
      <c r="F80" s="55" t="b">
        <v>0</v>
      </c>
      <c r="G80" s="55" t="b">
        <v>0</v>
      </c>
      <c r="H80" s="55" t="b">
        <v>0</v>
      </c>
      <c r="I80" s="55" t="s">
        <v>486</v>
      </c>
      <c r="J80" s="55" t="s">
        <v>1298</v>
      </c>
      <c r="K80" s="294">
        <v>1.422026528E9</v>
      </c>
      <c r="L80" s="55" t="b">
        <v>0</v>
      </c>
      <c r="M80" s="55" t="b">
        <v>0</v>
      </c>
      <c r="N80" s="55" t="b">
        <v>0</v>
      </c>
      <c r="O80" s="55" t="b">
        <v>0</v>
      </c>
      <c r="P80" s="55" t="b">
        <v>0</v>
      </c>
      <c r="Q80" s="55" t="b">
        <v>0</v>
      </c>
      <c r="R80" s="55" t="b">
        <v>0</v>
      </c>
      <c r="S80" s="55" t="b">
        <v>0</v>
      </c>
      <c r="T80" s="55" t="b">
        <v>0</v>
      </c>
      <c r="U80" s="296" t="s">
        <v>1324</v>
      </c>
      <c r="V80" s="295"/>
      <c r="W80" s="295"/>
      <c r="X80" s="295"/>
      <c r="Y80" s="296" t="s">
        <v>1324</v>
      </c>
    </row>
    <row r="81">
      <c r="A81" s="114" t="s">
        <v>417</v>
      </c>
      <c r="B81" s="291">
        <v>45038.0</v>
      </c>
      <c r="C81" s="291">
        <v>45040.0</v>
      </c>
      <c r="D81" s="297">
        <v>48.0</v>
      </c>
      <c r="E81" s="55" t="b">
        <v>1</v>
      </c>
      <c r="F81" s="55" t="b">
        <v>0</v>
      </c>
      <c r="G81" s="55" t="b">
        <v>0</v>
      </c>
      <c r="H81" s="55" t="b">
        <v>0</v>
      </c>
      <c r="I81" s="55" t="s">
        <v>486</v>
      </c>
      <c r="J81" s="55" t="s">
        <v>1298</v>
      </c>
      <c r="K81" s="294">
        <v>1.422026528E9</v>
      </c>
      <c r="L81" s="55" t="b">
        <v>0</v>
      </c>
      <c r="M81" s="55" t="b">
        <v>0</v>
      </c>
      <c r="N81" s="55" t="b">
        <v>0</v>
      </c>
      <c r="O81" s="55" t="b">
        <v>0</v>
      </c>
      <c r="P81" s="55" t="b">
        <v>0</v>
      </c>
      <c r="Q81" s="55" t="b">
        <v>0</v>
      </c>
      <c r="R81" s="55" t="b">
        <v>0</v>
      </c>
      <c r="S81" s="55" t="b">
        <v>0</v>
      </c>
      <c r="T81" s="55" t="b">
        <v>0</v>
      </c>
      <c r="U81" s="296" t="s">
        <v>1324</v>
      </c>
      <c r="V81" s="295"/>
      <c r="W81" s="295"/>
      <c r="X81" s="295"/>
      <c r="Y81" s="296" t="s">
        <v>1324</v>
      </c>
    </row>
    <row r="82">
      <c r="A82" s="114" t="s">
        <v>417</v>
      </c>
      <c r="B82" s="291">
        <v>45003.0</v>
      </c>
      <c r="C82" s="309">
        <v>45008.0</v>
      </c>
      <c r="D82" s="297">
        <v>120.0</v>
      </c>
      <c r="E82" s="55" t="b">
        <v>0</v>
      </c>
      <c r="F82" s="55" t="b">
        <v>0</v>
      </c>
      <c r="G82" s="55" t="b">
        <v>1</v>
      </c>
      <c r="H82" s="55" t="b">
        <v>0</v>
      </c>
      <c r="I82" s="55" t="s">
        <v>486</v>
      </c>
      <c r="J82" s="55" t="s">
        <v>1298</v>
      </c>
      <c r="K82" s="294">
        <v>1.422026528E9</v>
      </c>
      <c r="L82" s="55" t="b">
        <v>0</v>
      </c>
      <c r="M82" s="55" t="b">
        <v>0</v>
      </c>
      <c r="N82" s="55" t="b">
        <v>0</v>
      </c>
      <c r="O82" s="55" t="b">
        <v>0</v>
      </c>
      <c r="P82" s="55" t="b">
        <v>0</v>
      </c>
      <c r="Q82" s="55" t="b">
        <v>0</v>
      </c>
      <c r="R82" s="55" t="b">
        <v>0</v>
      </c>
      <c r="S82" s="55" t="b">
        <v>0</v>
      </c>
      <c r="T82" s="55" t="b">
        <v>0</v>
      </c>
      <c r="U82" s="296" t="s">
        <v>1324</v>
      </c>
      <c r="V82" s="295"/>
      <c r="W82" s="295"/>
      <c r="X82" s="295"/>
      <c r="Y82" s="296" t="s">
        <v>1324</v>
      </c>
    </row>
    <row r="83">
      <c r="A83" s="114" t="s">
        <v>417</v>
      </c>
      <c r="B83" s="291">
        <v>44983.0</v>
      </c>
      <c r="C83" s="309">
        <v>44985.0</v>
      </c>
      <c r="D83" s="297">
        <v>62.0</v>
      </c>
      <c r="E83" s="55" t="b">
        <v>1</v>
      </c>
      <c r="F83" s="55" t="b">
        <v>0</v>
      </c>
      <c r="G83" s="55" t="b">
        <v>0</v>
      </c>
      <c r="H83" s="55" t="b">
        <v>0</v>
      </c>
      <c r="I83" s="55" t="s">
        <v>486</v>
      </c>
      <c r="J83" s="55" t="s">
        <v>1298</v>
      </c>
      <c r="K83" s="294">
        <v>1.422026528E9</v>
      </c>
      <c r="L83" s="55" t="b">
        <v>0</v>
      </c>
      <c r="M83" s="55" t="b">
        <v>0</v>
      </c>
      <c r="N83" s="55" t="b">
        <v>0</v>
      </c>
      <c r="O83" s="55" t="b">
        <v>0</v>
      </c>
      <c r="P83" s="55" t="b">
        <v>0</v>
      </c>
      <c r="Q83" s="55" t="b">
        <v>0</v>
      </c>
      <c r="R83" s="55" t="b">
        <v>0</v>
      </c>
      <c r="S83" s="55" t="b">
        <v>0</v>
      </c>
      <c r="T83" s="55" t="b">
        <v>0</v>
      </c>
      <c r="U83" s="296" t="s">
        <v>1324</v>
      </c>
      <c r="V83" s="295"/>
      <c r="W83" s="295"/>
      <c r="X83" s="295"/>
      <c r="Y83" s="296" t="s">
        <v>1324</v>
      </c>
    </row>
    <row r="84">
      <c r="A84" s="114" t="s">
        <v>417</v>
      </c>
      <c r="B84" s="291">
        <v>44974.0</v>
      </c>
      <c r="C84" s="309">
        <v>44976.0</v>
      </c>
      <c r="D84" s="297">
        <v>47.0</v>
      </c>
      <c r="E84" s="55" t="b">
        <v>1</v>
      </c>
      <c r="F84" s="55" t="b">
        <v>0</v>
      </c>
      <c r="G84" s="55" t="b">
        <v>0</v>
      </c>
      <c r="H84" s="55" t="b">
        <v>0</v>
      </c>
      <c r="I84" s="55" t="s">
        <v>486</v>
      </c>
      <c r="J84" s="55" t="s">
        <v>1298</v>
      </c>
      <c r="K84" s="294">
        <v>1.422026528E9</v>
      </c>
      <c r="L84" s="55" t="b">
        <v>0</v>
      </c>
      <c r="M84" s="55" t="b">
        <v>0</v>
      </c>
      <c r="N84" s="55" t="b">
        <v>0</v>
      </c>
      <c r="O84" s="55" t="b">
        <v>0</v>
      </c>
      <c r="P84" s="55" t="b">
        <v>0</v>
      </c>
      <c r="Q84" s="55" t="b">
        <v>0</v>
      </c>
      <c r="R84" s="55" t="b">
        <v>0</v>
      </c>
      <c r="S84" s="55" t="b">
        <v>0</v>
      </c>
      <c r="T84" s="55" t="b">
        <v>0</v>
      </c>
      <c r="U84" s="296" t="s">
        <v>1324</v>
      </c>
      <c r="V84" s="295"/>
      <c r="W84" s="295"/>
      <c r="X84" s="295"/>
      <c r="Y84" s="296" t="s">
        <v>1324</v>
      </c>
    </row>
    <row r="85">
      <c r="A85" s="114" t="s">
        <v>523</v>
      </c>
      <c r="B85" s="291">
        <v>45240.0</v>
      </c>
      <c r="C85" s="309">
        <v>45240.0</v>
      </c>
      <c r="D85" s="297">
        <v>2.0</v>
      </c>
      <c r="E85" s="55" t="b">
        <v>1</v>
      </c>
      <c r="F85" s="55" t="b">
        <v>0</v>
      </c>
      <c r="G85" s="55" t="b">
        <v>0</v>
      </c>
      <c r="H85" s="55" t="b">
        <v>0</v>
      </c>
      <c r="I85" s="55" t="s">
        <v>527</v>
      </c>
      <c r="J85" s="55" t="s">
        <v>1298</v>
      </c>
      <c r="K85" s="294">
        <v>551980.0</v>
      </c>
      <c r="L85" s="55" t="b">
        <v>0</v>
      </c>
      <c r="M85" s="55" t="b">
        <v>0</v>
      </c>
      <c r="N85" s="55" t="b">
        <v>0</v>
      </c>
      <c r="O85" s="55" t="b">
        <v>0</v>
      </c>
      <c r="P85" s="55" t="b">
        <v>0</v>
      </c>
      <c r="Q85" s="55" t="b">
        <v>0</v>
      </c>
      <c r="R85" s="55" t="b">
        <v>0</v>
      </c>
      <c r="S85" s="55" t="b">
        <v>0</v>
      </c>
      <c r="T85" s="55" t="b">
        <v>0</v>
      </c>
      <c r="U85" s="296" t="s">
        <v>1324</v>
      </c>
      <c r="V85" s="295"/>
      <c r="W85" s="295"/>
      <c r="X85" s="295"/>
      <c r="Y85" s="296" t="s">
        <v>1324</v>
      </c>
    </row>
    <row r="86">
      <c r="A86" s="114" t="s">
        <v>523</v>
      </c>
      <c r="B86" s="291">
        <v>45233.0</v>
      </c>
      <c r="C86" s="309">
        <v>45233.0</v>
      </c>
      <c r="D86" s="297">
        <v>2.0</v>
      </c>
      <c r="E86" s="55" t="b">
        <v>1</v>
      </c>
      <c r="F86" s="55" t="b">
        <v>0</v>
      </c>
      <c r="G86" s="55" t="b">
        <v>0</v>
      </c>
      <c r="H86" s="55" t="b">
        <v>0</v>
      </c>
      <c r="I86" s="55" t="s">
        <v>527</v>
      </c>
      <c r="J86" s="55" t="s">
        <v>1298</v>
      </c>
      <c r="K86" s="294">
        <v>551980.0</v>
      </c>
      <c r="L86" s="55" t="b">
        <v>0</v>
      </c>
      <c r="M86" s="55" t="b">
        <v>0</v>
      </c>
      <c r="N86" s="55" t="b">
        <v>0</v>
      </c>
      <c r="O86" s="55" t="b">
        <v>0</v>
      </c>
      <c r="P86" s="55" t="b">
        <v>0</v>
      </c>
      <c r="Q86" s="55" t="b">
        <v>0</v>
      </c>
      <c r="R86" s="55" t="b">
        <v>0</v>
      </c>
      <c r="S86" s="55" t="b">
        <v>0</v>
      </c>
      <c r="T86" s="55" t="b">
        <v>0</v>
      </c>
      <c r="U86" s="296" t="s">
        <v>1324</v>
      </c>
      <c r="V86" s="295"/>
      <c r="W86" s="295"/>
      <c r="X86" s="295"/>
      <c r="Y86" s="296" t="s">
        <v>1324</v>
      </c>
    </row>
    <row r="87">
      <c r="A87" s="114" t="s">
        <v>523</v>
      </c>
      <c r="B87" s="291">
        <v>45226.0</v>
      </c>
      <c r="C87" s="309">
        <v>45226.0</v>
      </c>
      <c r="D87" s="297">
        <v>2.0</v>
      </c>
      <c r="E87" s="55" t="b">
        <v>1</v>
      </c>
      <c r="F87" s="55" t="b">
        <v>0</v>
      </c>
      <c r="G87" s="55" t="b">
        <v>0</v>
      </c>
      <c r="H87" s="55" t="b">
        <v>0</v>
      </c>
      <c r="I87" s="55" t="s">
        <v>527</v>
      </c>
      <c r="J87" s="55" t="s">
        <v>1298</v>
      </c>
      <c r="K87" s="294">
        <v>551980.0</v>
      </c>
      <c r="L87" s="55" t="b">
        <v>0</v>
      </c>
      <c r="M87" s="55" t="b">
        <v>0</v>
      </c>
      <c r="N87" s="55" t="b">
        <v>0</v>
      </c>
      <c r="O87" s="55" t="b">
        <v>0</v>
      </c>
      <c r="P87" s="55" t="b">
        <v>0</v>
      </c>
      <c r="Q87" s="55" t="b">
        <v>0</v>
      </c>
      <c r="R87" s="55" t="b">
        <v>0</v>
      </c>
      <c r="S87" s="55" t="b">
        <v>0</v>
      </c>
      <c r="T87" s="55" t="b">
        <v>0</v>
      </c>
      <c r="U87" s="296" t="s">
        <v>1324</v>
      </c>
      <c r="V87" s="295"/>
      <c r="W87" s="295"/>
      <c r="X87" s="295"/>
      <c r="Y87" s="296" t="s">
        <v>1324</v>
      </c>
    </row>
    <row r="88">
      <c r="A88" s="114" t="s">
        <v>523</v>
      </c>
      <c r="B88" s="291">
        <v>45219.0</v>
      </c>
      <c r="C88" s="291">
        <v>45219.0</v>
      </c>
      <c r="D88" s="297">
        <v>2.0</v>
      </c>
      <c r="E88" s="55" t="b">
        <v>1</v>
      </c>
      <c r="F88" s="55" t="b">
        <v>0</v>
      </c>
      <c r="G88" s="55" t="b">
        <v>0</v>
      </c>
      <c r="H88" s="55" t="b">
        <v>0</v>
      </c>
      <c r="I88" s="55" t="s">
        <v>527</v>
      </c>
      <c r="J88" s="55" t="s">
        <v>1298</v>
      </c>
      <c r="K88" s="294">
        <v>551980.0</v>
      </c>
      <c r="L88" s="55" t="b">
        <v>0</v>
      </c>
      <c r="M88" s="55" t="b">
        <v>0</v>
      </c>
      <c r="N88" s="55" t="b">
        <v>0</v>
      </c>
      <c r="O88" s="55" t="b">
        <v>0</v>
      </c>
      <c r="P88" s="55" t="b">
        <v>0</v>
      </c>
      <c r="Q88" s="55" t="b">
        <v>0</v>
      </c>
      <c r="R88" s="55" t="b">
        <v>0</v>
      </c>
      <c r="S88" s="55" t="b">
        <v>0</v>
      </c>
      <c r="T88" s="55" t="b">
        <v>0</v>
      </c>
      <c r="U88" s="296" t="s">
        <v>1324</v>
      </c>
      <c r="V88" s="295"/>
      <c r="W88" s="295"/>
      <c r="X88" s="295"/>
      <c r="Y88" s="296" t="s">
        <v>1324</v>
      </c>
    </row>
    <row r="89">
      <c r="A89" s="114" t="s">
        <v>523</v>
      </c>
      <c r="B89" s="291">
        <v>45212.0</v>
      </c>
      <c r="C89" s="291">
        <v>45212.0</v>
      </c>
      <c r="D89" s="297">
        <v>2.0</v>
      </c>
      <c r="E89" s="55" t="b">
        <v>1</v>
      </c>
      <c r="F89" s="55" t="b">
        <v>0</v>
      </c>
      <c r="G89" s="55" t="b">
        <v>0</v>
      </c>
      <c r="H89" s="55" t="b">
        <v>0</v>
      </c>
      <c r="I89" s="55" t="s">
        <v>527</v>
      </c>
      <c r="J89" s="55" t="s">
        <v>1298</v>
      </c>
      <c r="K89" s="294">
        <v>551980.0</v>
      </c>
      <c r="L89" s="55" t="b">
        <v>0</v>
      </c>
      <c r="M89" s="55" t="b">
        <v>0</v>
      </c>
      <c r="N89" s="55" t="b">
        <v>0</v>
      </c>
      <c r="O89" s="55" t="b">
        <v>0</v>
      </c>
      <c r="P89" s="55" t="b">
        <v>0</v>
      </c>
      <c r="Q89" s="55" t="b">
        <v>0</v>
      </c>
      <c r="R89" s="55" t="b">
        <v>0</v>
      </c>
      <c r="S89" s="55" t="b">
        <v>0</v>
      </c>
      <c r="T89" s="55" t="b">
        <v>0</v>
      </c>
      <c r="U89" s="296" t="s">
        <v>1324</v>
      </c>
      <c r="V89" s="295"/>
      <c r="W89" s="295"/>
      <c r="X89" s="295"/>
      <c r="Y89" s="296" t="s">
        <v>1324</v>
      </c>
    </row>
    <row r="90">
      <c r="A90" s="114" t="s">
        <v>523</v>
      </c>
      <c r="B90" s="291">
        <v>45205.0</v>
      </c>
      <c r="C90" s="291">
        <v>45205.0</v>
      </c>
      <c r="D90" s="297">
        <v>2.0</v>
      </c>
      <c r="E90" s="55" t="b">
        <v>1</v>
      </c>
      <c r="F90" s="55" t="b">
        <v>0</v>
      </c>
      <c r="G90" s="55" t="b">
        <v>0</v>
      </c>
      <c r="H90" s="55" t="b">
        <v>0</v>
      </c>
      <c r="I90" s="55" t="s">
        <v>38</v>
      </c>
      <c r="J90" s="55" t="s">
        <v>1298</v>
      </c>
      <c r="K90" s="294">
        <v>8.8844498E7</v>
      </c>
      <c r="L90" s="55" t="b">
        <v>0</v>
      </c>
      <c r="M90" s="55" t="b">
        <v>0</v>
      </c>
      <c r="N90" s="55" t="b">
        <v>0</v>
      </c>
      <c r="O90" s="55" t="b">
        <v>0</v>
      </c>
      <c r="P90" s="55" t="b">
        <v>0</v>
      </c>
      <c r="Q90" s="55" t="b">
        <v>0</v>
      </c>
      <c r="R90" s="55" t="b">
        <v>0</v>
      </c>
      <c r="S90" s="55" t="b">
        <v>0</v>
      </c>
      <c r="T90" s="55" t="b">
        <v>0</v>
      </c>
      <c r="U90" s="296" t="s">
        <v>1324</v>
      </c>
      <c r="V90" s="295"/>
      <c r="W90" s="295"/>
      <c r="X90" s="295"/>
      <c r="Y90" s="296" t="s">
        <v>1324</v>
      </c>
    </row>
    <row r="91">
      <c r="A91" s="114" t="s">
        <v>523</v>
      </c>
      <c r="B91" s="291">
        <v>45198.0</v>
      </c>
      <c r="C91" s="309">
        <v>45198.0</v>
      </c>
      <c r="D91" s="297">
        <v>2.0</v>
      </c>
      <c r="E91" s="55" t="b">
        <v>1</v>
      </c>
      <c r="F91" s="55" t="b">
        <v>0</v>
      </c>
      <c r="G91" s="55" t="b">
        <v>0</v>
      </c>
      <c r="H91" s="55" t="b">
        <v>0</v>
      </c>
      <c r="I91" s="55" t="s">
        <v>38</v>
      </c>
      <c r="J91" s="55" t="s">
        <v>1298</v>
      </c>
      <c r="K91" s="294">
        <v>8.8844498E7</v>
      </c>
      <c r="L91" s="55" t="b">
        <v>0</v>
      </c>
      <c r="M91" s="55" t="b">
        <v>0</v>
      </c>
      <c r="N91" s="55" t="b">
        <v>0</v>
      </c>
      <c r="O91" s="55" t="b">
        <v>0</v>
      </c>
      <c r="P91" s="55" t="b">
        <v>0</v>
      </c>
      <c r="Q91" s="55" t="b">
        <v>0</v>
      </c>
      <c r="R91" s="55" t="b">
        <v>0</v>
      </c>
      <c r="S91" s="55" t="b">
        <v>0</v>
      </c>
      <c r="T91" s="55" t="b">
        <v>0</v>
      </c>
      <c r="U91" s="296" t="s">
        <v>1324</v>
      </c>
      <c r="V91" s="295"/>
      <c r="W91" s="295"/>
      <c r="X91" s="295"/>
      <c r="Y91" s="296" t="s">
        <v>1324</v>
      </c>
    </row>
    <row r="92">
      <c r="A92" s="114" t="s">
        <v>523</v>
      </c>
      <c r="B92" s="291">
        <v>45191.0</v>
      </c>
      <c r="C92" s="309">
        <v>45191.0</v>
      </c>
      <c r="D92" s="297">
        <v>2.0</v>
      </c>
      <c r="E92" s="55" t="b">
        <v>1</v>
      </c>
      <c r="F92" s="55" t="b">
        <v>0</v>
      </c>
      <c r="G92" s="55" t="b">
        <v>0</v>
      </c>
      <c r="H92" s="55" t="b">
        <v>0</v>
      </c>
      <c r="I92" s="55" t="s">
        <v>527</v>
      </c>
      <c r="J92" s="55" t="s">
        <v>1298</v>
      </c>
      <c r="K92" s="294">
        <v>551980.0</v>
      </c>
      <c r="L92" s="55" t="b">
        <v>0</v>
      </c>
      <c r="M92" s="55" t="b">
        <v>0</v>
      </c>
      <c r="N92" s="55" t="b">
        <v>0</v>
      </c>
      <c r="O92" s="55" t="b">
        <v>0</v>
      </c>
      <c r="P92" s="55" t="b">
        <v>0</v>
      </c>
      <c r="Q92" s="55" t="b">
        <v>0</v>
      </c>
      <c r="R92" s="55" t="b">
        <v>0</v>
      </c>
      <c r="S92" s="55" t="b">
        <v>0</v>
      </c>
      <c r="T92" s="55" t="b">
        <v>0</v>
      </c>
      <c r="U92" s="296" t="s">
        <v>1324</v>
      </c>
      <c r="V92" s="295"/>
      <c r="W92" s="295"/>
      <c r="X92" s="295"/>
      <c r="Y92" s="296" t="s">
        <v>1324</v>
      </c>
    </row>
    <row r="93">
      <c r="A93" s="114" t="s">
        <v>523</v>
      </c>
      <c r="B93" s="291">
        <v>45184.0</v>
      </c>
      <c r="C93" s="309">
        <v>45184.0</v>
      </c>
      <c r="D93" s="297">
        <v>2.0</v>
      </c>
      <c r="E93" s="55" t="b">
        <v>1</v>
      </c>
      <c r="F93" s="55" t="b">
        <v>0</v>
      </c>
      <c r="G93" s="55" t="b">
        <v>0</v>
      </c>
      <c r="H93" s="55" t="b">
        <v>0</v>
      </c>
      <c r="I93" s="55" t="s">
        <v>527</v>
      </c>
      <c r="J93" s="55" t="s">
        <v>1298</v>
      </c>
      <c r="K93" s="294">
        <v>551980.0</v>
      </c>
      <c r="L93" s="55" t="b">
        <v>0</v>
      </c>
      <c r="M93" s="55" t="b">
        <v>0</v>
      </c>
      <c r="N93" s="55" t="b">
        <v>0</v>
      </c>
      <c r="O93" s="55" t="b">
        <v>0</v>
      </c>
      <c r="P93" s="55" t="b">
        <v>0</v>
      </c>
      <c r="Q93" s="55" t="b">
        <v>0</v>
      </c>
      <c r="R93" s="55" t="b">
        <v>0</v>
      </c>
      <c r="S93" s="55" t="b">
        <v>0</v>
      </c>
      <c r="T93" s="55" t="b">
        <v>0</v>
      </c>
      <c r="U93" s="296" t="s">
        <v>1324</v>
      </c>
      <c r="V93" s="295"/>
      <c r="W93" s="295"/>
      <c r="X93" s="295"/>
      <c r="Y93" s="296" t="s">
        <v>1324</v>
      </c>
    </row>
    <row r="94">
      <c r="A94" s="114" t="s">
        <v>523</v>
      </c>
      <c r="B94" s="291">
        <v>45177.0</v>
      </c>
      <c r="C94" s="309">
        <v>45177.0</v>
      </c>
      <c r="D94" s="297">
        <v>2.0</v>
      </c>
      <c r="E94" s="55" t="b">
        <v>1</v>
      </c>
      <c r="F94" s="55" t="b">
        <v>0</v>
      </c>
      <c r="G94" s="55" t="b">
        <v>0</v>
      </c>
      <c r="H94" s="55" t="b">
        <v>0</v>
      </c>
      <c r="I94" s="55" t="s">
        <v>527</v>
      </c>
      <c r="J94" s="55" t="s">
        <v>1298</v>
      </c>
      <c r="K94" s="294">
        <v>551980.0</v>
      </c>
      <c r="L94" s="55" t="b">
        <v>0</v>
      </c>
      <c r="M94" s="55" t="b">
        <v>0</v>
      </c>
      <c r="N94" s="55" t="b">
        <v>0</v>
      </c>
      <c r="O94" s="55" t="b">
        <v>0</v>
      </c>
      <c r="P94" s="55" t="b">
        <v>0</v>
      </c>
      <c r="Q94" s="55" t="b">
        <v>0</v>
      </c>
      <c r="R94" s="55" t="b">
        <v>0</v>
      </c>
      <c r="S94" s="55" t="b">
        <v>0</v>
      </c>
      <c r="T94" s="55" t="b">
        <v>0</v>
      </c>
      <c r="U94" s="296" t="s">
        <v>1324</v>
      </c>
      <c r="V94" s="295"/>
      <c r="W94" s="295"/>
      <c r="X94" s="295"/>
      <c r="Y94" s="296" t="s">
        <v>1324</v>
      </c>
    </row>
    <row r="95">
      <c r="A95" s="114" t="s">
        <v>523</v>
      </c>
      <c r="B95" s="291">
        <v>45177.0</v>
      </c>
      <c r="C95" s="309">
        <v>45177.0</v>
      </c>
      <c r="D95" s="297">
        <v>3.0</v>
      </c>
      <c r="E95" s="55" t="b">
        <v>1</v>
      </c>
      <c r="F95" s="55" t="b">
        <v>0</v>
      </c>
      <c r="G95" s="55" t="b">
        <v>0</v>
      </c>
      <c r="H95" s="55" t="b">
        <v>0</v>
      </c>
      <c r="I95" s="55" t="s">
        <v>527</v>
      </c>
      <c r="J95" s="55" t="s">
        <v>1298</v>
      </c>
      <c r="K95" s="294">
        <v>551980.0</v>
      </c>
      <c r="L95" s="55" t="b">
        <v>0</v>
      </c>
      <c r="M95" s="55" t="b">
        <v>0</v>
      </c>
      <c r="N95" s="55" t="b">
        <v>0</v>
      </c>
      <c r="O95" s="55" t="b">
        <v>0</v>
      </c>
      <c r="P95" s="55" t="b">
        <v>0</v>
      </c>
      <c r="Q95" s="55" t="b">
        <v>0</v>
      </c>
      <c r="R95" s="55" t="b">
        <v>0</v>
      </c>
      <c r="S95" s="55" t="b">
        <v>0</v>
      </c>
      <c r="T95" s="55" t="b">
        <v>0</v>
      </c>
      <c r="U95" s="296" t="s">
        <v>1324</v>
      </c>
      <c r="V95" s="295"/>
      <c r="W95" s="295"/>
      <c r="X95" s="295"/>
      <c r="Y95" s="296" t="s">
        <v>1324</v>
      </c>
    </row>
    <row r="96">
      <c r="A96" s="114" t="s">
        <v>523</v>
      </c>
      <c r="B96" s="291">
        <v>45163.0</v>
      </c>
      <c r="C96" s="291">
        <v>45163.0</v>
      </c>
      <c r="D96" s="297">
        <v>3.0</v>
      </c>
      <c r="E96" s="55" t="b">
        <v>1</v>
      </c>
      <c r="F96" s="55" t="b">
        <v>0</v>
      </c>
      <c r="G96" s="55" t="b">
        <v>0</v>
      </c>
      <c r="H96" s="55" t="b">
        <v>0</v>
      </c>
      <c r="I96" s="55" t="s">
        <v>527</v>
      </c>
      <c r="J96" s="55" t="s">
        <v>1298</v>
      </c>
      <c r="K96" s="294">
        <v>551980.0</v>
      </c>
      <c r="L96" s="55" t="b">
        <v>0</v>
      </c>
      <c r="M96" s="55" t="b">
        <v>0</v>
      </c>
      <c r="N96" s="55" t="b">
        <v>0</v>
      </c>
      <c r="O96" s="55" t="b">
        <v>0</v>
      </c>
      <c r="P96" s="55" t="b">
        <v>0</v>
      </c>
      <c r="Q96" s="55" t="b">
        <v>0</v>
      </c>
      <c r="R96" s="55" t="b">
        <v>0</v>
      </c>
      <c r="S96" s="55" t="b">
        <v>0</v>
      </c>
      <c r="T96" s="55" t="b">
        <v>0</v>
      </c>
      <c r="U96" s="296" t="s">
        <v>1324</v>
      </c>
      <c r="V96" s="295"/>
      <c r="W96" s="295"/>
      <c r="X96" s="295"/>
      <c r="Y96" s="296" t="s">
        <v>1324</v>
      </c>
    </row>
    <row r="97">
      <c r="A97" s="114" t="s">
        <v>523</v>
      </c>
      <c r="B97" s="291">
        <v>45128.0</v>
      </c>
      <c r="C97" s="291">
        <v>45128.0</v>
      </c>
      <c r="D97" s="297">
        <v>3.0</v>
      </c>
      <c r="E97" s="55" t="b">
        <v>1</v>
      </c>
      <c r="F97" s="55" t="b">
        <v>0</v>
      </c>
      <c r="G97" s="55" t="b">
        <v>0</v>
      </c>
      <c r="H97" s="55" t="b">
        <v>0</v>
      </c>
      <c r="I97" s="55" t="s">
        <v>527</v>
      </c>
      <c r="J97" s="55" t="s">
        <v>1298</v>
      </c>
      <c r="K97" s="294">
        <v>551980.0</v>
      </c>
      <c r="L97" s="55" t="b">
        <v>0</v>
      </c>
      <c r="M97" s="55" t="b">
        <v>0</v>
      </c>
      <c r="N97" s="55" t="b">
        <v>0</v>
      </c>
      <c r="O97" s="55" t="b">
        <v>0</v>
      </c>
      <c r="P97" s="55" t="b">
        <v>0</v>
      </c>
      <c r="Q97" s="55" t="b">
        <v>0</v>
      </c>
      <c r="R97" s="55" t="b">
        <v>0</v>
      </c>
      <c r="S97" s="55" t="b">
        <v>0</v>
      </c>
      <c r="T97" s="55" t="b">
        <v>0</v>
      </c>
      <c r="U97" s="296" t="s">
        <v>1324</v>
      </c>
      <c r="V97" s="295"/>
      <c r="W97" s="295"/>
      <c r="X97" s="295"/>
      <c r="Y97" s="296" t="s">
        <v>1324</v>
      </c>
    </row>
    <row r="98">
      <c r="A98" s="114" t="s">
        <v>523</v>
      </c>
      <c r="B98" s="291">
        <v>45121.0</v>
      </c>
      <c r="C98" s="291">
        <v>45121.0</v>
      </c>
      <c r="D98" s="297">
        <v>3.0</v>
      </c>
      <c r="E98" s="55" t="b">
        <v>1</v>
      </c>
      <c r="F98" s="55" t="b">
        <v>0</v>
      </c>
      <c r="G98" s="55" t="b">
        <v>0</v>
      </c>
      <c r="H98" s="55" t="b">
        <v>0</v>
      </c>
      <c r="I98" s="55" t="s">
        <v>527</v>
      </c>
      <c r="J98" s="55" t="s">
        <v>1298</v>
      </c>
      <c r="K98" s="294">
        <v>551980.0</v>
      </c>
      <c r="L98" s="55" t="b">
        <v>0</v>
      </c>
      <c r="M98" s="55" t="b">
        <v>0</v>
      </c>
      <c r="N98" s="55" t="b">
        <v>0</v>
      </c>
      <c r="O98" s="55" t="b">
        <v>0</v>
      </c>
      <c r="P98" s="55" t="b">
        <v>0</v>
      </c>
      <c r="Q98" s="55" t="b">
        <v>0</v>
      </c>
      <c r="R98" s="55" t="b">
        <v>0</v>
      </c>
      <c r="S98" s="55" t="b">
        <v>0</v>
      </c>
      <c r="T98" s="55" t="b">
        <v>0</v>
      </c>
      <c r="U98" s="296" t="s">
        <v>1324</v>
      </c>
      <c r="V98" s="295"/>
      <c r="W98" s="295"/>
      <c r="X98" s="295"/>
      <c r="Y98" s="296" t="s">
        <v>1324</v>
      </c>
    </row>
    <row r="99">
      <c r="A99" s="114" t="s">
        <v>523</v>
      </c>
      <c r="B99" s="291">
        <v>45114.0</v>
      </c>
      <c r="C99" s="309">
        <v>45114.0</v>
      </c>
      <c r="D99" s="297">
        <v>3.0</v>
      </c>
      <c r="E99" s="55" t="b">
        <v>1</v>
      </c>
      <c r="F99" s="55" t="b">
        <v>0</v>
      </c>
      <c r="G99" s="55" t="b">
        <v>0</v>
      </c>
      <c r="H99" s="55" t="b">
        <v>0</v>
      </c>
      <c r="I99" s="55" t="s">
        <v>527</v>
      </c>
      <c r="J99" s="55" t="s">
        <v>1298</v>
      </c>
      <c r="K99" s="294">
        <v>551980.0</v>
      </c>
      <c r="L99" s="55" t="b">
        <v>0</v>
      </c>
      <c r="M99" s="55" t="b">
        <v>0</v>
      </c>
      <c r="N99" s="55" t="b">
        <v>0</v>
      </c>
      <c r="O99" s="55" t="b">
        <v>0</v>
      </c>
      <c r="P99" s="55" t="b">
        <v>0</v>
      </c>
      <c r="Q99" s="55" t="b">
        <v>0</v>
      </c>
      <c r="R99" s="55" t="b">
        <v>0</v>
      </c>
      <c r="S99" s="55" t="b">
        <v>0</v>
      </c>
      <c r="T99" s="55" t="b">
        <v>0</v>
      </c>
      <c r="U99" s="296" t="s">
        <v>1324</v>
      </c>
      <c r="V99" s="295"/>
      <c r="W99" s="295"/>
      <c r="X99" s="295"/>
      <c r="Y99" s="296" t="s">
        <v>1324</v>
      </c>
    </row>
    <row r="100">
      <c r="A100" s="114" t="s">
        <v>523</v>
      </c>
      <c r="B100" s="291">
        <v>45107.0</v>
      </c>
      <c r="C100" s="291">
        <v>45107.0</v>
      </c>
      <c r="D100" s="297">
        <v>3.0</v>
      </c>
      <c r="E100" s="55" t="b">
        <v>1</v>
      </c>
      <c r="F100" s="55" t="b">
        <v>0</v>
      </c>
      <c r="G100" s="55" t="b">
        <v>0</v>
      </c>
      <c r="H100" s="55" t="b">
        <v>0</v>
      </c>
      <c r="I100" s="55" t="s">
        <v>527</v>
      </c>
      <c r="J100" s="55" t="s">
        <v>1298</v>
      </c>
      <c r="K100" s="294">
        <v>551980.0</v>
      </c>
      <c r="L100" s="55" t="b">
        <v>0</v>
      </c>
      <c r="M100" s="55" t="b">
        <v>0</v>
      </c>
      <c r="N100" s="55" t="b">
        <v>0</v>
      </c>
      <c r="O100" s="55" t="b">
        <v>0</v>
      </c>
      <c r="P100" s="55" t="b">
        <v>0</v>
      </c>
      <c r="Q100" s="55" t="b">
        <v>0</v>
      </c>
      <c r="R100" s="55" t="b">
        <v>0</v>
      </c>
      <c r="S100" s="55" t="b">
        <v>0</v>
      </c>
      <c r="T100" s="55" t="b">
        <v>0</v>
      </c>
      <c r="U100" s="296" t="s">
        <v>1324</v>
      </c>
      <c r="V100" s="295"/>
      <c r="W100" s="295"/>
      <c r="X100" s="295"/>
      <c r="Y100" s="296" t="s">
        <v>1324</v>
      </c>
    </row>
    <row r="101">
      <c r="A101" s="114" t="s">
        <v>523</v>
      </c>
      <c r="B101" s="291">
        <v>45086.0</v>
      </c>
      <c r="C101" s="291">
        <v>45086.0</v>
      </c>
      <c r="D101" s="297">
        <v>3.0</v>
      </c>
      <c r="E101" s="55" t="b">
        <v>1</v>
      </c>
      <c r="F101" s="55" t="b">
        <v>0</v>
      </c>
      <c r="G101" s="55" t="b">
        <v>0</v>
      </c>
      <c r="H101" s="55" t="b">
        <v>0</v>
      </c>
      <c r="I101" s="55" t="s">
        <v>527</v>
      </c>
      <c r="J101" s="55" t="s">
        <v>1298</v>
      </c>
      <c r="K101" s="294">
        <v>551980.0</v>
      </c>
      <c r="L101" s="55" t="b">
        <v>0</v>
      </c>
      <c r="M101" s="55" t="b">
        <v>0</v>
      </c>
      <c r="N101" s="55" t="b">
        <v>0</v>
      </c>
      <c r="O101" s="55" t="b">
        <v>0</v>
      </c>
      <c r="P101" s="55" t="b">
        <v>0</v>
      </c>
      <c r="Q101" s="55" t="b">
        <v>0</v>
      </c>
      <c r="R101" s="55" t="b">
        <v>0</v>
      </c>
      <c r="S101" s="55" t="b">
        <v>0</v>
      </c>
      <c r="T101" s="55" t="b">
        <v>0</v>
      </c>
      <c r="U101" s="296" t="s">
        <v>1324</v>
      </c>
      <c r="V101" s="295"/>
      <c r="W101" s="295"/>
      <c r="X101" s="295"/>
      <c r="Y101" s="296" t="s">
        <v>1324</v>
      </c>
    </row>
    <row r="102">
      <c r="A102" s="114" t="s">
        <v>523</v>
      </c>
      <c r="B102" s="291">
        <v>45072.0</v>
      </c>
      <c r="C102" s="309">
        <v>45072.0</v>
      </c>
      <c r="D102" s="297">
        <v>3.0</v>
      </c>
      <c r="E102" s="55" t="b">
        <v>1</v>
      </c>
      <c r="F102" s="55" t="b">
        <v>0</v>
      </c>
      <c r="G102" s="55" t="b">
        <v>0</v>
      </c>
      <c r="H102" s="55" t="b">
        <v>0</v>
      </c>
      <c r="I102" s="55" t="s">
        <v>527</v>
      </c>
      <c r="J102" s="55" t="s">
        <v>1298</v>
      </c>
      <c r="K102" s="294">
        <v>551980.0</v>
      </c>
      <c r="L102" s="55" t="b">
        <v>0</v>
      </c>
      <c r="M102" s="55" t="b">
        <v>0</v>
      </c>
      <c r="N102" s="55" t="b">
        <v>0</v>
      </c>
      <c r="O102" s="55" t="b">
        <v>0</v>
      </c>
      <c r="P102" s="55" t="b">
        <v>0</v>
      </c>
      <c r="Q102" s="55" t="b">
        <v>0</v>
      </c>
      <c r="R102" s="55" t="b">
        <v>0</v>
      </c>
      <c r="S102" s="55" t="b">
        <v>0</v>
      </c>
      <c r="T102" s="55" t="b">
        <v>0</v>
      </c>
      <c r="U102" s="296" t="s">
        <v>1324</v>
      </c>
      <c r="V102" s="295"/>
      <c r="W102" s="295"/>
      <c r="X102" s="295"/>
      <c r="Y102" s="296" t="s">
        <v>1324</v>
      </c>
    </row>
    <row r="103">
      <c r="A103" s="114" t="s">
        <v>523</v>
      </c>
      <c r="B103" s="291">
        <v>45065.0</v>
      </c>
      <c r="C103" s="309">
        <v>45065.0</v>
      </c>
      <c r="D103" s="297">
        <v>3.0</v>
      </c>
      <c r="E103" s="55" t="b">
        <v>1</v>
      </c>
      <c r="F103" s="55" t="b">
        <v>0</v>
      </c>
      <c r="G103" s="55" t="b">
        <v>0</v>
      </c>
      <c r="H103" s="55" t="b">
        <v>0</v>
      </c>
      <c r="I103" s="55" t="s">
        <v>527</v>
      </c>
      <c r="J103" s="55" t="s">
        <v>1298</v>
      </c>
      <c r="K103" s="294">
        <v>551980.0</v>
      </c>
      <c r="L103" s="55" t="b">
        <v>0</v>
      </c>
      <c r="M103" s="55" t="b">
        <v>0</v>
      </c>
      <c r="N103" s="55" t="b">
        <v>0</v>
      </c>
      <c r="O103" s="55" t="b">
        <v>0</v>
      </c>
      <c r="P103" s="55" t="b">
        <v>0</v>
      </c>
      <c r="Q103" s="55" t="b">
        <v>0</v>
      </c>
      <c r="R103" s="55" t="b">
        <v>0</v>
      </c>
      <c r="S103" s="55" t="b">
        <v>0</v>
      </c>
      <c r="T103" s="55" t="b">
        <v>0</v>
      </c>
      <c r="U103" s="296" t="s">
        <v>1324</v>
      </c>
      <c r="V103" s="295"/>
      <c r="W103" s="295"/>
      <c r="X103" s="295"/>
      <c r="Y103" s="296" t="s">
        <v>1324</v>
      </c>
    </row>
    <row r="104">
      <c r="A104" s="114" t="s">
        <v>523</v>
      </c>
      <c r="B104" s="291">
        <v>45051.0</v>
      </c>
      <c r="C104" s="309">
        <v>45051.0</v>
      </c>
      <c r="D104" s="297">
        <v>3.0</v>
      </c>
      <c r="E104" s="55" t="b">
        <v>1</v>
      </c>
      <c r="F104" s="55" t="b">
        <v>0</v>
      </c>
      <c r="G104" s="55" t="b">
        <v>0</v>
      </c>
      <c r="H104" s="55" t="b">
        <v>0</v>
      </c>
      <c r="I104" s="55" t="s">
        <v>527</v>
      </c>
      <c r="J104" s="55" t="s">
        <v>1298</v>
      </c>
      <c r="K104" s="294">
        <v>551980.0</v>
      </c>
      <c r="L104" s="55" t="b">
        <v>0</v>
      </c>
      <c r="M104" s="55" t="b">
        <v>0</v>
      </c>
      <c r="N104" s="55" t="b">
        <v>0</v>
      </c>
      <c r="O104" s="55" t="b">
        <v>0</v>
      </c>
      <c r="P104" s="55" t="b">
        <v>0</v>
      </c>
      <c r="Q104" s="55" t="b">
        <v>0</v>
      </c>
      <c r="R104" s="55" t="b">
        <v>0</v>
      </c>
      <c r="S104" s="55" t="b">
        <v>0</v>
      </c>
      <c r="T104" s="55" t="b">
        <v>0</v>
      </c>
      <c r="U104" s="296" t="s">
        <v>1324</v>
      </c>
      <c r="V104" s="295"/>
      <c r="W104" s="295"/>
      <c r="X104" s="295"/>
      <c r="Y104" s="296" t="s">
        <v>1324</v>
      </c>
    </row>
    <row r="105">
      <c r="A105" s="114" t="s">
        <v>523</v>
      </c>
      <c r="B105" s="291">
        <v>45044.0</v>
      </c>
      <c r="C105" s="309">
        <v>45044.0</v>
      </c>
      <c r="D105" s="297">
        <v>3.0</v>
      </c>
      <c r="E105" s="55" t="b">
        <v>1</v>
      </c>
      <c r="F105" s="55" t="b">
        <v>0</v>
      </c>
      <c r="G105" s="55" t="b">
        <v>0</v>
      </c>
      <c r="H105" s="55" t="b">
        <v>0</v>
      </c>
      <c r="I105" s="55" t="s">
        <v>527</v>
      </c>
      <c r="J105" s="55" t="s">
        <v>1298</v>
      </c>
      <c r="K105" s="294">
        <v>551980.0</v>
      </c>
      <c r="L105" s="55" t="b">
        <v>0</v>
      </c>
      <c r="M105" s="55" t="b">
        <v>0</v>
      </c>
      <c r="N105" s="55" t="b">
        <v>0</v>
      </c>
      <c r="O105" s="55" t="b">
        <v>0</v>
      </c>
      <c r="P105" s="55" t="b">
        <v>0</v>
      </c>
      <c r="Q105" s="55" t="b">
        <v>0</v>
      </c>
      <c r="R105" s="55" t="b">
        <v>0</v>
      </c>
      <c r="S105" s="55" t="b">
        <v>0</v>
      </c>
      <c r="T105" s="55" t="b">
        <v>0</v>
      </c>
      <c r="U105" s="296" t="s">
        <v>1324</v>
      </c>
      <c r="V105" s="295"/>
      <c r="W105" s="295"/>
      <c r="X105" s="295"/>
      <c r="Y105" s="296" t="s">
        <v>1324</v>
      </c>
    </row>
    <row r="106">
      <c r="A106" s="114" t="s">
        <v>523</v>
      </c>
      <c r="B106" s="291">
        <v>45037.0</v>
      </c>
      <c r="C106" s="309">
        <v>45037.0</v>
      </c>
      <c r="D106" s="297">
        <v>3.0</v>
      </c>
      <c r="E106" s="55" t="b">
        <v>1</v>
      </c>
      <c r="F106" s="55" t="b">
        <v>0</v>
      </c>
      <c r="G106" s="55" t="b">
        <v>0</v>
      </c>
      <c r="H106" s="55" t="b">
        <v>0</v>
      </c>
      <c r="I106" s="55" t="s">
        <v>527</v>
      </c>
      <c r="J106" s="55" t="s">
        <v>1298</v>
      </c>
      <c r="K106" s="294">
        <v>551980.0</v>
      </c>
      <c r="L106" s="55" t="b">
        <v>0</v>
      </c>
      <c r="M106" s="55" t="b">
        <v>0</v>
      </c>
      <c r="N106" s="55" t="b">
        <v>0</v>
      </c>
      <c r="O106" s="55" t="b">
        <v>0</v>
      </c>
      <c r="P106" s="55" t="b">
        <v>0</v>
      </c>
      <c r="Q106" s="55" t="b">
        <v>0</v>
      </c>
      <c r="R106" s="55" t="b">
        <v>0</v>
      </c>
      <c r="S106" s="55" t="b">
        <v>0</v>
      </c>
      <c r="T106" s="55" t="b">
        <v>0</v>
      </c>
      <c r="U106" s="296" t="s">
        <v>1324</v>
      </c>
      <c r="V106" s="295"/>
      <c r="W106" s="295"/>
      <c r="X106" s="295"/>
      <c r="Y106" s="296" t="s">
        <v>1324</v>
      </c>
    </row>
    <row r="107">
      <c r="A107" s="114" t="s">
        <v>523</v>
      </c>
      <c r="B107" s="291">
        <v>45030.0</v>
      </c>
      <c r="C107" s="309">
        <v>45030.0</v>
      </c>
      <c r="D107" s="297">
        <v>3.0</v>
      </c>
      <c r="E107" s="55" t="b">
        <v>1</v>
      </c>
      <c r="F107" s="55" t="b">
        <v>0</v>
      </c>
      <c r="G107" s="55" t="b">
        <v>0</v>
      </c>
      <c r="H107" s="55" t="b">
        <v>0</v>
      </c>
      <c r="I107" s="55" t="s">
        <v>527</v>
      </c>
      <c r="J107" s="55" t="s">
        <v>1298</v>
      </c>
      <c r="K107" s="294">
        <v>551980.0</v>
      </c>
      <c r="L107" s="55" t="b">
        <v>0</v>
      </c>
      <c r="M107" s="55" t="b">
        <v>0</v>
      </c>
      <c r="N107" s="55" t="b">
        <v>0</v>
      </c>
      <c r="O107" s="55" t="b">
        <v>0</v>
      </c>
      <c r="P107" s="55" t="b">
        <v>0</v>
      </c>
      <c r="Q107" s="55" t="b">
        <v>0</v>
      </c>
      <c r="R107" s="55" t="b">
        <v>0</v>
      </c>
      <c r="S107" s="55" t="b">
        <v>0</v>
      </c>
      <c r="T107" s="55" t="b">
        <v>0</v>
      </c>
      <c r="U107" s="296" t="s">
        <v>1324</v>
      </c>
      <c r="V107" s="295"/>
      <c r="W107" s="295"/>
      <c r="X107" s="295"/>
      <c r="Y107" s="296" t="s">
        <v>1324</v>
      </c>
    </row>
    <row r="108">
      <c r="A108" s="114" t="s">
        <v>523</v>
      </c>
      <c r="B108" s="291">
        <v>45023.0</v>
      </c>
      <c r="C108" s="309">
        <v>45023.0</v>
      </c>
      <c r="D108" s="297">
        <v>3.0</v>
      </c>
      <c r="E108" s="55" t="b">
        <v>1</v>
      </c>
      <c r="F108" s="55" t="b">
        <v>0</v>
      </c>
      <c r="G108" s="55" t="b">
        <v>0</v>
      </c>
      <c r="H108" s="55" t="b">
        <v>0</v>
      </c>
      <c r="I108" s="55" t="s">
        <v>527</v>
      </c>
      <c r="J108" s="55" t="s">
        <v>1298</v>
      </c>
      <c r="K108" s="294">
        <v>551980.0</v>
      </c>
      <c r="L108" s="55" t="b">
        <v>0</v>
      </c>
      <c r="M108" s="55" t="b">
        <v>0</v>
      </c>
      <c r="N108" s="55" t="b">
        <v>0</v>
      </c>
      <c r="O108" s="55" t="b">
        <v>0</v>
      </c>
      <c r="P108" s="55" t="b">
        <v>0</v>
      </c>
      <c r="Q108" s="55" t="b">
        <v>0</v>
      </c>
      <c r="R108" s="55" t="b">
        <v>0</v>
      </c>
      <c r="S108" s="55" t="b">
        <v>0</v>
      </c>
      <c r="T108" s="55" t="b">
        <v>0</v>
      </c>
      <c r="U108" s="296" t="s">
        <v>1324</v>
      </c>
      <c r="V108" s="295"/>
      <c r="W108" s="295"/>
      <c r="X108" s="295"/>
      <c r="Y108" s="296" t="s">
        <v>1324</v>
      </c>
    </row>
    <row r="109">
      <c r="A109" s="114" t="s">
        <v>523</v>
      </c>
      <c r="B109" s="291">
        <v>45016.0</v>
      </c>
      <c r="C109" s="309">
        <v>45016.0</v>
      </c>
      <c r="D109" s="297">
        <v>3.0</v>
      </c>
      <c r="E109" s="55" t="b">
        <v>1</v>
      </c>
      <c r="F109" s="55" t="b">
        <v>0</v>
      </c>
      <c r="G109" s="55" t="b">
        <v>0</v>
      </c>
      <c r="H109" s="55" t="b">
        <v>0</v>
      </c>
      <c r="I109" s="55" t="s">
        <v>527</v>
      </c>
      <c r="J109" s="55" t="s">
        <v>1298</v>
      </c>
      <c r="K109" s="294">
        <v>551980.0</v>
      </c>
      <c r="L109" s="55" t="b">
        <v>0</v>
      </c>
      <c r="M109" s="55" t="b">
        <v>0</v>
      </c>
      <c r="N109" s="55" t="b">
        <v>0</v>
      </c>
      <c r="O109" s="55" t="b">
        <v>0</v>
      </c>
      <c r="P109" s="55" t="b">
        <v>0</v>
      </c>
      <c r="Q109" s="55" t="b">
        <v>0</v>
      </c>
      <c r="R109" s="55" t="b">
        <v>0</v>
      </c>
      <c r="S109" s="55" t="b">
        <v>0</v>
      </c>
      <c r="T109" s="55" t="b">
        <v>0</v>
      </c>
      <c r="U109" s="296" t="s">
        <v>1324</v>
      </c>
      <c r="V109" s="295"/>
      <c r="W109" s="295"/>
      <c r="X109" s="295"/>
      <c r="Y109" s="296" t="s">
        <v>1324</v>
      </c>
    </row>
    <row r="110">
      <c r="A110" s="114" t="s">
        <v>523</v>
      </c>
      <c r="B110" s="291">
        <v>45009.0</v>
      </c>
      <c r="C110" s="309">
        <v>45009.0</v>
      </c>
      <c r="D110" s="297">
        <v>3.0</v>
      </c>
      <c r="E110" s="55" t="b">
        <v>1</v>
      </c>
      <c r="F110" s="55" t="b">
        <v>0</v>
      </c>
      <c r="G110" s="55" t="b">
        <v>0</v>
      </c>
      <c r="H110" s="55" t="b">
        <v>0</v>
      </c>
      <c r="I110" s="55" t="s">
        <v>527</v>
      </c>
      <c r="J110" s="55" t="s">
        <v>1298</v>
      </c>
      <c r="K110" s="294">
        <v>551980.0</v>
      </c>
      <c r="L110" s="55" t="b">
        <v>0</v>
      </c>
      <c r="M110" s="55" t="b">
        <v>0</v>
      </c>
      <c r="N110" s="55" t="b">
        <v>0</v>
      </c>
      <c r="O110" s="55" t="b">
        <v>0</v>
      </c>
      <c r="P110" s="55" t="b">
        <v>0</v>
      </c>
      <c r="Q110" s="55" t="b">
        <v>0</v>
      </c>
      <c r="R110" s="55" t="b">
        <v>0</v>
      </c>
      <c r="S110" s="55" t="b">
        <v>0</v>
      </c>
      <c r="T110" s="55" t="b">
        <v>0</v>
      </c>
      <c r="U110" s="296" t="s">
        <v>1324</v>
      </c>
      <c r="V110" s="295"/>
      <c r="W110" s="295"/>
      <c r="X110" s="295"/>
      <c r="Y110" s="296" t="s">
        <v>1324</v>
      </c>
    </row>
    <row r="111">
      <c r="A111" s="114" t="s">
        <v>523</v>
      </c>
      <c r="B111" s="291">
        <v>44995.0</v>
      </c>
      <c r="C111" s="291">
        <v>44995.0</v>
      </c>
      <c r="D111" s="297">
        <v>3.0</v>
      </c>
      <c r="E111" s="55" t="b">
        <v>1</v>
      </c>
      <c r="F111" s="55" t="b">
        <v>0</v>
      </c>
      <c r="G111" s="55" t="b">
        <v>0</v>
      </c>
      <c r="H111" s="55" t="b">
        <v>0</v>
      </c>
      <c r="I111" s="55" t="s">
        <v>527</v>
      </c>
      <c r="J111" s="55" t="s">
        <v>1298</v>
      </c>
      <c r="K111" s="294">
        <v>551980.0</v>
      </c>
      <c r="L111" s="55" t="b">
        <v>0</v>
      </c>
      <c r="M111" s="55" t="b">
        <v>0</v>
      </c>
      <c r="N111" s="55" t="b">
        <v>0</v>
      </c>
      <c r="O111" s="55" t="b">
        <v>0</v>
      </c>
      <c r="P111" s="55" t="b">
        <v>0</v>
      </c>
      <c r="Q111" s="55" t="b">
        <v>0</v>
      </c>
      <c r="R111" s="55" t="b">
        <v>0</v>
      </c>
      <c r="S111" s="55" t="b">
        <v>0</v>
      </c>
      <c r="T111" s="55" t="b">
        <v>0</v>
      </c>
      <c r="U111" s="296" t="s">
        <v>1324</v>
      </c>
      <c r="V111" s="295"/>
      <c r="W111" s="295"/>
      <c r="X111" s="295"/>
      <c r="Y111" s="296" t="s">
        <v>1324</v>
      </c>
    </row>
    <row r="112">
      <c r="A112" s="114" t="s">
        <v>523</v>
      </c>
      <c r="B112" s="291">
        <v>44988.0</v>
      </c>
      <c r="C112" s="309">
        <v>44988.0</v>
      </c>
      <c r="D112" s="297">
        <v>3.0</v>
      </c>
      <c r="E112" s="55" t="b">
        <v>1</v>
      </c>
      <c r="F112" s="55" t="b">
        <v>0</v>
      </c>
      <c r="G112" s="55" t="b">
        <v>0</v>
      </c>
      <c r="H112" s="55" t="b">
        <v>0</v>
      </c>
      <c r="I112" s="55" t="s">
        <v>527</v>
      </c>
      <c r="J112" s="55" t="s">
        <v>1298</v>
      </c>
      <c r="K112" s="294">
        <v>551980.0</v>
      </c>
      <c r="L112" s="55" t="b">
        <v>0</v>
      </c>
      <c r="M112" s="55" t="b">
        <v>0</v>
      </c>
      <c r="N112" s="55" t="b">
        <v>0</v>
      </c>
      <c r="O112" s="55" t="b">
        <v>0</v>
      </c>
      <c r="P112" s="55" t="b">
        <v>0</v>
      </c>
      <c r="Q112" s="55" t="b">
        <v>0</v>
      </c>
      <c r="R112" s="55" t="b">
        <v>0</v>
      </c>
      <c r="S112" s="55" t="b">
        <v>0</v>
      </c>
      <c r="T112" s="55" t="b">
        <v>0</v>
      </c>
      <c r="U112" s="296" t="s">
        <v>1324</v>
      </c>
      <c r="V112" s="295"/>
      <c r="W112" s="295"/>
      <c r="X112" s="295"/>
      <c r="Y112" s="296" t="s">
        <v>1324</v>
      </c>
    </row>
    <row r="113">
      <c r="A113" s="114" t="s">
        <v>523</v>
      </c>
      <c r="B113" s="291">
        <v>44981.0</v>
      </c>
      <c r="C113" s="291">
        <v>44981.0</v>
      </c>
      <c r="D113" s="297">
        <v>3.0</v>
      </c>
      <c r="E113" s="55" t="b">
        <v>1</v>
      </c>
      <c r="F113" s="55" t="b">
        <v>0</v>
      </c>
      <c r="G113" s="55" t="b">
        <v>0</v>
      </c>
      <c r="H113" s="55" t="b">
        <v>0</v>
      </c>
      <c r="I113" s="55" t="s">
        <v>527</v>
      </c>
      <c r="J113" s="55" t="s">
        <v>1298</v>
      </c>
      <c r="K113" s="294">
        <v>551980.0</v>
      </c>
      <c r="L113" s="55" t="b">
        <v>0</v>
      </c>
      <c r="M113" s="55" t="b">
        <v>0</v>
      </c>
      <c r="N113" s="55" t="b">
        <v>0</v>
      </c>
      <c r="O113" s="55" t="b">
        <v>0</v>
      </c>
      <c r="P113" s="55" t="b">
        <v>0</v>
      </c>
      <c r="Q113" s="55" t="b">
        <v>0</v>
      </c>
      <c r="R113" s="55" t="b">
        <v>0</v>
      </c>
      <c r="S113" s="55" t="b">
        <v>0</v>
      </c>
      <c r="T113" s="55" t="b">
        <v>0</v>
      </c>
      <c r="U113" s="296" t="s">
        <v>1324</v>
      </c>
      <c r="V113" s="295"/>
      <c r="W113" s="295"/>
      <c r="X113" s="295"/>
      <c r="Y113" s="296" t="s">
        <v>1324</v>
      </c>
    </row>
    <row r="114">
      <c r="A114" s="114" t="s">
        <v>523</v>
      </c>
      <c r="B114" s="291">
        <v>44912.0</v>
      </c>
      <c r="C114" s="309">
        <v>44931.0</v>
      </c>
      <c r="D114" s="293">
        <v>9096.0</v>
      </c>
      <c r="E114" s="55" t="b">
        <v>1</v>
      </c>
      <c r="F114" s="55" t="b">
        <v>0</v>
      </c>
      <c r="G114" s="55" t="b">
        <v>0</v>
      </c>
      <c r="H114" s="55" t="b">
        <v>0</v>
      </c>
      <c r="I114" s="55" t="s">
        <v>550</v>
      </c>
      <c r="J114" s="55" t="s">
        <v>1298</v>
      </c>
      <c r="K114" s="294">
        <v>349176.0</v>
      </c>
      <c r="L114" s="55" t="b">
        <v>0</v>
      </c>
      <c r="M114" s="55" t="b">
        <v>0</v>
      </c>
      <c r="N114" s="55" t="b">
        <v>0</v>
      </c>
      <c r="O114" s="55" t="b">
        <v>0</v>
      </c>
      <c r="P114" s="55" t="b">
        <v>0</v>
      </c>
      <c r="Q114" s="55" t="b">
        <v>0</v>
      </c>
      <c r="R114" s="55" t="b">
        <v>0</v>
      </c>
      <c r="S114" s="55" t="b">
        <v>0</v>
      </c>
      <c r="T114" s="55" t="b">
        <v>0</v>
      </c>
      <c r="U114" s="295"/>
      <c r="V114" s="295"/>
      <c r="W114" s="296" t="s">
        <v>1324</v>
      </c>
      <c r="X114" s="295"/>
      <c r="Y114" s="295"/>
    </row>
    <row r="115">
      <c r="A115" s="114" t="s">
        <v>523</v>
      </c>
      <c r="B115" s="291">
        <v>39957.0</v>
      </c>
      <c r="C115" s="233"/>
      <c r="D115" s="293">
        <v>128016.0</v>
      </c>
      <c r="E115" s="55" t="b">
        <v>0</v>
      </c>
      <c r="F115" s="55" t="b">
        <v>1</v>
      </c>
      <c r="G115" s="55" t="b">
        <v>0</v>
      </c>
      <c r="H115" s="55" t="b">
        <v>0</v>
      </c>
      <c r="I115" s="55" t="s">
        <v>38</v>
      </c>
      <c r="J115" s="55" t="s">
        <v>1298</v>
      </c>
      <c r="K115" s="294">
        <v>8.8844498E7</v>
      </c>
      <c r="L115" s="55" t="b">
        <v>1</v>
      </c>
      <c r="M115" s="55" t="b">
        <v>1</v>
      </c>
      <c r="N115" s="55" t="b">
        <v>0</v>
      </c>
      <c r="O115" s="55" t="b">
        <v>0</v>
      </c>
      <c r="P115" s="55" t="b">
        <v>0</v>
      </c>
      <c r="Q115" s="55" t="b">
        <v>0</v>
      </c>
      <c r="R115" s="55" t="b">
        <v>0</v>
      </c>
      <c r="S115" s="55" t="b">
        <v>0</v>
      </c>
      <c r="T115" s="55" t="b">
        <v>1</v>
      </c>
      <c r="U115" s="295"/>
      <c r="V115" s="295"/>
      <c r="W115" s="295"/>
      <c r="X115" s="296" t="s">
        <v>1324</v>
      </c>
      <c r="Y115" s="295"/>
    </row>
    <row r="116">
      <c r="A116" s="114" t="s">
        <v>523</v>
      </c>
      <c r="B116" s="291">
        <v>39977.0</v>
      </c>
      <c r="C116" s="233"/>
      <c r="D116" s="293">
        <v>127536.0</v>
      </c>
      <c r="E116" s="55" t="b">
        <v>0</v>
      </c>
      <c r="F116" s="55" t="b">
        <v>1</v>
      </c>
      <c r="G116" s="55" t="b">
        <v>0</v>
      </c>
      <c r="H116" s="55" t="b">
        <v>0</v>
      </c>
      <c r="I116" s="55" t="s">
        <v>38</v>
      </c>
      <c r="J116" s="55" t="s">
        <v>1298</v>
      </c>
      <c r="K116" s="294">
        <v>8.8844498E7</v>
      </c>
      <c r="L116" s="55" t="b">
        <v>0</v>
      </c>
      <c r="M116" s="55" t="b">
        <v>0</v>
      </c>
      <c r="N116" s="55" t="b">
        <v>1</v>
      </c>
      <c r="O116" s="55" t="b">
        <v>0</v>
      </c>
      <c r="P116" s="55" t="b">
        <v>0</v>
      </c>
      <c r="Q116" s="55" t="b">
        <v>0</v>
      </c>
      <c r="R116" s="55" t="b">
        <v>0</v>
      </c>
      <c r="S116" s="55" t="b">
        <v>0</v>
      </c>
      <c r="T116" s="55" t="b">
        <v>1</v>
      </c>
      <c r="U116" s="295"/>
      <c r="V116" s="295"/>
      <c r="W116" s="295"/>
      <c r="X116" s="296" t="s">
        <v>1324</v>
      </c>
      <c r="Y116" s="295"/>
    </row>
    <row r="117">
      <c r="A117" s="114" t="s">
        <v>523</v>
      </c>
      <c r="B117" s="291">
        <v>44828.0</v>
      </c>
      <c r="C117" s="233"/>
      <c r="D117" s="293">
        <v>11112.0</v>
      </c>
      <c r="E117" s="55" t="b">
        <v>1</v>
      </c>
      <c r="F117" s="55" t="b">
        <v>0</v>
      </c>
      <c r="G117" s="55" t="b">
        <v>0</v>
      </c>
      <c r="H117" s="55" t="b">
        <v>0</v>
      </c>
      <c r="I117" s="55" t="s">
        <v>38</v>
      </c>
      <c r="J117" s="55" t="s">
        <v>1298</v>
      </c>
      <c r="K117" s="294">
        <v>8.8844498E7</v>
      </c>
      <c r="L117" s="55" t="b">
        <v>0</v>
      </c>
      <c r="M117" s="55" t="b">
        <v>0</v>
      </c>
      <c r="N117" s="55" t="b">
        <v>0</v>
      </c>
      <c r="O117" s="55" t="b">
        <v>0</v>
      </c>
      <c r="P117" s="55" t="b">
        <v>0</v>
      </c>
      <c r="Q117" s="55" t="b">
        <v>0</v>
      </c>
      <c r="R117" s="55" t="b">
        <v>0</v>
      </c>
      <c r="S117" s="55" t="b">
        <v>1</v>
      </c>
      <c r="T117" s="55" t="b">
        <v>1</v>
      </c>
      <c r="U117" s="295"/>
      <c r="V117" s="295"/>
      <c r="W117" s="295"/>
      <c r="X117" s="296" t="s">
        <v>1324</v>
      </c>
      <c r="Y117" s="295"/>
    </row>
    <row r="118">
      <c r="A118" s="114" t="s">
        <v>523</v>
      </c>
      <c r="B118" s="291">
        <v>44825.0</v>
      </c>
      <c r="C118" s="233"/>
      <c r="D118" s="293">
        <v>11184.0</v>
      </c>
      <c r="E118" s="55" t="b">
        <v>1</v>
      </c>
      <c r="F118" s="55" t="b">
        <v>0</v>
      </c>
      <c r="G118" s="55" t="b">
        <v>0</v>
      </c>
      <c r="H118" s="55" t="b">
        <v>0</v>
      </c>
      <c r="I118" s="55" t="s">
        <v>38</v>
      </c>
      <c r="J118" s="55" t="s">
        <v>1298</v>
      </c>
      <c r="K118" s="294">
        <v>8.8844498E7</v>
      </c>
      <c r="L118" s="55" t="b">
        <v>0</v>
      </c>
      <c r="M118" s="55" t="b">
        <v>0</v>
      </c>
      <c r="N118" s="55" t="b">
        <v>0</v>
      </c>
      <c r="O118" s="55" t="b">
        <v>1</v>
      </c>
      <c r="P118" s="55" t="b">
        <v>0</v>
      </c>
      <c r="Q118" s="55" t="b">
        <v>1</v>
      </c>
      <c r="R118" s="55" t="b">
        <v>0</v>
      </c>
      <c r="S118" s="55" t="b">
        <v>0</v>
      </c>
      <c r="T118" s="55" t="b">
        <v>1</v>
      </c>
      <c r="U118" s="295"/>
      <c r="V118" s="295"/>
      <c r="W118" s="295"/>
      <c r="X118" s="296" t="s">
        <v>1324</v>
      </c>
      <c r="Y118" s="295"/>
    </row>
    <row r="119">
      <c r="A119" s="114" t="s">
        <v>523</v>
      </c>
      <c r="B119" s="291">
        <v>43220.0</v>
      </c>
      <c r="C119" s="233"/>
      <c r="D119" s="293">
        <v>49704.0</v>
      </c>
      <c r="E119" s="55" t="b">
        <v>0</v>
      </c>
      <c r="F119" s="55" t="b">
        <v>0</v>
      </c>
      <c r="G119" s="55" t="b">
        <v>1</v>
      </c>
      <c r="H119" s="55" t="b">
        <v>0</v>
      </c>
      <c r="I119" s="55" t="s">
        <v>38</v>
      </c>
      <c r="J119" s="55" t="s">
        <v>1298</v>
      </c>
      <c r="K119" s="294">
        <v>8.8844498E7</v>
      </c>
      <c r="L119" s="55" t="b">
        <v>0</v>
      </c>
      <c r="M119" s="55" t="b">
        <v>0</v>
      </c>
      <c r="N119" s="55" t="b">
        <v>0</v>
      </c>
      <c r="O119" s="55" t="b">
        <v>0</v>
      </c>
      <c r="P119" s="55" t="b">
        <v>1</v>
      </c>
      <c r="Q119" s="55" t="b">
        <v>0</v>
      </c>
      <c r="R119" s="55" t="b">
        <v>0</v>
      </c>
      <c r="S119" s="55" t="b">
        <v>0</v>
      </c>
      <c r="T119" s="55" t="b">
        <v>1</v>
      </c>
      <c r="U119" s="295"/>
      <c r="V119" s="295"/>
      <c r="W119" s="295"/>
      <c r="X119" s="296" t="s">
        <v>1324</v>
      </c>
      <c r="Y119" s="295"/>
    </row>
    <row r="120">
      <c r="A120" s="114" t="s">
        <v>590</v>
      </c>
      <c r="B120" s="291">
        <v>45144.0</v>
      </c>
      <c r="C120" s="292"/>
      <c r="D120" s="293">
        <v>3528.0</v>
      </c>
      <c r="E120" s="55" t="b">
        <v>0</v>
      </c>
      <c r="F120" s="55" t="b">
        <v>0</v>
      </c>
      <c r="G120" s="55" t="b">
        <v>0</v>
      </c>
      <c r="H120" s="55" t="b">
        <v>1</v>
      </c>
      <c r="I120" s="55" t="s">
        <v>38</v>
      </c>
      <c r="J120" s="55" t="s">
        <v>1298</v>
      </c>
      <c r="K120" s="294">
        <v>4.4996074E7</v>
      </c>
      <c r="L120" s="55" t="b">
        <v>0</v>
      </c>
      <c r="M120" s="55" t="b">
        <v>0</v>
      </c>
      <c r="N120" s="55" t="b">
        <v>0</v>
      </c>
      <c r="O120" s="55" t="b">
        <v>0</v>
      </c>
      <c r="P120" s="55" t="b">
        <v>1</v>
      </c>
      <c r="Q120" s="55" t="b">
        <v>0</v>
      </c>
      <c r="R120" s="55" t="b">
        <v>0</v>
      </c>
      <c r="S120" s="55" t="b">
        <v>0</v>
      </c>
      <c r="T120" s="55" t="b">
        <v>1</v>
      </c>
      <c r="U120" s="295"/>
      <c r="V120" s="296" t="s">
        <v>1324</v>
      </c>
      <c r="W120" s="295"/>
      <c r="X120" s="295"/>
      <c r="Y120" s="296" t="s">
        <v>1324</v>
      </c>
    </row>
    <row r="121">
      <c r="A121" s="114" t="s">
        <v>604</v>
      </c>
      <c r="B121" s="291">
        <v>45235.0</v>
      </c>
      <c r="C121" s="291">
        <v>45239.0</v>
      </c>
      <c r="D121" s="297">
        <v>96.0</v>
      </c>
      <c r="E121" s="55" t="b">
        <v>0</v>
      </c>
      <c r="F121" s="55" t="b">
        <v>0</v>
      </c>
      <c r="G121" s="55" t="b">
        <v>1</v>
      </c>
      <c r="H121" s="55" t="b">
        <v>0</v>
      </c>
      <c r="I121" s="55" t="s">
        <v>603</v>
      </c>
      <c r="J121" s="55" t="s">
        <v>1298</v>
      </c>
      <c r="K121" s="294">
        <v>1.360632E7</v>
      </c>
      <c r="L121" s="55" t="b">
        <v>0</v>
      </c>
      <c r="M121" s="55" t="b">
        <v>0</v>
      </c>
      <c r="N121" s="55" t="b">
        <v>0</v>
      </c>
      <c r="O121" s="55" t="b">
        <v>0</v>
      </c>
      <c r="P121" s="55" t="b">
        <v>0</v>
      </c>
      <c r="Q121" s="55" t="b">
        <v>0</v>
      </c>
      <c r="R121" s="55" t="b">
        <v>0</v>
      </c>
      <c r="S121" s="55" t="b">
        <v>0</v>
      </c>
      <c r="T121" s="55" t="b">
        <v>0</v>
      </c>
      <c r="U121" s="296" t="s">
        <v>1324</v>
      </c>
      <c r="V121" s="295"/>
      <c r="W121" s="295"/>
      <c r="X121" s="295"/>
      <c r="Y121" s="296" t="s">
        <v>1324</v>
      </c>
    </row>
    <row r="122">
      <c r="A122" s="114" t="s">
        <v>604</v>
      </c>
      <c r="B122" s="291">
        <v>45283.0</v>
      </c>
      <c r="C122" s="291">
        <v>45284.0</v>
      </c>
      <c r="D122" s="297">
        <v>24.0</v>
      </c>
      <c r="E122" s="55" t="b">
        <v>0</v>
      </c>
      <c r="F122" s="55" t="b">
        <v>0</v>
      </c>
      <c r="G122" s="55" t="b">
        <v>1</v>
      </c>
      <c r="H122" s="55" t="b">
        <v>0</v>
      </c>
      <c r="I122" s="55" t="s">
        <v>603</v>
      </c>
      <c r="J122" s="55" t="s">
        <v>1298</v>
      </c>
      <c r="K122" s="294">
        <v>1.360632E7</v>
      </c>
      <c r="L122" s="55" t="b">
        <v>0</v>
      </c>
      <c r="M122" s="55" t="b">
        <v>0</v>
      </c>
      <c r="N122" s="55" t="b">
        <v>0</v>
      </c>
      <c r="O122" s="55" t="b">
        <v>0</v>
      </c>
      <c r="P122" s="55" t="b">
        <v>0</v>
      </c>
      <c r="Q122" s="55" t="b">
        <v>0</v>
      </c>
      <c r="R122" s="55" t="b">
        <v>0</v>
      </c>
      <c r="S122" s="55" t="b">
        <v>0</v>
      </c>
      <c r="T122" s="55" t="b">
        <v>0</v>
      </c>
      <c r="U122" s="296" t="s">
        <v>1324</v>
      </c>
      <c r="V122" s="295"/>
      <c r="W122" s="295"/>
      <c r="X122" s="295"/>
      <c r="Y122" s="296" t="s">
        <v>1324</v>
      </c>
    </row>
    <row r="123">
      <c r="A123" s="114" t="s">
        <v>604</v>
      </c>
      <c r="B123" s="291">
        <v>45051.0</v>
      </c>
      <c r="C123" s="291">
        <v>45051.0</v>
      </c>
      <c r="D123" s="297">
        <v>2.0</v>
      </c>
      <c r="E123" s="55" t="b">
        <v>0</v>
      </c>
      <c r="F123" s="55" t="b">
        <v>0</v>
      </c>
      <c r="G123" s="55" t="b">
        <v>1</v>
      </c>
      <c r="H123" s="55" t="b">
        <v>0</v>
      </c>
      <c r="I123" s="55" t="s">
        <v>603</v>
      </c>
      <c r="J123" s="55" t="s">
        <v>1298</v>
      </c>
      <c r="K123" s="294">
        <v>1.360632E7</v>
      </c>
      <c r="L123" s="55" t="b">
        <v>0</v>
      </c>
      <c r="M123" s="55" t="b">
        <v>0</v>
      </c>
      <c r="N123" s="55" t="b">
        <v>0</v>
      </c>
      <c r="O123" s="55" t="b">
        <v>0</v>
      </c>
      <c r="P123" s="55" t="b">
        <v>0</v>
      </c>
      <c r="Q123" s="55" t="b">
        <v>0</v>
      </c>
      <c r="R123" s="55" t="b">
        <v>0</v>
      </c>
      <c r="S123" s="55" t="b">
        <v>0</v>
      </c>
      <c r="T123" s="55" t="b">
        <v>0</v>
      </c>
      <c r="U123" s="296" t="s">
        <v>1324</v>
      </c>
      <c r="V123" s="295"/>
      <c r="W123" s="295"/>
      <c r="X123" s="295"/>
      <c r="Y123" s="296" t="s">
        <v>1324</v>
      </c>
    </row>
    <row r="124">
      <c r="A124" s="114" t="s">
        <v>604</v>
      </c>
      <c r="B124" s="291">
        <v>45038.0</v>
      </c>
      <c r="C124" s="291">
        <v>45038.0</v>
      </c>
      <c r="D124" s="297">
        <v>7.0</v>
      </c>
      <c r="E124" s="55" t="b">
        <v>0</v>
      </c>
      <c r="F124" s="55" t="b">
        <v>0</v>
      </c>
      <c r="G124" s="55" t="b">
        <v>1</v>
      </c>
      <c r="H124" s="55" t="b">
        <v>0</v>
      </c>
      <c r="I124" s="55" t="s">
        <v>603</v>
      </c>
      <c r="J124" s="55" t="s">
        <v>1298</v>
      </c>
      <c r="K124" s="294">
        <v>1.360632E7</v>
      </c>
      <c r="L124" s="55" t="b">
        <v>0</v>
      </c>
      <c r="M124" s="55" t="b">
        <v>0</v>
      </c>
      <c r="N124" s="55" t="b">
        <v>0</v>
      </c>
      <c r="O124" s="55" t="b">
        <v>0</v>
      </c>
      <c r="P124" s="55" t="b">
        <v>0</v>
      </c>
      <c r="Q124" s="55" t="b">
        <v>0</v>
      </c>
      <c r="R124" s="55" t="b">
        <v>0</v>
      </c>
      <c r="S124" s="55" t="b">
        <v>0</v>
      </c>
      <c r="T124" s="55" t="b">
        <v>0</v>
      </c>
      <c r="U124" s="296" t="s">
        <v>1324</v>
      </c>
      <c r="V124" s="295"/>
      <c r="W124" s="295"/>
      <c r="X124" s="295"/>
      <c r="Y124" s="296" t="s">
        <v>1324</v>
      </c>
    </row>
    <row r="125">
      <c r="A125" s="114" t="s">
        <v>642</v>
      </c>
      <c r="B125" s="291">
        <v>44911.0</v>
      </c>
      <c r="C125" s="292"/>
      <c r="D125" s="293">
        <v>9120.0</v>
      </c>
      <c r="E125" s="55" t="b">
        <v>1</v>
      </c>
      <c r="F125" s="55" t="b">
        <v>0</v>
      </c>
      <c r="G125" s="55" t="b">
        <v>0</v>
      </c>
      <c r="H125" s="55" t="b">
        <v>0</v>
      </c>
      <c r="I125" s="55" t="s">
        <v>38</v>
      </c>
      <c r="J125" s="55" t="s">
        <v>1298</v>
      </c>
      <c r="K125" s="294">
        <v>1.1315547E7</v>
      </c>
      <c r="L125" s="55" t="b">
        <v>0</v>
      </c>
      <c r="M125" s="55" t="b">
        <v>0</v>
      </c>
      <c r="N125" s="55" t="b">
        <v>0</v>
      </c>
      <c r="O125" s="55" t="b">
        <v>0</v>
      </c>
      <c r="P125" s="55" t="b">
        <v>0</v>
      </c>
      <c r="Q125" s="55" t="b">
        <v>0</v>
      </c>
      <c r="R125" s="55" t="b">
        <v>1</v>
      </c>
      <c r="S125" s="55" t="b">
        <v>0</v>
      </c>
      <c r="T125" s="55" t="b">
        <v>1</v>
      </c>
      <c r="U125" s="295"/>
      <c r="V125" s="295"/>
      <c r="W125" s="295"/>
      <c r="X125" s="296" t="s">
        <v>1324</v>
      </c>
      <c r="Y125" s="295"/>
    </row>
    <row r="126">
      <c r="A126" s="114" t="s">
        <v>681</v>
      </c>
      <c r="B126" s="291">
        <v>44232.0</v>
      </c>
      <c r="C126" s="292"/>
      <c r="D126" s="293">
        <v>25416.0</v>
      </c>
      <c r="E126" s="55" t="b">
        <v>0</v>
      </c>
      <c r="F126" s="55" t="b">
        <v>0</v>
      </c>
      <c r="G126" s="55" t="b">
        <v>1</v>
      </c>
      <c r="H126" s="55" t="b">
        <v>0</v>
      </c>
      <c r="I126" s="55" t="s">
        <v>38</v>
      </c>
      <c r="J126" s="55" t="s">
        <v>1298</v>
      </c>
      <c r="K126" s="294">
        <v>5.4380868E7</v>
      </c>
      <c r="L126" s="55" t="b">
        <v>0</v>
      </c>
      <c r="M126" s="55" t="b">
        <v>1</v>
      </c>
      <c r="N126" s="55" t="b">
        <v>0</v>
      </c>
      <c r="O126" s="55" t="b">
        <v>0</v>
      </c>
      <c r="P126" s="55" t="b">
        <v>0</v>
      </c>
      <c r="Q126" s="55" t="b">
        <v>0</v>
      </c>
      <c r="R126" s="55" t="b">
        <v>0</v>
      </c>
      <c r="S126" s="55" t="b">
        <v>0</v>
      </c>
      <c r="T126" s="55" t="b">
        <v>1</v>
      </c>
      <c r="U126" s="295"/>
      <c r="V126" s="295"/>
      <c r="W126" s="295"/>
      <c r="X126" s="296" t="s">
        <v>1324</v>
      </c>
      <c r="Y126" s="295"/>
    </row>
    <row r="127">
      <c r="A127" s="114" t="s">
        <v>681</v>
      </c>
      <c r="B127" s="291">
        <v>44230.0</v>
      </c>
      <c r="C127" s="292"/>
      <c r="D127" s="293">
        <v>25464.0</v>
      </c>
      <c r="E127" s="55" t="b">
        <v>0</v>
      </c>
      <c r="F127" s="55" t="b">
        <v>0</v>
      </c>
      <c r="G127" s="55" t="b">
        <v>1</v>
      </c>
      <c r="H127" s="55" t="b">
        <v>0</v>
      </c>
      <c r="I127" s="55" t="s">
        <v>38</v>
      </c>
      <c r="J127" s="55" t="s">
        <v>1298</v>
      </c>
      <c r="K127" s="294">
        <v>5.4380868E7</v>
      </c>
      <c r="L127" s="55" t="b">
        <v>1</v>
      </c>
      <c r="M127" s="55" t="b">
        <v>0</v>
      </c>
      <c r="N127" s="55" t="b">
        <v>0</v>
      </c>
      <c r="O127" s="55" t="b">
        <v>1</v>
      </c>
      <c r="P127" s="55" t="b">
        <v>0</v>
      </c>
      <c r="Q127" s="55" t="b">
        <v>1</v>
      </c>
      <c r="R127" s="55" t="b">
        <v>0</v>
      </c>
      <c r="S127" s="55" t="b">
        <v>0</v>
      </c>
      <c r="T127" s="55" t="b">
        <v>1</v>
      </c>
      <c r="U127" s="295"/>
      <c r="V127" s="295"/>
      <c r="W127" s="295"/>
      <c r="X127" s="296" t="s">
        <v>1324</v>
      </c>
      <c r="Y127" s="295"/>
    </row>
    <row r="128">
      <c r="A128" s="114" t="s">
        <v>697</v>
      </c>
      <c r="B128" s="291">
        <v>44269.0</v>
      </c>
      <c r="C128" s="292"/>
      <c r="D128" s="293">
        <v>24528.0</v>
      </c>
      <c r="E128" s="55" t="b">
        <v>0</v>
      </c>
      <c r="F128" s="55" t="b">
        <v>0</v>
      </c>
      <c r="G128" s="55" t="b">
        <v>0</v>
      </c>
      <c r="H128" s="55" t="b">
        <v>1</v>
      </c>
      <c r="I128" s="55" t="s">
        <v>38</v>
      </c>
      <c r="J128" s="55" t="s">
        <v>1298</v>
      </c>
      <c r="K128" s="294">
        <v>4609315.0</v>
      </c>
      <c r="L128" s="55" t="b">
        <v>0</v>
      </c>
      <c r="M128" s="55" t="b">
        <v>0</v>
      </c>
      <c r="N128" s="55" t="b">
        <v>0</v>
      </c>
      <c r="O128" s="55" t="b">
        <v>0</v>
      </c>
      <c r="P128" s="55" t="b">
        <v>0</v>
      </c>
      <c r="Q128" s="55" t="b">
        <v>0</v>
      </c>
      <c r="R128" s="55" t="b">
        <v>0</v>
      </c>
      <c r="S128" s="55" t="b">
        <v>1</v>
      </c>
      <c r="T128" s="55" t="b">
        <v>1</v>
      </c>
      <c r="U128" s="295"/>
      <c r="V128" s="295"/>
      <c r="W128" s="295"/>
      <c r="X128" s="296" t="s">
        <v>1324</v>
      </c>
      <c r="Y128" s="295"/>
    </row>
    <row r="129">
      <c r="A129" s="114" t="s">
        <v>697</v>
      </c>
      <c r="B129" s="291">
        <v>41500.0</v>
      </c>
      <c r="C129" s="292"/>
      <c r="D129" s="293">
        <v>90984.0</v>
      </c>
      <c r="E129" s="55" t="b">
        <v>0</v>
      </c>
      <c r="F129" s="55" t="b">
        <v>0</v>
      </c>
      <c r="G129" s="55" t="b">
        <v>0</v>
      </c>
      <c r="H129" s="55" t="b">
        <v>1</v>
      </c>
      <c r="I129" s="55" t="s">
        <v>38</v>
      </c>
      <c r="J129" s="55" t="s">
        <v>1298</v>
      </c>
      <c r="K129" s="294">
        <v>4609315.0</v>
      </c>
      <c r="L129" s="55" t="b">
        <v>0</v>
      </c>
      <c r="M129" s="55" t="b">
        <v>0</v>
      </c>
      <c r="N129" s="55" t="b">
        <v>0</v>
      </c>
      <c r="O129" s="55" t="b">
        <v>0</v>
      </c>
      <c r="P129" s="55" t="b">
        <v>1</v>
      </c>
      <c r="Q129" s="55" t="b">
        <v>0</v>
      </c>
      <c r="R129" s="55" t="b">
        <v>0</v>
      </c>
      <c r="S129" s="55" t="b">
        <v>0</v>
      </c>
      <c r="T129" s="55" t="b">
        <v>1</v>
      </c>
      <c r="U129" s="295"/>
      <c r="V129" s="295"/>
      <c r="W129" s="295"/>
      <c r="X129" s="296" t="s">
        <v>1324</v>
      </c>
      <c r="Y129" s="295"/>
    </row>
    <row r="130">
      <c r="A130" s="114" t="s">
        <v>697</v>
      </c>
      <c r="B130" s="291">
        <v>39868.0</v>
      </c>
      <c r="C130" s="292"/>
      <c r="D130" s="293">
        <v>130152.0</v>
      </c>
      <c r="E130" s="55" t="b">
        <v>0</v>
      </c>
      <c r="F130" s="55" t="b">
        <v>0</v>
      </c>
      <c r="G130" s="55" t="b">
        <v>0</v>
      </c>
      <c r="H130" s="55" t="b">
        <v>1</v>
      </c>
      <c r="I130" s="55" t="s">
        <v>38</v>
      </c>
      <c r="J130" s="55" t="s">
        <v>1298</v>
      </c>
      <c r="K130" s="294">
        <v>4609315.0</v>
      </c>
      <c r="L130" s="55" t="b">
        <v>0</v>
      </c>
      <c r="M130" s="55" t="b">
        <v>0</v>
      </c>
      <c r="N130" s="55" t="b">
        <v>0</v>
      </c>
      <c r="O130" s="55" t="b">
        <v>0</v>
      </c>
      <c r="P130" s="55" t="b">
        <v>0</v>
      </c>
      <c r="Q130" s="55" t="b">
        <v>1</v>
      </c>
      <c r="R130" s="55" t="b">
        <v>0</v>
      </c>
      <c r="S130" s="55" t="b">
        <v>0</v>
      </c>
      <c r="T130" s="55" t="b">
        <v>1</v>
      </c>
      <c r="U130" s="295"/>
      <c r="V130" s="295"/>
      <c r="W130" s="295"/>
      <c r="X130" s="296" t="s">
        <v>1324</v>
      </c>
      <c r="Y130" s="295"/>
    </row>
    <row r="131">
      <c r="A131" s="114" t="s">
        <v>704</v>
      </c>
      <c r="B131" s="291">
        <v>45277.0</v>
      </c>
      <c r="C131" s="291">
        <v>45277.0</v>
      </c>
      <c r="D131" s="297">
        <v>7.0</v>
      </c>
      <c r="E131" s="55" t="b">
        <v>0</v>
      </c>
      <c r="F131" s="55" t="b">
        <v>0</v>
      </c>
      <c r="G131" s="55" t="b">
        <v>1</v>
      </c>
      <c r="H131" s="55" t="b">
        <v>0</v>
      </c>
      <c r="I131" s="55" t="s">
        <v>38</v>
      </c>
      <c r="J131" s="55" t="s">
        <v>1298</v>
      </c>
      <c r="K131" s="294">
        <v>2.38126113E8</v>
      </c>
      <c r="L131" s="55" t="b">
        <v>1</v>
      </c>
      <c r="M131" s="55" t="b">
        <v>1</v>
      </c>
      <c r="N131" s="55" t="b">
        <v>1</v>
      </c>
      <c r="O131" s="55" t="b">
        <v>1</v>
      </c>
      <c r="P131" s="55" t="b">
        <v>0</v>
      </c>
      <c r="Q131" s="55" t="b">
        <v>0</v>
      </c>
      <c r="R131" s="55" t="b">
        <v>1</v>
      </c>
      <c r="S131" s="55" t="b">
        <v>0</v>
      </c>
      <c r="T131" s="55" t="b">
        <v>1</v>
      </c>
      <c r="U131" s="296" t="s">
        <v>1324</v>
      </c>
      <c r="V131" s="295"/>
      <c r="W131" s="295"/>
      <c r="X131" s="295"/>
      <c r="Y131" s="296" t="s">
        <v>1324</v>
      </c>
    </row>
    <row r="132">
      <c r="A132" s="114" t="s">
        <v>704</v>
      </c>
      <c r="B132" s="291">
        <v>45056.0</v>
      </c>
      <c r="C132" s="292"/>
      <c r="D132" s="293">
        <v>5640.0</v>
      </c>
      <c r="E132" s="55" t="b">
        <v>0</v>
      </c>
      <c r="F132" s="55" t="b">
        <v>0</v>
      </c>
      <c r="G132" s="55" t="b">
        <v>1</v>
      </c>
      <c r="H132" s="55" t="b">
        <v>0</v>
      </c>
      <c r="I132" s="55" t="s">
        <v>38</v>
      </c>
      <c r="J132" s="55" t="s">
        <v>1298</v>
      </c>
      <c r="K132" s="294">
        <v>2.38126113E8</v>
      </c>
      <c r="L132" s="55" t="b">
        <v>0</v>
      </c>
      <c r="M132" s="55" t="b">
        <v>0</v>
      </c>
      <c r="N132" s="55" t="b">
        <v>0</v>
      </c>
      <c r="O132" s="55" t="b">
        <v>1</v>
      </c>
      <c r="P132" s="55" t="b">
        <v>0</v>
      </c>
      <c r="Q132" s="55" t="b">
        <v>0</v>
      </c>
      <c r="R132" s="55" t="b">
        <v>0</v>
      </c>
      <c r="S132" s="55" t="b">
        <v>0</v>
      </c>
      <c r="T132" s="55" t="b">
        <v>1</v>
      </c>
      <c r="U132" s="295"/>
      <c r="V132" s="296" t="s">
        <v>1324</v>
      </c>
      <c r="W132" s="295"/>
      <c r="X132" s="295"/>
      <c r="Y132" s="296" t="s">
        <v>1324</v>
      </c>
    </row>
    <row r="133">
      <c r="A133" s="114" t="s">
        <v>704</v>
      </c>
      <c r="B133" s="291">
        <v>45055.0</v>
      </c>
      <c r="C133" s="291">
        <v>45058.0</v>
      </c>
      <c r="D133" s="297">
        <v>3.0</v>
      </c>
      <c r="E133" s="55" t="b">
        <v>0</v>
      </c>
      <c r="F133" s="55" t="b">
        <v>0</v>
      </c>
      <c r="G133" s="55" t="b">
        <v>1</v>
      </c>
      <c r="H133" s="55" t="b">
        <v>0</v>
      </c>
      <c r="I133" s="55" t="s">
        <v>38</v>
      </c>
      <c r="J133" s="55" t="s">
        <v>1298</v>
      </c>
      <c r="K133" s="294">
        <v>2.38126113E8</v>
      </c>
      <c r="L133" s="55" t="b">
        <v>0</v>
      </c>
      <c r="M133" s="55" t="b">
        <v>0</v>
      </c>
      <c r="N133" s="55" t="b">
        <v>0</v>
      </c>
      <c r="O133" s="55" t="b">
        <v>0</v>
      </c>
      <c r="P133" s="55" t="b">
        <v>0</v>
      </c>
      <c r="Q133" s="55" t="b">
        <v>0</v>
      </c>
      <c r="R133" s="55" t="b">
        <v>0</v>
      </c>
      <c r="S133" s="55" t="b">
        <v>0</v>
      </c>
      <c r="T133" s="55" t="b">
        <v>0</v>
      </c>
      <c r="U133" s="296" t="s">
        <v>1324</v>
      </c>
      <c r="V133" s="295"/>
      <c r="W133" s="295"/>
      <c r="X133" s="295"/>
      <c r="Y133" s="296" t="s">
        <v>1324</v>
      </c>
    </row>
    <row r="134">
      <c r="A134" s="114" t="s">
        <v>704</v>
      </c>
      <c r="B134" s="291">
        <v>45055.0</v>
      </c>
      <c r="C134" s="292"/>
      <c r="D134" s="293">
        <v>5664.0</v>
      </c>
      <c r="E134" s="55" t="b">
        <v>0</v>
      </c>
      <c r="F134" s="55" t="b">
        <v>0</v>
      </c>
      <c r="G134" s="55" t="b">
        <v>1</v>
      </c>
      <c r="H134" s="55" t="b">
        <v>0</v>
      </c>
      <c r="I134" s="55" t="s">
        <v>38</v>
      </c>
      <c r="J134" s="55" t="s">
        <v>1298</v>
      </c>
      <c r="K134" s="294">
        <v>2.38126113E8</v>
      </c>
      <c r="L134" s="55" t="b">
        <v>1</v>
      </c>
      <c r="M134" s="55" t="b">
        <v>1</v>
      </c>
      <c r="N134" s="55" t="b">
        <v>1</v>
      </c>
      <c r="O134" s="55" t="b">
        <v>0</v>
      </c>
      <c r="P134" s="55" t="b">
        <v>0</v>
      </c>
      <c r="Q134" s="55" t="b">
        <v>0</v>
      </c>
      <c r="R134" s="55" t="b">
        <v>0</v>
      </c>
      <c r="S134" s="55" t="b">
        <v>0</v>
      </c>
      <c r="T134" s="55" t="b">
        <v>1</v>
      </c>
      <c r="U134" s="295"/>
      <c r="V134" s="296" t="s">
        <v>1324</v>
      </c>
      <c r="W134" s="295"/>
      <c r="X134" s="295"/>
      <c r="Y134" s="296" t="s">
        <v>1324</v>
      </c>
    </row>
    <row r="135">
      <c r="A135" s="114" t="s">
        <v>755</v>
      </c>
      <c r="B135" s="291">
        <v>43018.0</v>
      </c>
      <c r="C135" s="292"/>
      <c r="D135" s="293">
        <v>54552.0</v>
      </c>
      <c r="E135" s="55" t="b">
        <v>0</v>
      </c>
      <c r="F135" s="55" t="b">
        <v>0</v>
      </c>
      <c r="G135" s="55" t="b">
        <v>0</v>
      </c>
      <c r="H135" s="55" t="b">
        <v>1</v>
      </c>
      <c r="I135" s="55" t="s">
        <v>38</v>
      </c>
      <c r="J135" s="55" t="s">
        <v>1298</v>
      </c>
      <c r="K135" s="294">
        <v>2705914.0</v>
      </c>
      <c r="L135" s="55" t="b">
        <v>0</v>
      </c>
      <c r="M135" s="55" t="b">
        <v>0</v>
      </c>
      <c r="N135" s="55" t="b">
        <v>0</v>
      </c>
      <c r="O135" s="55" t="b">
        <v>0</v>
      </c>
      <c r="P135" s="55" t="b">
        <v>0</v>
      </c>
      <c r="Q135" s="55" t="b">
        <v>1</v>
      </c>
      <c r="R135" s="55" t="b">
        <v>0</v>
      </c>
      <c r="S135" s="55" t="b">
        <v>1</v>
      </c>
      <c r="T135" s="55" t="b">
        <v>1</v>
      </c>
      <c r="U135" s="295"/>
      <c r="V135" s="295"/>
      <c r="W135" s="295"/>
      <c r="X135" s="296" t="s">
        <v>1324</v>
      </c>
      <c r="Y135" s="295"/>
    </row>
    <row r="136">
      <c r="A136" s="114" t="s">
        <v>794</v>
      </c>
      <c r="B136" s="291">
        <v>44123.0</v>
      </c>
      <c r="C136" s="292"/>
      <c r="D136" s="293">
        <v>28032.0</v>
      </c>
      <c r="E136" s="55" t="b">
        <v>1</v>
      </c>
      <c r="F136" s="55" t="b">
        <v>0</v>
      </c>
      <c r="G136" s="55" t="b">
        <v>0</v>
      </c>
      <c r="H136" s="55" t="b">
        <v>0</v>
      </c>
      <c r="I136" s="55" t="s">
        <v>38</v>
      </c>
      <c r="J136" s="55" t="s">
        <v>1298</v>
      </c>
      <c r="K136" s="294">
        <v>7.1753808E7</v>
      </c>
      <c r="L136" s="55" t="b">
        <v>0</v>
      </c>
      <c r="M136" s="55" t="b">
        <v>0</v>
      </c>
      <c r="N136" s="55" t="b">
        <v>0</v>
      </c>
      <c r="O136" s="55" t="b">
        <v>0</v>
      </c>
      <c r="P136" s="55" t="b">
        <v>1</v>
      </c>
      <c r="Q136" s="55" t="b">
        <v>0</v>
      </c>
      <c r="R136" s="55" t="b">
        <v>0</v>
      </c>
      <c r="S136" s="55" t="b">
        <v>0</v>
      </c>
      <c r="T136" s="55" t="b">
        <v>1</v>
      </c>
      <c r="U136" s="295"/>
      <c r="V136" s="295"/>
      <c r="W136" s="295"/>
      <c r="X136" s="296" t="s">
        <v>1324</v>
      </c>
      <c r="Y136" s="295"/>
    </row>
    <row r="137">
      <c r="A137" s="114" t="s">
        <v>799</v>
      </c>
      <c r="B137" s="291">
        <v>44978.0</v>
      </c>
      <c r="C137" s="292"/>
      <c r="D137" s="293">
        <v>7512.0</v>
      </c>
      <c r="E137" s="55" t="b">
        <v>0</v>
      </c>
      <c r="F137" s="55" t="b">
        <v>1</v>
      </c>
      <c r="G137" s="55" t="b">
        <v>0</v>
      </c>
      <c r="H137" s="55" t="b">
        <v>0</v>
      </c>
      <c r="I137" s="55" t="s">
        <v>38</v>
      </c>
      <c r="J137" s="55" t="s">
        <v>1298</v>
      </c>
      <c r="K137" s="294">
        <v>8.5590849E7</v>
      </c>
      <c r="L137" s="55" t="b">
        <v>0</v>
      </c>
      <c r="M137" s="55" t="b">
        <v>0</v>
      </c>
      <c r="N137" s="55" t="b">
        <v>0</v>
      </c>
      <c r="O137" s="55" t="b">
        <v>0</v>
      </c>
      <c r="P137" s="55" t="b">
        <v>0</v>
      </c>
      <c r="Q137" s="55" t="b">
        <v>0</v>
      </c>
      <c r="R137" s="55" t="b">
        <v>1</v>
      </c>
      <c r="S137" s="55" t="b">
        <v>0</v>
      </c>
      <c r="T137" s="55" t="b">
        <v>1</v>
      </c>
      <c r="U137" s="295"/>
      <c r="V137" s="296" t="s">
        <v>1324</v>
      </c>
      <c r="W137" s="295"/>
      <c r="X137" s="295"/>
      <c r="Y137" s="296" t="s">
        <v>1324</v>
      </c>
    </row>
    <row r="138">
      <c r="A138" s="114" t="s">
        <v>799</v>
      </c>
      <c r="B138" s="291">
        <v>44965.0</v>
      </c>
      <c r="C138" s="291">
        <v>44966.0</v>
      </c>
      <c r="D138" s="297">
        <v>12.0</v>
      </c>
      <c r="E138" s="55" t="b">
        <v>0</v>
      </c>
      <c r="F138" s="55" t="b">
        <v>0</v>
      </c>
      <c r="G138" s="55" t="b">
        <v>1</v>
      </c>
      <c r="H138" s="55" t="b">
        <v>0</v>
      </c>
      <c r="I138" s="55" t="s">
        <v>38</v>
      </c>
      <c r="J138" s="55" t="s">
        <v>1298</v>
      </c>
      <c r="K138" s="294">
        <v>8.5590849E7</v>
      </c>
      <c r="L138" s="55" t="b">
        <v>0</v>
      </c>
      <c r="M138" s="55" t="b">
        <v>1</v>
      </c>
      <c r="N138" s="55" t="b">
        <v>0</v>
      </c>
      <c r="O138" s="55" t="b">
        <v>0</v>
      </c>
      <c r="P138" s="55" t="b">
        <v>0</v>
      </c>
      <c r="Q138" s="55" t="b">
        <v>0</v>
      </c>
      <c r="R138" s="55" t="b">
        <v>0</v>
      </c>
      <c r="S138" s="55" t="b">
        <v>0</v>
      </c>
      <c r="T138" s="55" t="b">
        <v>1</v>
      </c>
      <c r="U138" s="296" t="s">
        <v>1324</v>
      </c>
      <c r="V138" s="295"/>
      <c r="W138" s="295"/>
      <c r="X138" s="295"/>
      <c r="Y138" s="296" t="s">
        <v>1324</v>
      </c>
    </row>
    <row r="139">
      <c r="A139" s="114" t="s">
        <v>825</v>
      </c>
      <c r="B139" s="291">
        <v>43101.0</v>
      </c>
      <c r="C139" s="292"/>
      <c r="D139" s="293">
        <v>52560.0</v>
      </c>
      <c r="E139" s="55" t="b">
        <v>0</v>
      </c>
      <c r="F139" s="55" t="b">
        <v>0</v>
      </c>
      <c r="G139" s="55" t="b">
        <v>1</v>
      </c>
      <c r="H139" s="55" t="b">
        <v>0</v>
      </c>
      <c r="I139" s="55" t="s">
        <v>38</v>
      </c>
      <c r="J139" s="55" t="s">
        <v>1298</v>
      </c>
      <c r="K139" s="294">
        <v>6474341.0</v>
      </c>
      <c r="L139" s="55" t="b">
        <v>0</v>
      </c>
      <c r="M139" s="55" t="b">
        <v>1</v>
      </c>
      <c r="N139" s="55" t="b">
        <v>0</v>
      </c>
      <c r="O139" s="55" t="b">
        <v>0</v>
      </c>
      <c r="P139" s="55" t="b">
        <v>0</v>
      </c>
      <c r="Q139" s="55" t="b">
        <v>0</v>
      </c>
      <c r="R139" s="55" t="b">
        <v>0</v>
      </c>
      <c r="S139" s="55" t="b">
        <v>0</v>
      </c>
      <c r="T139" s="55" t="b">
        <v>1</v>
      </c>
      <c r="U139" s="295"/>
      <c r="V139" s="295"/>
      <c r="W139" s="295"/>
      <c r="X139" s="296" t="s">
        <v>1324</v>
      </c>
      <c r="Y139" s="295"/>
    </row>
    <row r="140">
      <c r="A140" s="114" t="s">
        <v>825</v>
      </c>
      <c r="B140" s="291">
        <v>40422.0</v>
      </c>
      <c r="C140" s="292"/>
      <c r="D140" s="293">
        <v>116856.0</v>
      </c>
      <c r="E140" s="55" t="b">
        <v>0</v>
      </c>
      <c r="F140" s="55" t="b">
        <v>0</v>
      </c>
      <c r="G140" s="55" t="b">
        <v>1</v>
      </c>
      <c r="H140" s="55" t="b">
        <v>0</v>
      </c>
      <c r="I140" s="55" t="s">
        <v>38</v>
      </c>
      <c r="J140" s="55" t="s">
        <v>1298</v>
      </c>
      <c r="K140" s="294">
        <v>6474341.0</v>
      </c>
      <c r="L140" s="55" t="b">
        <v>1</v>
      </c>
      <c r="M140" s="55" t="b">
        <v>0</v>
      </c>
      <c r="N140" s="55" t="b">
        <v>0</v>
      </c>
      <c r="O140" s="55" t="b">
        <v>1</v>
      </c>
      <c r="P140" s="55" t="b">
        <v>0</v>
      </c>
      <c r="Q140" s="55" t="b">
        <v>0</v>
      </c>
      <c r="R140" s="55" t="b">
        <v>0</v>
      </c>
      <c r="S140" s="55" t="b">
        <v>0</v>
      </c>
      <c r="T140" s="55" t="b">
        <v>1</v>
      </c>
      <c r="U140" s="295"/>
      <c r="V140" s="295"/>
      <c r="W140" s="295"/>
      <c r="X140" s="296" t="s">
        <v>1324</v>
      </c>
      <c r="Y140" s="295"/>
    </row>
    <row r="141">
      <c r="A141" s="114" t="s">
        <v>825</v>
      </c>
      <c r="B141" s="291">
        <v>40148.0</v>
      </c>
      <c r="C141" s="292"/>
      <c r="D141" s="293">
        <v>123432.0</v>
      </c>
      <c r="E141" s="55" t="b">
        <v>0</v>
      </c>
      <c r="F141" s="55" t="b">
        <v>0</v>
      </c>
      <c r="G141" s="55" t="b">
        <v>1</v>
      </c>
      <c r="H141" s="55" t="b">
        <v>0</v>
      </c>
      <c r="I141" s="55" t="s">
        <v>38</v>
      </c>
      <c r="J141" s="55" t="s">
        <v>1298</v>
      </c>
      <c r="K141" s="294">
        <v>6474341.0</v>
      </c>
      <c r="L141" s="55" t="b">
        <v>0</v>
      </c>
      <c r="M141" s="55" t="b">
        <v>0</v>
      </c>
      <c r="N141" s="55" t="b">
        <v>1</v>
      </c>
      <c r="O141" s="55" t="b">
        <v>0</v>
      </c>
      <c r="P141" s="55" t="b">
        <v>0</v>
      </c>
      <c r="Q141" s="55" t="b">
        <v>0</v>
      </c>
      <c r="R141" s="55" t="b">
        <v>0</v>
      </c>
      <c r="S141" s="55" t="b">
        <v>0</v>
      </c>
      <c r="T141" s="55" t="b">
        <v>1</v>
      </c>
      <c r="U141" s="295"/>
      <c r="V141" s="295"/>
      <c r="W141" s="295"/>
      <c r="X141" s="296" t="s">
        <v>1324</v>
      </c>
      <c r="Y141" s="295"/>
    </row>
    <row r="142">
      <c r="A142" s="114" t="s">
        <v>825</v>
      </c>
      <c r="B142" s="291">
        <v>42005.0</v>
      </c>
      <c r="C142" s="292"/>
      <c r="D142" s="293">
        <v>78864.0</v>
      </c>
      <c r="E142" s="55" t="b">
        <v>0</v>
      </c>
      <c r="F142" s="55" t="b">
        <v>0</v>
      </c>
      <c r="G142" s="55" t="b">
        <v>1</v>
      </c>
      <c r="H142" s="55" t="b">
        <v>0</v>
      </c>
      <c r="I142" s="55" t="s">
        <v>38</v>
      </c>
      <c r="J142" s="55" t="s">
        <v>1298</v>
      </c>
      <c r="K142" s="294">
        <v>6474341.0</v>
      </c>
      <c r="L142" s="55" t="b">
        <v>0</v>
      </c>
      <c r="M142" s="55" t="b">
        <v>0</v>
      </c>
      <c r="N142" s="55" t="b">
        <v>0</v>
      </c>
      <c r="O142" s="55" t="b">
        <v>0</v>
      </c>
      <c r="P142" s="55" t="b">
        <v>1</v>
      </c>
      <c r="Q142" s="55" t="b">
        <v>1</v>
      </c>
      <c r="R142" s="55" t="b">
        <v>0</v>
      </c>
      <c r="S142" s="55" t="b">
        <v>0</v>
      </c>
      <c r="T142" s="55" t="b">
        <v>1</v>
      </c>
      <c r="U142" s="295"/>
      <c r="V142" s="295"/>
      <c r="W142" s="295"/>
      <c r="X142" s="296" t="s">
        <v>1324</v>
      </c>
      <c r="Y142" s="295"/>
    </row>
    <row r="143">
      <c r="A143" s="114" t="s">
        <v>837</v>
      </c>
      <c r="B143" s="291">
        <v>42096.0</v>
      </c>
      <c r="C143" s="292"/>
      <c r="D143" s="293">
        <v>76680.0</v>
      </c>
      <c r="E143" s="55" t="b">
        <v>0</v>
      </c>
      <c r="F143" s="55" t="b">
        <v>0</v>
      </c>
      <c r="G143" s="55" t="b">
        <v>0</v>
      </c>
      <c r="H143" s="55" t="b">
        <v>1</v>
      </c>
      <c r="I143" s="55" t="s">
        <v>38</v>
      </c>
      <c r="J143" s="55" t="s">
        <v>1298</v>
      </c>
      <c r="K143" s="294">
        <v>9478996.0</v>
      </c>
      <c r="L143" s="55" t="b">
        <v>0</v>
      </c>
      <c r="M143" s="55" t="b">
        <v>0</v>
      </c>
      <c r="N143" s="55" t="b">
        <v>0</v>
      </c>
      <c r="O143" s="55" t="b">
        <v>0</v>
      </c>
      <c r="P143" s="55" t="b">
        <v>0</v>
      </c>
      <c r="Q143" s="55" t="b">
        <v>1</v>
      </c>
      <c r="R143" s="55" t="b">
        <v>0</v>
      </c>
      <c r="S143" s="55" t="b">
        <v>1</v>
      </c>
      <c r="T143" s="55" t="b">
        <v>1</v>
      </c>
      <c r="U143" s="295"/>
      <c r="V143" s="295"/>
      <c r="W143" s="295"/>
      <c r="X143" s="296" t="s">
        <v>1324</v>
      </c>
      <c r="Y143" s="295"/>
    </row>
    <row r="144">
      <c r="A144" s="114" t="s">
        <v>837</v>
      </c>
      <c r="B144" s="291">
        <v>43221.0</v>
      </c>
      <c r="C144" s="292"/>
      <c r="D144" s="293">
        <v>49680.0</v>
      </c>
      <c r="E144" s="55" t="b">
        <v>0</v>
      </c>
      <c r="F144" s="55" t="b">
        <v>0</v>
      </c>
      <c r="G144" s="55" t="b">
        <v>0</v>
      </c>
      <c r="H144" s="55" t="b">
        <v>1</v>
      </c>
      <c r="I144" s="55" t="s">
        <v>38</v>
      </c>
      <c r="J144" s="55" t="s">
        <v>1298</v>
      </c>
      <c r="K144" s="294">
        <v>9478996.0</v>
      </c>
      <c r="L144" s="55" t="b">
        <v>0</v>
      </c>
      <c r="M144" s="55" t="b">
        <v>0</v>
      </c>
      <c r="N144" s="55" t="b">
        <v>0</v>
      </c>
      <c r="O144" s="55" t="b">
        <v>0</v>
      </c>
      <c r="P144" s="55" t="b">
        <v>1</v>
      </c>
      <c r="Q144" s="55" t="b">
        <v>0</v>
      </c>
      <c r="R144" s="55" t="b">
        <v>0</v>
      </c>
      <c r="S144" s="55" t="b">
        <v>0</v>
      </c>
      <c r="T144" s="55" t="b">
        <v>1</v>
      </c>
      <c r="U144" s="295"/>
      <c r="V144" s="295"/>
      <c r="W144" s="295"/>
      <c r="X144" s="296" t="s">
        <v>1324</v>
      </c>
      <c r="Y144" s="295"/>
    </row>
    <row r="145">
      <c r="A145" s="114" t="s">
        <v>846</v>
      </c>
      <c r="B145" s="291">
        <v>44503.0</v>
      </c>
      <c r="C145" s="292"/>
      <c r="D145" s="293">
        <v>18912.0</v>
      </c>
      <c r="E145" s="55" t="b">
        <v>0</v>
      </c>
      <c r="F145" s="55" t="b">
        <v>0</v>
      </c>
      <c r="G145" s="55" t="b">
        <v>0</v>
      </c>
      <c r="H145" s="55" t="b">
        <v>1</v>
      </c>
      <c r="I145" s="55" t="s">
        <v>38</v>
      </c>
      <c r="J145" s="55" t="s">
        <v>1298</v>
      </c>
      <c r="K145" s="294">
        <v>3.4902257E7</v>
      </c>
      <c r="L145" s="55" t="b">
        <v>1</v>
      </c>
      <c r="M145" s="55" t="b">
        <v>0</v>
      </c>
      <c r="N145" s="55" t="b">
        <v>1</v>
      </c>
      <c r="O145" s="55" t="b">
        <v>1</v>
      </c>
      <c r="P145" s="55" t="b">
        <v>0</v>
      </c>
      <c r="Q145" s="55" t="b">
        <v>0</v>
      </c>
      <c r="R145" s="55" t="b">
        <v>1</v>
      </c>
      <c r="S145" s="55" t="b">
        <v>0</v>
      </c>
      <c r="T145" s="55" t="b">
        <v>1</v>
      </c>
      <c r="U145" s="295"/>
      <c r="V145" s="295"/>
      <c r="W145" s="295"/>
      <c r="X145" s="296" t="s">
        <v>1324</v>
      </c>
      <c r="Y145" s="295"/>
    </row>
    <row r="146">
      <c r="A146" s="114" t="s">
        <v>846</v>
      </c>
      <c r="B146" s="291">
        <v>44378.0</v>
      </c>
      <c r="C146" s="292"/>
      <c r="D146" s="293">
        <v>21912.0</v>
      </c>
      <c r="E146" s="55" t="b">
        <v>0</v>
      </c>
      <c r="F146" s="55" t="b">
        <v>0</v>
      </c>
      <c r="G146" s="55" t="b">
        <v>0</v>
      </c>
      <c r="H146" s="55" t="b">
        <v>1</v>
      </c>
      <c r="I146" s="55" t="s">
        <v>38</v>
      </c>
      <c r="J146" s="55" t="s">
        <v>1298</v>
      </c>
      <c r="K146" s="294">
        <v>3.4902257E7</v>
      </c>
      <c r="L146" s="55" t="b">
        <v>0</v>
      </c>
      <c r="M146" s="55" t="b">
        <v>0</v>
      </c>
      <c r="N146" s="55" t="b">
        <v>0</v>
      </c>
      <c r="O146" s="55" t="b">
        <v>0</v>
      </c>
      <c r="P146" s="55" t="b">
        <v>0</v>
      </c>
      <c r="Q146" s="55" t="b">
        <v>0</v>
      </c>
      <c r="R146" s="55" t="b">
        <v>1</v>
      </c>
      <c r="S146" s="55" t="b">
        <v>0</v>
      </c>
      <c r="T146" s="55" t="b">
        <v>1</v>
      </c>
      <c r="U146" s="295"/>
      <c r="V146" s="295"/>
      <c r="W146" s="295"/>
      <c r="X146" s="296" t="s">
        <v>1324</v>
      </c>
      <c r="Y146" s="295"/>
    </row>
    <row r="147">
      <c r="A147" s="114" t="s">
        <v>846</v>
      </c>
      <c r="B147" s="291">
        <v>44503.0</v>
      </c>
      <c r="C147" s="292"/>
      <c r="D147" s="293">
        <v>18912.0</v>
      </c>
      <c r="E147" s="55" t="b">
        <v>0</v>
      </c>
      <c r="F147" s="55" t="b">
        <v>0</v>
      </c>
      <c r="G147" s="55" t="b">
        <v>0</v>
      </c>
      <c r="H147" s="55" t="b">
        <v>1</v>
      </c>
      <c r="I147" s="55" t="s">
        <v>38</v>
      </c>
      <c r="J147" s="55" t="s">
        <v>1298</v>
      </c>
      <c r="K147" s="294">
        <v>3.4902257E7</v>
      </c>
      <c r="L147" s="55" t="b">
        <v>0</v>
      </c>
      <c r="M147" s="55" t="b">
        <v>0</v>
      </c>
      <c r="N147" s="55" t="b">
        <v>0</v>
      </c>
      <c r="O147" s="55" t="b">
        <v>0</v>
      </c>
      <c r="P147" s="55" t="b">
        <v>1</v>
      </c>
      <c r="Q147" s="55" t="b">
        <v>0</v>
      </c>
      <c r="R147" s="55" t="b">
        <v>0</v>
      </c>
      <c r="S147" s="55" t="b">
        <v>1</v>
      </c>
      <c r="T147" s="55" t="b">
        <v>1</v>
      </c>
      <c r="U147" s="295"/>
      <c r="V147" s="295"/>
      <c r="W147" s="295"/>
      <c r="X147" s="296" t="s">
        <v>1324</v>
      </c>
      <c r="Y147" s="295"/>
    </row>
    <row r="148">
      <c r="A148" s="114" t="s">
        <v>861</v>
      </c>
      <c r="B148" s="291">
        <v>45195.0</v>
      </c>
      <c r="C148" s="292"/>
      <c r="D148" s="293">
        <v>2304.0</v>
      </c>
      <c r="E148" s="55" t="b">
        <v>0</v>
      </c>
      <c r="F148" s="55" t="b">
        <v>0</v>
      </c>
      <c r="G148" s="55" t="b">
        <v>1</v>
      </c>
      <c r="H148" s="55" t="b">
        <v>0</v>
      </c>
      <c r="I148" s="55" t="s">
        <v>38</v>
      </c>
      <c r="J148" s="55" t="s">
        <v>1298</v>
      </c>
      <c r="K148" s="294">
        <v>3.4070907E7</v>
      </c>
      <c r="L148" s="55" t="b">
        <v>0</v>
      </c>
      <c r="M148" s="55" t="b">
        <v>0</v>
      </c>
      <c r="N148" s="55" t="b">
        <v>0</v>
      </c>
      <c r="O148" s="55" t="b">
        <v>0</v>
      </c>
      <c r="P148" s="55" t="b">
        <v>0</v>
      </c>
      <c r="Q148" s="55" t="b">
        <v>0</v>
      </c>
      <c r="R148" s="55" t="b">
        <v>0</v>
      </c>
      <c r="S148" s="55" t="b">
        <v>1</v>
      </c>
      <c r="T148" s="55" t="b">
        <v>1</v>
      </c>
      <c r="U148" s="295"/>
      <c r="V148" s="296" t="s">
        <v>1324</v>
      </c>
      <c r="W148" s="295"/>
      <c r="X148" s="295"/>
      <c r="Y148" s="296" t="s">
        <v>1324</v>
      </c>
    </row>
    <row r="149">
      <c r="A149" s="114" t="s">
        <v>861</v>
      </c>
      <c r="B149" s="291">
        <v>45240.0</v>
      </c>
      <c r="C149" s="291">
        <v>45240.0</v>
      </c>
      <c r="D149" s="297">
        <v>6.0</v>
      </c>
      <c r="E149" s="55" t="b">
        <v>0</v>
      </c>
      <c r="F149" s="55" t="b">
        <v>0</v>
      </c>
      <c r="G149" s="55" t="b">
        <v>1</v>
      </c>
      <c r="H149" s="55" t="b">
        <v>0</v>
      </c>
      <c r="I149" s="55" t="s">
        <v>38</v>
      </c>
      <c r="J149" s="55" t="s">
        <v>1298</v>
      </c>
      <c r="K149" s="294">
        <v>3.4070907E7</v>
      </c>
      <c r="L149" s="55" t="b">
        <v>0</v>
      </c>
      <c r="M149" s="55" t="b">
        <v>0</v>
      </c>
      <c r="N149" s="55" t="b">
        <v>0</v>
      </c>
      <c r="O149" s="55" t="b">
        <v>0</v>
      </c>
      <c r="P149" s="55" t="b">
        <v>0</v>
      </c>
      <c r="Q149" s="55" t="b">
        <v>0</v>
      </c>
      <c r="R149" s="55" t="b">
        <v>0</v>
      </c>
      <c r="S149" s="55" t="b">
        <v>0</v>
      </c>
      <c r="T149" s="55" t="b">
        <v>0</v>
      </c>
      <c r="U149" s="296" t="s">
        <v>1324</v>
      </c>
      <c r="V149" s="295"/>
      <c r="W149" s="295"/>
      <c r="X149" s="295"/>
      <c r="Y149" s="296" t="s">
        <v>1324</v>
      </c>
    </row>
    <row r="150">
      <c r="A150" s="114" t="s">
        <v>861</v>
      </c>
      <c r="B150" s="291">
        <v>45229.0</v>
      </c>
      <c r="C150" s="292"/>
      <c r="D150" s="293">
        <v>1488.0</v>
      </c>
      <c r="E150" s="55" t="b">
        <v>0</v>
      </c>
      <c r="F150" s="55" t="b">
        <v>0</v>
      </c>
      <c r="G150" s="55" t="b">
        <v>1</v>
      </c>
      <c r="H150" s="55" t="b">
        <v>0</v>
      </c>
      <c r="I150" s="55" t="s">
        <v>38</v>
      </c>
      <c r="J150" s="55" t="s">
        <v>1298</v>
      </c>
      <c r="K150" s="294">
        <v>3.4070907E7</v>
      </c>
      <c r="L150" s="55" t="b">
        <v>0</v>
      </c>
      <c r="M150" s="55" t="b">
        <v>0</v>
      </c>
      <c r="N150" s="55" t="b">
        <v>1</v>
      </c>
      <c r="O150" s="55" t="b">
        <v>0</v>
      </c>
      <c r="P150" s="55" t="b">
        <v>0</v>
      </c>
      <c r="Q150" s="55" t="b">
        <v>0</v>
      </c>
      <c r="R150" s="55" t="b">
        <v>1</v>
      </c>
      <c r="S150" s="55" t="b">
        <v>0</v>
      </c>
      <c r="T150" s="55" t="b">
        <v>1</v>
      </c>
      <c r="U150" s="295"/>
      <c r="V150" s="296" t="s">
        <v>1324</v>
      </c>
      <c r="W150" s="295"/>
      <c r="X150" s="295"/>
      <c r="Y150" s="296" t="s">
        <v>1324</v>
      </c>
    </row>
    <row r="151">
      <c r="A151" s="114" t="s">
        <v>861</v>
      </c>
      <c r="B151" s="291">
        <v>43077.0</v>
      </c>
      <c r="C151" s="292"/>
      <c r="D151" s="293">
        <v>53136.0</v>
      </c>
      <c r="E151" s="55" t="b">
        <v>0</v>
      </c>
      <c r="F151" s="55" t="b">
        <v>0</v>
      </c>
      <c r="G151" s="55" t="b">
        <v>0</v>
      </c>
      <c r="H151" s="55" t="b">
        <v>1</v>
      </c>
      <c r="I151" s="55" t="s">
        <v>38</v>
      </c>
      <c r="J151" s="55" t="s">
        <v>1298</v>
      </c>
      <c r="K151" s="294">
        <v>3.4070907E7</v>
      </c>
      <c r="L151" s="55" t="b">
        <v>0</v>
      </c>
      <c r="M151" s="55" t="b">
        <v>0</v>
      </c>
      <c r="N151" s="55" t="b">
        <v>0</v>
      </c>
      <c r="O151" s="55" t="b">
        <v>0</v>
      </c>
      <c r="P151" s="55" t="b">
        <v>0</v>
      </c>
      <c r="Q151" s="55" t="b">
        <v>0</v>
      </c>
      <c r="R151" s="55" t="b">
        <v>0</v>
      </c>
      <c r="S151" s="55" t="b">
        <v>1</v>
      </c>
      <c r="T151" s="55" t="b">
        <v>1</v>
      </c>
      <c r="U151" s="295"/>
      <c r="V151" s="295"/>
      <c r="W151" s="295"/>
      <c r="X151" s="296" t="s">
        <v>1324</v>
      </c>
      <c r="Y151" s="295"/>
    </row>
    <row r="152">
      <c r="A152" s="114" t="s">
        <v>953</v>
      </c>
      <c r="B152" s="291">
        <v>44633.0</v>
      </c>
      <c r="C152" s="292"/>
      <c r="D152" s="293">
        <v>15792.0</v>
      </c>
      <c r="E152" s="55" t="b">
        <v>0</v>
      </c>
      <c r="F152" s="55" t="b">
        <v>0</v>
      </c>
      <c r="G152" s="55" t="b">
        <v>1</v>
      </c>
      <c r="H152" s="55" t="b">
        <v>0</v>
      </c>
      <c r="I152" s="55" t="s">
        <v>38</v>
      </c>
      <c r="J152" s="55" t="s">
        <v>1300</v>
      </c>
      <c r="K152" s="294">
        <v>1.44694112E8</v>
      </c>
      <c r="L152" s="55" t="b">
        <v>0</v>
      </c>
      <c r="M152" s="55" t="b">
        <v>0</v>
      </c>
      <c r="N152" s="55" t="b">
        <v>0</v>
      </c>
      <c r="O152" s="55" t="b">
        <v>1</v>
      </c>
      <c r="P152" s="55" t="b">
        <v>0</v>
      </c>
      <c r="Q152" s="55" t="b">
        <v>0</v>
      </c>
      <c r="R152" s="55" t="b">
        <v>0</v>
      </c>
      <c r="S152" s="55" t="b">
        <v>0</v>
      </c>
      <c r="T152" s="55" t="b">
        <v>1</v>
      </c>
      <c r="U152" s="295"/>
      <c r="V152" s="295"/>
      <c r="W152" s="295"/>
      <c r="X152" s="296" t="s">
        <v>1324</v>
      </c>
      <c r="Y152" s="295"/>
    </row>
    <row r="153">
      <c r="A153" s="114" t="s">
        <v>953</v>
      </c>
      <c r="B153" s="291">
        <v>44619.0</v>
      </c>
      <c r="C153" s="292"/>
      <c r="D153" s="293">
        <v>16128.0</v>
      </c>
      <c r="E153" s="55" t="b">
        <v>0</v>
      </c>
      <c r="F153" s="55" t="b">
        <v>0</v>
      </c>
      <c r="G153" s="55" t="b">
        <v>1</v>
      </c>
      <c r="H153" s="55" t="b">
        <v>0</v>
      </c>
      <c r="I153" s="55" t="s">
        <v>38</v>
      </c>
      <c r="J153" s="55" t="s">
        <v>1300</v>
      </c>
      <c r="K153" s="294">
        <v>1.44694112E8</v>
      </c>
      <c r="L153" s="55" t="b">
        <v>1</v>
      </c>
      <c r="M153" s="55" t="b">
        <v>0</v>
      </c>
      <c r="N153" s="55" t="b">
        <v>0</v>
      </c>
      <c r="O153" s="55" t="b">
        <v>0</v>
      </c>
      <c r="P153" s="55" t="b">
        <v>0</v>
      </c>
      <c r="Q153" s="55" t="b">
        <v>0</v>
      </c>
      <c r="R153" s="55" t="b">
        <v>0</v>
      </c>
      <c r="S153" s="55" t="b">
        <v>0</v>
      </c>
      <c r="T153" s="55" t="b">
        <v>1</v>
      </c>
      <c r="U153" s="295"/>
      <c r="V153" s="295"/>
      <c r="W153" s="295"/>
      <c r="X153" s="296" t="s">
        <v>1324</v>
      </c>
      <c r="Y153" s="295"/>
    </row>
    <row r="154">
      <c r="A154" s="114" t="s">
        <v>953</v>
      </c>
      <c r="B154" s="291">
        <v>44618.0</v>
      </c>
      <c r="C154" s="292"/>
      <c r="D154" s="293">
        <v>16152.0</v>
      </c>
      <c r="E154" s="55" t="b">
        <v>0</v>
      </c>
      <c r="F154" s="55" t="b">
        <v>0</v>
      </c>
      <c r="G154" s="55" t="b">
        <v>1</v>
      </c>
      <c r="H154" s="55" t="b">
        <v>0</v>
      </c>
      <c r="I154" s="55" t="s">
        <v>38</v>
      </c>
      <c r="J154" s="55" t="s">
        <v>1300</v>
      </c>
      <c r="K154" s="294">
        <v>1.44694112E8</v>
      </c>
      <c r="L154" s="55" t="b">
        <v>0</v>
      </c>
      <c r="M154" s="55" t="b">
        <v>1</v>
      </c>
      <c r="N154" s="55" t="b">
        <v>0</v>
      </c>
      <c r="O154" s="55" t="b">
        <v>0</v>
      </c>
      <c r="P154" s="55" t="b">
        <v>0</v>
      </c>
      <c r="Q154" s="55" t="b">
        <v>0</v>
      </c>
      <c r="R154" s="55" t="b">
        <v>0</v>
      </c>
      <c r="S154" s="55" t="b">
        <v>0</v>
      </c>
      <c r="T154" s="55" t="b">
        <v>1</v>
      </c>
      <c r="U154" s="295"/>
      <c r="V154" s="295"/>
      <c r="W154" s="295"/>
      <c r="X154" s="296" t="s">
        <v>1324</v>
      </c>
      <c r="Y154" s="295"/>
    </row>
    <row r="155">
      <c r="A155" s="114" t="s">
        <v>953</v>
      </c>
      <c r="B155" s="291">
        <v>42691.0</v>
      </c>
      <c r="C155" s="292"/>
      <c r="D155" s="293">
        <v>62400.0</v>
      </c>
      <c r="E155" s="55" t="b">
        <v>0</v>
      </c>
      <c r="F155" s="55" t="b">
        <v>0</v>
      </c>
      <c r="G155" s="55" t="b">
        <v>0</v>
      </c>
      <c r="H155" s="55" t="b">
        <v>1</v>
      </c>
      <c r="I155" s="55" t="s">
        <v>38</v>
      </c>
      <c r="J155" s="55" t="s">
        <v>1300</v>
      </c>
      <c r="K155" s="294">
        <v>1.44694112E8</v>
      </c>
      <c r="L155" s="55" t="b">
        <v>0</v>
      </c>
      <c r="M155" s="55" t="b">
        <v>0</v>
      </c>
      <c r="N155" s="55" t="b">
        <v>0</v>
      </c>
      <c r="O155" s="55" t="b">
        <v>0</v>
      </c>
      <c r="P155" s="55" t="b">
        <v>0</v>
      </c>
      <c r="Q155" s="55" t="b">
        <v>0</v>
      </c>
      <c r="R155" s="55" t="b">
        <v>1</v>
      </c>
      <c r="S155" s="55" t="b">
        <v>0</v>
      </c>
      <c r="T155" s="55" t="b">
        <v>1</v>
      </c>
      <c r="U155" s="295"/>
      <c r="V155" s="295"/>
      <c r="W155" s="295"/>
      <c r="X155" s="296" t="s">
        <v>1324</v>
      </c>
      <c r="Y155" s="295"/>
    </row>
    <row r="156">
      <c r="A156" s="114" t="s">
        <v>986</v>
      </c>
      <c r="B156" s="291">
        <v>42856.0</v>
      </c>
      <c r="C156" s="292"/>
      <c r="D156" s="293">
        <v>58440.0</v>
      </c>
      <c r="E156" s="55" t="b">
        <v>0</v>
      </c>
      <c r="F156" s="55" t="b">
        <v>0</v>
      </c>
      <c r="G156" s="55" t="b">
        <v>1</v>
      </c>
      <c r="H156" s="55" t="b">
        <v>0</v>
      </c>
      <c r="I156" s="55" t="s">
        <v>38</v>
      </c>
      <c r="J156" s="55" t="s">
        <v>1300</v>
      </c>
      <c r="K156" s="294">
        <v>3.6069274E7</v>
      </c>
      <c r="L156" s="55" t="b">
        <v>0</v>
      </c>
      <c r="M156" s="55" t="b">
        <v>0</v>
      </c>
      <c r="N156" s="55" t="b">
        <v>0</v>
      </c>
      <c r="O156" s="55" t="b">
        <v>0</v>
      </c>
      <c r="P156" s="55" t="b">
        <v>0</v>
      </c>
      <c r="Q156" s="55" t="b">
        <v>0</v>
      </c>
      <c r="R156" s="55" t="b">
        <v>1</v>
      </c>
      <c r="S156" s="55" t="b">
        <v>1</v>
      </c>
      <c r="T156" s="55" t="b">
        <v>1</v>
      </c>
      <c r="U156" s="295"/>
      <c r="V156" s="295"/>
      <c r="W156" s="295"/>
      <c r="X156" s="296" t="s">
        <v>1324</v>
      </c>
      <c r="Y156" s="295"/>
    </row>
    <row r="157">
      <c r="A157" s="114" t="s">
        <v>1006</v>
      </c>
      <c r="B157" s="298">
        <v>45053.0</v>
      </c>
      <c r="C157" s="298">
        <v>45053.0</v>
      </c>
      <c r="D157" s="114">
        <v>2.0</v>
      </c>
      <c r="E157" s="55" t="b">
        <v>1</v>
      </c>
      <c r="F157" s="55" t="b">
        <v>0</v>
      </c>
      <c r="G157" s="55" t="b">
        <v>0</v>
      </c>
      <c r="H157" s="55" t="b">
        <v>0</v>
      </c>
      <c r="I157" s="55" t="s">
        <v>38</v>
      </c>
      <c r="J157" s="55" t="s">
        <v>1301</v>
      </c>
      <c r="K157" s="294">
        <v>1.1203797E7</v>
      </c>
      <c r="L157" s="55" t="b">
        <v>0</v>
      </c>
      <c r="M157" s="55" t="b">
        <v>0</v>
      </c>
      <c r="N157" s="55" t="b">
        <v>0</v>
      </c>
      <c r="O157" s="55" t="b">
        <v>0</v>
      </c>
      <c r="P157" s="55" t="b">
        <v>0</v>
      </c>
      <c r="Q157" s="55" t="b">
        <v>0</v>
      </c>
      <c r="R157" s="55" t="b">
        <v>0</v>
      </c>
      <c r="S157" s="55" t="b">
        <v>0</v>
      </c>
      <c r="T157" s="55" t="b">
        <v>0</v>
      </c>
      <c r="U157" s="296" t="s">
        <v>1324</v>
      </c>
      <c r="V157" s="295"/>
      <c r="W157" s="295"/>
      <c r="X157" s="295"/>
      <c r="Y157" s="296" t="s">
        <v>1324</v>
      </c>
    </row>
    <row r="158">
      <c r="A158" s="114" t="s">
        <v>1058</v>
      </c>
      <c r="B158" s="298">
        <v>45042.0</v>
      </c>
      <c r="C158" s="298">
        <v>45045.0</v>
      </c>
      <c r="D158" s="114">
        <v>72.0</v>
      </c>
      <c r="E158" s="55" t="b">
        <v>0</v>
      </c>
      <c r="F158" s="55" t="b">
        <v>0</v>
      </c>
      <c r="G158" s="55" t="b">
        <v>0</v>
      </c>
      <c r="H158" s="55" t="b">
        <v>1</v>
      </c>
      <c r="I158" s="55" t="s">
        <v>38</v>
      </c>
      <c r="J158" s="55" t="s">
        <v>1302</v>
      </c>
      <c r="K158" s="294">
        <v>2.15802222E8</v>
      </c>
      <c r="L158" s="55" t="b">
        <v>0</v>
      </c>
      <c r="M158" s="55" t="b">
        <v>0</v>
      </c>
      <c r="N158" s="55" t="b">
        <v>0</v>
      </c>
      <c r="O158" s="55" t="b">
        <v>0</v>
      </c>
      <c r="P158" s="55" t="b">
        <v>1</v>
      </c>
      <c r="Q158" s="55" t="b">
        <v>0</v>
      </c>
      <c r="R158" s="55" t="b">
        <v>0</v>
      </c>
      <c r="S158" s="55" t="b">
        <v>0</v>
      </c>
      <c r="T158" s="55" t="b">
        <v>1</v>
      </c>
      <c r="U158" s="296" t="s">
        <v>1324</v>
      </c>
      <c r="V158" s="295"/>
      <c r="W158" s="295"/>
      <c r="X158" s="295"/>
      <c r="Y158" s="296" t="s">
        <v>1324</v>
      </c>
    </row>
    <row r="159">
      <c r="A159" s="114" t="s">
        <v>1088</v>
      </c>
      <c r="B159" s="298">
        <v>44974.0</v>
      </c>
      <c r="C159" s="298">
        <v>44975.0</v>
      </c>
      <c r="D159" s="114">
        <v>12.0</v>
      </c>
      <c r="E159" s="55" t="b">
        <v>1</v>
      </c>
      <c r="F159" s="55" t="b">
        <v>0</v>
      </c>
      <c r="G159" s="55" t="b">
        <v>0</v>
      </c>
      <c r="H159" s="55" t="b">
        <v>0</v>
      </c>
      <c r="I159" s="55" t="s">
        <v>38</v>
      </c>
      <c r="J159" s="55" t="s">
        <v>1302</v>
      </c>
      <c r="K159" s="294">
        <v>620437.0</v>
      </c>
      <c r="L159" s="55" t="b">
        <v>1</v>
      </c>
      <c r="M159" s="55" t="b">
        <v>0</v>
      </c>
      <c r="N159" s="55" t="b">
        <v>0</v>
      </c>
      <c r="O159" s="55" t="b">
        <v>1</v>
      </c>
      <c r="P159" s="55" t="b">
        <v>0</v>
      </c>
      <c r="Q159" s="55" t="b">
        <v>1</v>
      </c>
      <c r="R159" s="55" t="b">
        <v>0</v>
      </c>
      <c r="S159" s="55" t="b">
        <v>0</v>
      </c>
      <c r="T159" s="55" t="b">
        <v>1</v>
      </c>
      <c r="U159" s="296" t="s">
        <v>1324</v>
      </c>
      <c r="V159" s="295"/>
      <c r="W159" s="295"/>
      <c r="X159" s="295"/>
      <c r="Y159" s="296" t="s">
        <v>1324</v>
      </c>
    </row>
    <row r="160">
      <c r="A160" s="114" t="s">
        <v>1093</v>
      </c>
      <c r="B160" s="298">
        <v>45222.0</v>
      </c>
      <c r="C160" s="298">
        <v>45222.0</v>
      </c>
      <c r="D160" s="114">
        <v>2.0</v>
      </c>
      <c r="E160" s="55" t="b">
        <v>0</v>
      </c>
      <c r="F160" s="55" t="b">
        <v>1</v>
      </c>
      <c r="G160" s="55" t="b">
        <v>0</v>
      </c>
      <c r="H160" s="55" t="b">
        <v>0</v>
      </c>
      <c r="I160" s="55" t="s">
        <v>38</v>
      </c>
      <c r="J160" s="55" t="s">
        <v>1302</v>
      </c>
      <c r="K160" s="294">
        <v>2.8555733E7</v>
      </c>
      <c r="L160" s="55" t="b">
        <v>0</v>
      </c>
      <c r="M160" s="55" t="b">
        <v>0</v>
      </c>
      <c r="N160" s="55" t="b">
        <v>0</v>
      </c>
      <c r="O160" s="55" t="b">
        <v>0</v>
      </c>
      <c r="P160" s="55" t="b">
        <v>0</v>
      </c>
      <c r="Q160" s="55" t="b">
        <v>0</v>
      </c>
      <c r="R160" s="55" t="b">
        <v>0</v>
      </c>
      <c r="S160" s="55" t="b">
        <v>0</v>
      </c>
      <c r="T160" s="55" t="b">
        <v>0</v>
      </c>
      <c r="U160" s="296" t="s">
        <v>1324</v>
      </c>
      <c r="V160" s="295"/>
      <c r="W160" s="295"/>
      <c r="X160" s="295"/>
      <c r="Y160" s="296" t="s">
        <v>1324</v>
      </c>
    </row>
  </sheetData>
  <mergeCells count="2">
    <mergeCell ref="A1:M1"/>
    <mergeCell ref="A43:Y4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1" t="s">
        <v>1337</v>
      </c>
      <c r="N1" s="136"/>
      <c r="O1" s="136"/>
    </row>
    <row r="2">
      <c r="A2" s="234"/>
      <c r="B2" s="100" t="s">
        <v>1329</v>
      </c>
      <c r="C2" s="100" t="s">
        <v>1330</v>
      </c>
      <c r="D2" s="100" t="s">
        <v>1286</v>
      </c>
      <c r="E2" s="234" t="s">
        <v>1287</v>
      </c>
      <c r="F2" s="234" t="s">
        <v>1288</v>
      </c>
      <c r="G2" s="234" t="s">
        <v>1289</v>
      </c>
      <c r="H2" s="234" t="s">
        <v>1290</v>
      </c>
      <c r="I2" s="234" t="s">
        <v>1291</v>
      </c>
      <c r="J2" s="234" t="s">
        <v>1292</v>
      </c>
      <c r="K2" s="234" t="s">
        <v>1293</v>
      </c>
      <c r="L2" s="234" t="s">
        <v>1294</v>
      </c>
      <c r="M2" s="234" t="s">
        <v>1295</v>
      </c>
      <c r="N2" s="234" t="s">
        <v>1296</v>
      </c>
      <c r="O2" s="234"/>
    </row>
    <row r="3">
      <c r="A3" s="278" t="s">
        <v>56</v>
      </c>
      <c r="B3" s="278" t="s">
        <v>55</v>
      </c>
      <c r="C3" s="302">
        <v>0.0</v>
      </c>
      <c r="D3" s="302">
        <v>2.2959516E7</v>
      </c>
      <c r="E3" s="302">
        <v>0.0</v>
      </c>
      <c r="F3" s="302">
        <v>0.0</v>
      </c>
      <c r="G3" s="302">
        <v>0.0</v>
      </c>
      <c r="H3" s="302">
        <v>0.0</v>
      </c>
      <c r="I3" s="302">
        <v>0.0</v>
      </c>
      <c r="J3" s="302">
        <v>0.0</v>
      </c>
      <c r="K3" s="302">
        <v>0.0</v>
      </c>
      <c r="L3" s="302">
        <v>4.0</v>
      </c>
      <c r="M3" s="278">
        <v>1.0</v>
      </c>
      <c r="N3" s="278" t="s">
        <v>1297</v>
      </c>
    </row>
    <row r="4">
      <c r="A4" s="278" t="s">
        <v>127</v>
      </c>
      <c r="B4" s="278" t="s">
        <v>126</v>
      </c>
      <c r="C4" s="302">
        <v>0.0</v>
      </c>
      <c r="D4" s="302">
        <v>3715522.0</v>
      </c>
      <c r="E4" s="302">
        <v>0.0</v>
      </c>
      <c r="F4" s="302">
        <v>0.0</v>
      </c>
      <c r="G4" s="302">
        <v>0.0</v>
      </c>
      <c r="H4" s="302">
        <v>0.0</v>
      </c>
      <c r="I4" s="302">
        <v>0.0</v>
      </c>
      <c r="J4" s="302">
        <v>0.0</v>
      </c>
      <c r="K4" s="302">
        <v>0.0</v>
      </c>
      <c r="L4" s="302">
        <v>2.0</v>
      </c>
      <c r="M4" s="278">
        <v>1.0</v>
      </c>
      <c r="N4" s="278" t="s">
        <v>1297</v>
      </c>
    </row>
    <row r="5">
      <c r="A5" s="278" t="s">
        <v>139</v>
      </c>
      <c r="B5" s="278" t="s">
        <v>138</v>
      </c>
      <c r="C5" s="302">
        <v>2.0</v>
      </c>
      <c r="D5" s="302">
        <v>1.24937259E8</v>
      </c>
      <c r="E5" s="302">
        <v>2.0</v>
      </c>
      <c r="F5" s="302">
        <v>0.0</v>
      </c>
      <c r="G5" s="302">
        <v>0.0</v>
      </c>
      <c r="H5" s="302">
        <v>0.0</v>
      </c>
      <c r="I5" s="302">
        <v>2.0</v>
      </c>
      <c r="J5" s="302">
        <v>0.0</v>
      </c>
      <c r="K5" s="302">
        <v>0.0</v>
      </c>
      <c r="L5" s="302">
        <v>12.0</v>
      </c>
      <c r="M5" s="278">
        <v>3.0</v>
      </c>
      <c r="N5" s="278" t="s">
        <v>1297</v>
      </c>
    </row>
    <row r="6">
      <c r="A6" s="278" t="s">
        <v>174</v>
      </c>
      <c r="B6" s="278" t="s">
        <v>173</v>
      </c>
      <c r="C6" s="302">
        <v>1.0</v>
      </c>
      <c r="D6" s="302">
        <v>1.4023588E7</v>
      </c>
      <c r="E6" s="302">
        <v>1.0</v>
      </c>
      <c r="F6" s="302">
        <v>0.0</v>
      </c>
      <c r="G6" s="302">
        <v>0.0</v>
      </c>
      <c r="H6" s="302">
        <v>0.0</v>
      </c>
      <c r="I6" s="302">
        <v>1.0</v>
      </c>
      <c r="J6" s="302">
        <v>0.0</v>
      </c>
      <c r="K6" s="302">
        <v>0.0</v>
      </c>
      <c r="L6" s="302">
        <v>4.0</v>
      </c>
      <c r="M6" s="278">
        <v>1.0</v>
      </c>
      <c r="N6" s="278" t="s">
        <v>1297</v>
      </c>
    </row>
    <row r="7">
      <c r="A7" s="278" t="s">
        <v>211</v>
      </c>
      <c r="B7" s="278" t="s">
        <v>210</v>
      </c>
      <c r="C7" s="302">
        <v>2.0</v>
      </c>
      <c r="D7" s="302">
        <v>4798604.0</v>
      </c>
      <c r="E7" s="302">
        <v>2.0</v>
      </c>
      <c r="F7" s="302">
        <v>0.0</v>
      </c>
      <c r="G7" s="302">
        <v>0.0</v>
      </c>
      <c r="H7" s="302">
        <v>0.0</v>
      </c>
      <c r="I7" s="302">
        <v>0.0</v>
      </c>
      <c r="J7" s="302">
        <v>0.0</v>
      </c>
      <c r="K7" s="302">
        <v>2.0</v>
      </c>
      <c r="L7" s="302">
        <v>3.0</v>
      </c>
      <c r="M7" s="278">
        <v>0.0</v>
      </c>
      <c r="N7" s="278" t="s">
        <v>1297</v>
      </c>
    </row>
    <row r="8">
      <c r="A8" s="278" t="s">
        <v>259</v>
      </c>
      <c r="B8" s="278" t="s">
        <v>258</v>
      </c>
      <c r="C8" s="302">
        <v>2.0</v>
      </c>
      <c r="D8" s="302">
        <v>1.7536231E7</v>
      </c>
      <c r="E8" s="302">
        <v>0.0</v>
      </c>
      <c r="F8" s="302">
        <v>0.0</v>
      </c>
      <c r="G8" s="302">
        <v>2.0</v>
      </c>
      <c r="H8" s="302">
        <v>0.0</v>
      </c>
      <c r="I8" s="302">
        <v>1.0</v>
      </c>
      <c r="J8" s="302">
        <v>0.0</v>
      </c>
      <c r="K8" s="302">
        <v>1.0</v>
      </c>
      <c r="L8" s="302">
        <v>3.0</v>
      </c>
      <c r="M8" s="278">
        <v>0.0</v>
      </c>
      <c r="N8" s="278" t="s">
        <v>1297</v>
      </c>
    </row>
    <row r="9">
      <c r="A9" s="278" t="s">
        <v>292</v>
      </c>
      <c r="B9" s="278" t="s">
        <v>291</v>
      </c>
      <c r="C9" s="302">
        <v>1.0</v>
      </c>
      <c r="D9" s="302">
        <v>4.7486909E7</v>
      </c>
      <c r="E9" s="302">
        <v>0.0</v>
      </c>
      <c r="F9" s="302">
        <v>0.0</v>
      </c>
      <c r="G9" s="302">
        <v>1.0</v>
      </c>
      <c r="H9" s="302">
        <v>0.0</v>
      </c>
      <c r="I9" s="302">
        <v>0.0</v>
      </c>
      <c r="J9" s="302">
        <v>0.0</v>
      </c>
      <c r="K9" s="302">
        <v>1.0</v>
      </c>
      <c r="L9" s="302">
        <v>12.0</v>
      </c>
      <c r="M9" s="278">
        <v>1.0</v>
      </c>
      <c r="N9" s="278" t="s">
        <v>1297</v>
      </c>
    </row>
    <row r="10">
      <c r="A10" s="278" t="s">
        <v>324</v>
      </c>
      <c r="B10" s="278" t="s">
        <v>323</v>
      </c>
      <c r="C10" s="302">
        <v>1.0</v>
      </c>
      <c r="D10" s="302">
        <v>6.6455898E7</v>
      </c>
      <c r="E10" s="302">
        <v>0.0</v>
      </c>
      <c r="F10" s="302">
        <v>0.0</v>
      </c>
      <c r="G10" s="302">
        <v>1.0</v>
      </c>
      <c r="H10" s="302">
        <v>0.0</v>
      </c>
      <c r="I10" s="302">
        <v>1.0</v>
      </c>
      <c r="J10" s="302">
        <v>0.0</v>
      </c>
      <c r="K10" s="302">
        <v>0.0</v>
      </c>
      <c r="L10" s="302">
        <v>2.0</v>
      </c>
      <c r="M10" s="278">
        <v>0.0</v>
      </c>
      <c r="N10" s="278" t="s">
        <v>1297</v>
      </c>
    </row>
    <row r="11">
      <c r="A11" s="278" t="s">
        <v>394</v>
      </c>
      <c r="B11" s="278" t="s">
        <v>393</v>
      </c>
      <c r="C11" s="302">
        <v>0.0</v>
      </c>
      <c r="D11" s="302">
        <v>1.425849288E9</v>
      </c>
      <c r="E11" s="302">
        <v>0.0</v>
      </c>
      <c r="F11" s="302">
        <v>0.0</v>
      </c>
      <c r="G11" s="302">
        <v>0.0</v>
      </c>
      <c r="H11" s="302">
        <v>0.0</v>
      </c>
      <c r="I11" s="302">
        <v>0.0</v>
      </c>
      <c r="J11" s="302">
        <v>0.0</v>
      </c>
      <c r="K11" s="302">
        <v>0.0</v>
      </c>
      <c r="L11" s="302">
        <v>4.0</v>
      </c>
      <c r="M11" s="278">
        <v>4.0</v>
      </c>
      <c r="N11" s="278" t="s">
        <v>1298</v>
      </c>
    </row>
    <row r="12">
      <c r="A12" s="278" t="s">
        <v>403</v>
      </c>
      <c r="B12" s="278" t="s">
        <v>402</v>
      </c>
      <c r="C12" s="302">
        <v>0.0</v>
      </c>
      <c r="D12" s="302">
        <v>2.6116716E7</v>
      </c>
      <c r="E12" s="302">
        <v>0.0</v>
      </c>
      <c r="F12" s="302">
        <v>0.0</v>
      </c>
      <c r="G12" s="302">
        <v>0.0</v>
      </c>
      <c r="H12" s="302">
        <v>0.0</v>
      </c>
      <c r="I12" s="302">
        <v>0.0</v>
      </c>
      <c r="J12" s="302">
        <v>0.0</v>
      </c>
      <c r="K12" s="302">
        <v>0.0</v>
      </c>
      <c r="L12" s="302">
        <v>3.0</v>
      </c>
      <c r="M12" s="278">
        <v>3.0</v>
      </c>
      <c r="N12" s="278" t="s">
        <v>1298</v>
      </c>
    </row>
    <row r="13">
      <c r="A13" s="278" t="s">
        <v>417</v>
      </c>
      <c r="B13" s="278" t="s">
        <v>416</v>
      </c>
      <c r="C13" s="302">
        <v>9.0</v>
      </c>
      <c r="D13" s="302">
        <v>1.422026528E9</v>
      </c>
      <c r="E13" s="302">
        <v>7.0</v>
      </c>
      <c r="F13" s="302">
        <v>0.0</v>
      </c>
      <c r="G13" s="302">
        <v>2.0</v>
      </c>
      <c r="H13" s="302">
        <v>0.0</v>
      </c>
      <c r="I13" s="302">
        <v>1.0</v>
      </c>
      <c r="J13" s="302">
        <v>8.0</v>
      </c>
      <c r="K13" s="302">
        <v>0.0</v>
      </c>
      <c r="L13" s="302">
        <v>111.0</v>
      </c>
      <c r="M13" s="278">
        <v>3.0</v>
      </c>
      <c r="N13" s="278" t="s">
        <v>1298</v>
      </c>
    </row>
    <row r="14">
      <c r="A14" s="278" t="s">
        <v>523</v>
      </c>
      <c r="B14" s="278" t="s">
        <v>522</v>
      </c>
      <c r="C14" s="302">
        <v>14.0</v>
      </c>
      <c r="D14" s="302">
        <v>8.8844498E7</v>
      </c>
      <c r="E14" s="302">
        <v>14.0</v>
      </c>
      <c r="F14" s="302">
        <v>0.0</v>
      </c>
      <c r="G14" s="302">
        <v>0.0</v>
      </c>
      <c r="H14" s="302">
        <v>0.0</v>
      </c>
      <c r="I14" s="302">
        <v>0.0</v>
      </c>
      <c r="J14" s="302">
        <v>14.0</v>
      </c>
      <c r="K14" s="302">
        <v>0.0</v>
      </c>
      <c r="L14" s="302">
        <v>41.0</v>
      </c>
      <c r="M14" s="278">
        <v>5.0</v>
      </c>
      <c r="N14" s="278" t="s">
        <v>1298</v>
      </c>
    </row>
    <row r="15">
      <c r="A15" s="278" t="s">
        <v>642</v>
      </c>
      <c r="B15" s="278" t="s">
        <v>641</v>
      </c>
      <c r="C15" s="302">
        <v>0.0</v>
      </c>
      <c r="D15" s="302">
        <v>1.1315547E7</v>
      </c>
      <c r="E15" s="302">
        <v>0.0</v>
      </c>
      <c r="F15" s="302">
        <v>0.0</v>
      </c>
      <c r="G15" s="302">
        <v>0.0</v>
      </c>
      <c r="H15" s="302">
        <v>0.0</v>
      </c>
      <c r="I15" s="302">
        <v>0.0</v>
      </c>
      <c r="J15" s="302">
        <v>0.0</v>
      </c>
      <c r="K15" s="302">
        <v>0.0</v>
      </c>
      <c r="L15" s="302">
        <v>5.0</v>
      </c>
      <c r="M15" s="278">
        <v>1.0</v>
      </c>
      <c r="N15" s="278" t="s">
        <v>1298</v>
      </c>
    </row>
    <row r="16">
      <c r="A16" s="278" t="s">
        <v>681</v>
      </c>
      <c r="B16" s="278" t="s">
        <v>680</v>
      </c>
      <c r="C16" s="302">
        <v>0.0</v>
      </c>
      <c r="D16" s="302">
        <v>5.4380868E7</v>
      </c>
      <c r="E16" s="302">
        <v>0.0</v>
      </c>
      <c r="F16" s="302">
        <v>0.0</v>
      </c>
      <c r="G16" s="302">
        <v>0.0</v>
      </c>
      <c r="H16" s="302">
        <v>0.0</v>
      </c>
      <c r="I16" s="302">
        <v>0.0</v>
      </c>
      <c r="J16" s="302">
        <v>0.0</v>
      </c>
      <c r="K16" s="302">
        <v>0.0</v>
      </c>
      <c r="L16" s="302">
        <v>6.0</v>
      </c>
      <c r="M16" s="278">
        <v>2.0</v>
      </c>
      <c r="N16" s="278" t="s">
        <v>1298</v>
      </c>
    </row>
    <row r="17">
      <c r="A17" s="278" t="s">
        <v>697</v>
      </c>
      <c r="B17" s="278" t="s">
        <v>696</v>
      </c>
      <c r="C17" s="302">
        <v>0.0</v>
      </c>
      <c r="D17" s="302">
        <v>4609315.0</v>
      </c>
      <c r="E17" s="302">
        <v>0.0</v>
      </c>
      <c r="F17" s="302">
        <v>0.0</v>
      </c>
      <c r="G17" s="302">
        <v>0.0</v>
      </c>
      <c r="H17" s="302">
        <v>0.0</v>
      </c>
      <c r="I17" s="302">
        <v>0.0</v>
      </c>
      <c r="J17" s="302">
        <v>0.0</v>
      </c>
      <c r="K17" s="302">
        <v>0.0</v>
      </c>
      <c r="L17" s="302">
        <v>3.0</v>
      </c>
      <c r="M17" s="278">
        <v>3.0</v>
      </c>
      <c r="N17" s="278" t="s">
        <v>1298</v>
      </c>
    </row>
    <row r="18">
      <c r="A18" s="278" t="s">
        <v>704</v>
      </c>
      <c r="B18" s="278" t="s">
        <v>703</v>
      </c>
      <c r="C18" s="302">
        <v>3.0</v>
      </c>
      <c r="D18" s="302">
        <v>2.38126113E8</v>
      </c>
      <c r="E18" s="302">
        <v>0.0</v>
      </c>
      <c r="F18" s="302">
        <v>0.0</v>
      </c>
      <c r="G18" s="302">
        <v>3.0</v>
      </c>
      <c r="H18" s="302">
        <v>0.0</v>
      </c>
      <c r="I18" s="302">
        <v>2.0</v>
      </c>
      <c r="J18" s="302">
        <v>0.0</v>
      </c>
      <c r="K18" s="302">
        <v>1.0</v>
      </c>
      <c r="L18" s="302">
        <v>15.0</v>
      </c>
      <c r="M18" s="278">
        <v>2.0</v>
      </c>
      <c r="N18" s="278" t="s">
        <v>1298</v>
      </c>
    </row>
    <row r="19">
      <c r="A19" s="278" t="s">
        <v>755</v>
      </c>
      <c r="B19" s="278" t="s">
        <v>754</v>
      </c>
      <c r="C19" s="302">
        <v>0.0</v>
      </c>
      <c r="D19" s="302">
        <v>2705914.0</v>
      </c>
      <c r="E19" s="302">
        <v>0.0</v>
      </c>
      <c r="F19" s="302">
        <v>0.0</v>
      </c>
      <c r="G19" s="302">
        <v>0.0</v>
      </c>
      <c r="H19" s="302">
        <v>0.0</v>
      </c>
      <c r="I19" s="302">
        <v>0.0</v>
      </c>
      <c r="J19" s="302">
        <v>0.0</v>
      </c>
      <c r="K19" s="302">
        <v>0.0</v>
      </c>
      <c r="L19" s="302">
        <v>1.0</v>
      </c>
      <c r="M19" s="278">
        <v>1.0</v>
      </c>
      <c r="N19" s="278" t="s">
        <v>1298</v>
      </c>
    </row>
    <row r="20">
      <c r="A20" s="278" t="s">
        <v>794</v>
      </c>
      <c r="B20" s="278" t="s">
        <v>793</v>
      </c>
      <c r="C20" s="302">
        <v>0.0</v>
      </c>
      <c r="D20" s="302">
        <v>7.1753808E7</v>
      </c>
      <c r="E20" s="302">
        <v>0.0</v>
      </c>
      <c r="F20" s="302">
        <v>0.0</v>
      </c>
      <c r="G20" s="302">
        <v>0.0</v>
      </c>
      <c r="H20" s="302">
        <v>0.0</v>
      </c>
      <c r="I20" s="302">
        <v>0.0</v>
      </c>
      <c r="J20" s="302">
        <v>0.0</v>
      </c>
      <c r="K20" s="302">
        <v>0.0</v>
      </c>
      <c r="L20" s="302">
        <v>1.0</v>
      </c>
      <c r="M20" s="278">
        <v>1.0</v>
      </c>
      <c r="N20" s="278" t="s">
        <v>1298</v>
      </c>
    </row>
    <row r="21">
      <c r="A21" s="278" t="s">
        <v>799</v>
      </c>
      <c r="B21" s="278" t="s">
        <v>798</v>
      </c>
      <c r="C21" s="302">
        <v>2.0</v>
      </c>
      <c r="D21" s="302">
        <v>8.5590849E7</v>
      </c>
      <c r="E21" s="302">
        <v>0.0</v>
      </c>
      <c r="F21" s="302">
        <v>1.0</v>
      </c>
      <c r="G21" s="302">
        <v>1.0</v>
      </c>
      <c r="H21" s="302">
        <v>0.0</v>
      </c>
      <c r="I21" s="302">
        <v>2.0</v>
      </c>
      <c r="J21" s="302">
        <v>0.0</v>
      </c>
      <c r="K21" s="302">
        <v>0.0</v>
      </c>
      <c r="L21" s="302">
        <v>12.0</v>
      </c>
      <c r="M21" s="278">
        <v>1.0</v>
      </c>
      <c r="N21" s="278" t="s">
        <v>1298</v>
      </c>
    </row>
    <row r="22">
      <c r="A22" s="278" t="s">
        <v>825</v>
      </c>
      <c r="B22" s="278" t="s">
        <v>824</v>
      </c>
      <c r="C22" s="302">
        <v>0.0</v>
      </c>
      <c r="D22" s="302">
        <v>6474341.0</v>
      </c>
      <c r="E22" s="302">
        <v>0.0</v>
      </c>
      <c r="F22" s="302">
        <v>0.0</v>
      </c>
      <c r="G22" s="302">
        <v>0.0</v>
      </c>
      <c r="H22" s="302">
        <v>0.0</v>
      </c>
      <c r="I22" s="302">
        <v>0.0</v>
      </c>
      <c r="J22" s="302">
        <v>0.0</v>
      </c>
      <c r="K22" s="302">
        <v>0.0</v>
      </c>
      <c r="L22" s="302">
        <v>4.0</v>
      </c>
      <c r="M22" s="278">
        <v>4.0</v>
      </c>
      <c r="N22" s="278" t="s">
        <v>1298</v>
      </c>
    </row>
    <row r="23">
      <c r="A23" s="278" t="s">
        <v>837</v>
      </c>
      <c r="B23" s="278" t="s">
        <v>1331</v>
      </c>
      <c r="C23" s="302">
        <v>0.0</v>
      </c>
      <c r="D23" s="302">
        <v>9478996.0</v>
      </c>
      <c r="E23" s="302">
        <v>0.0</v>
      </c>
      <c r="F23" s="302">
        <v>0.0</v>
      </c>
      <c r="G23" s="302">
        <v>0.0</v>
      </c>
      <c r="H23" s="302">
        <v>0.0</v>
      </c>
      <c r="I23" s="302">
        <v>0.0</v>
      </c>
      <c r="J23" s="302">
        <v>0.0</v>
      </c>
      <c r="K23" s="302">
        <v>0.0</v>
      </c>
      <c r="L23" s="302">
        <v>2.0</v>
      </c>
      <c r="M23" s="278">
        <v>2.0</v>
      </c>
      <c r="N23" s="278" t="s">
        <v>1298</v>
      </c>
    </row>
    <row r="24">
      <c r="A24" s="278" t="s">
        <v>846</v>
      </c>
      <c r="B24" s="278" t="s">
        <v>845</v>
      </c>
      <c r="C24" s="302">
        <v>0.0</v>
      </c>
      <c r="D24" s="302">
        <v>3.4902257E7</v>
      </c>
      <c r="E24" s="302">
        <v>0.0</v>
      </c>
      <c r="F24" s="302">
        <v>0.0</v>
      </c>
      <c r="G24" s="302">
        <v>0.0</v>
      </c>
      <c r="H24" s="302">
        <v>0.0</v>
      </c>
      <c r="I24" s="302">
        <v>0.0</v>
      </c>
      <c r="J24" s="302">
        <v>0.0</v>
      </c>
      <c r="K24" s="302">
        <v>0.0</v>
      </c>
      <c r="L24" s="302">
        <v>6.0</v>
      </c>
      <c r="M24" s="278">
        <v>3.0</v>
      </c>
      <c r="N24" s="278" t="s">
        <v>1298</v>
      </c>
    </row>
    <row r="25">
      <c r="A25" s="278" t="s">
        <v>861</v>
      </c>
      <c r="B25" s="278" t="s">
        <v>860</v>
      </c>
      <c r="C25" s="302">
        <v>0.0</v>
      </c>
      <c r="D25" s="302">
        <v>3.4070907E7</v>
      </c>
      <c r="E25" s="302">
        <v>0.0</v>
      </c>
      <c r="F25" s="302">
        <v>0.0</v>
      </c>
      <c r="G25" s="302">
        <v>0.0</v>
      </c>
      <c r="H25" s="302">
        <v>0.0</v>
      </c>
      <c r="I25" s="302">
        <v>0.0</v>
      </c>
      <c r="J25" s="302">
        <v>0.0</v>
      </c>
      <c r="K25" s="302">
        <v>0.0</v>
      </c>
      <c r="L25" s="302">
        <v>3.0</v>
      </c>
      <c r="M25" s="278">
        <v>1.0</v>
      </c>
      <c r="N25" s="278" t="s">
        <v>1298</v>
      </c>
    </row>
    <row r="26">
      <c r="A26" s="278" t="s">
        <v>953</v>
      </c>
      <c r="B26" s="278" t="s">
        <v>952</v>
      </c>
      <c r="C26" s="302">
        <v>0.0</v>
      </c>
      <c r="D26" s="302">
        <v>1.44694112E8</v>
      </c>
      <c r="E26" s="302">
        <v>0.0</v>
      </c>
      <c r="F26" s="302">
        <v>0.0</v>
      </c>
      <c r="G26" s="302">
        <v>0.0</v>
      </c>
      <c r="H26" s="302">
        <v>0.0</v>
      </c>
      <c r="I26" s="302">
        <v>0.0</v>
      </c>
      <c r="J26" s="302">
        <v>0.0</v>
      </c>
      <c r="K26" s="302">
        <v>0.0</v>
      </c>
      <c r="L26" s="302">
        <v>9.0</v>
      </c>
      <c r="M26" s="278">
        <v>4.0</v>
      </c>
      <c r="N26" s="278" t="s">
        <v>1300</v>
      </c>
    </row>
    <row r="27">
      <c r="A27" s="278" t="s">
        <v>986</v>
      </c>
      <c r="B27" s="278" t="s">
        <v>985</v>
      </c>
      <c r="C27" s="302">
        <v>0.0</v>
      </c>
      <c r="D27" s="302">
        <v>3.6069274E7</v>
      </c>
      <c r="E27" s="302">
        <v>0.0</v>
      </c>
      <c r="F27" s="302">
        <v>0.0</v>
      </c>
      <c r="G27" s="302">
        <v>0.0</v>
      </c>
      <c r="H27" s="302">
        <v>0.0</v>
      </c>
      <c r="I27" s="302">
        <v>0.0</v>
      </c>
      <c r="J27" s="302">
        <v>0.0</v>
      </c>
      <c r="K27" s="302">
        <v>0.0</v>
      </c>
      <c r="L27" s="302">
        <v>1.0</v>
      </c>
      <c r="M27" s="278">
        <v>1.0</v>
      </c>
      <c r="N27" s="278" t="s">
        <v>1300</v>
      </c>
    </row>
    <row r="28">
      <c r="A28" s="278" t="s">
        <v>1006</v>
      </c>
      <c r="B28" s="278" t="s">
        <v>1005</v>
      </c>
      <c r="C28" s="302">
        <v>1.0</v>
      </c>
      <c r="D28" s="302">
        <v>1.1203797E7</v>
      </c>
      <c r="E28" s="302">
        <v>1.0</v>
      </c>
      <c r="F28" s="302">
        <v>0.0</v>
      </c>
      <c r="G28" s="302">
        <v>0.0</v>
      </c>
      <c r="H28" s="302">
        <v>0.0</v>
      </c>
      <c r="I28" s="302">
        <v>0.0</v>
      </c>
      <c r="J28" s="302">
        <v>0.0</v>
      </c>
      <c r="K28" s="302">
        <v>1.0</v>
      </c>
      <c r="L28" s="302">
        <v>8.0</v>
      </c>
      <c r="M28" s="278">
        <v>0.0</v>
      </c>
      <c r="N28" s="278" t="s">
        <v>1301</v>
      </c>
    </row>
    <row r="29">
      <c r="A29" s="278" t="s">
        <v>1058</v>
      </c>
      <c r="B29" s="278" t="s">
        <v>1057</v>
      </c>
      <c r="C29" s="302">
        <v>1.0</v>
      </c>
      <c r="D29" s="302">
        <v>2.15802222E8</v>
      </c>
      <c r="E29" s="302">
        <v>0.0</v>
      </c>
      <c r="F29" s="302">
        <v>0.0</v>
      </c>
      <c r="G29" s="302">
        <v>0.0</v>
      </c>
      <c r="H29" s="302">
        <v>1.0</v>
      </c>
      <c r="I29" s="302">
        <v>1.0</v>
      </c>
      <c r="J29" s="302">
        <v>0.0</v>
      </c>
      <c r="K29" s="302">
        <v>0.0</v>
      </c>
      <c r="L29" s="302">
        <v>5.0</v>
      </c>
      <c r="M29" s="278">
        <v>0.0</v>
      </c>
      <c r="N29" s="278" t="s">
        <v>1302</v>
      </c>
    </row>
    <row r="30">
      <c r="A30" s="278" t="s">
        <v>1088</v>
      </c>
      <c r="B30" s="278" t="s">
        <v>1087</v>
      </c>
      <c r="C30" s="302">
        <v>1.0</v>
      </c>
      <c r="D30" s="302">
        <v>620437.0</v>
      </c>
      <c r="E30" s="302">
        <v>1.0</v>
      </c>
      <c r="F30" s="302">
        <v>0.0</v>
      </c>
      <c r="G30" s="302">
        <v>0.0</v>
      </c>
      <c r="H30" s="302">
        <v>0.0</v>
      </c>
      <c r="I30" s="302">
        <v>1.0</v>
      </c>
      <c r="J30" s="302">
        <v>0.0</v>
      </c>
      <c r="K30" s="302">
        <v>0.0</v>
      </c>
      <c r="L30" s="302">
        <v>1.0</v>
      </c>
      <c r="M30" s="278">
        <v>0.0</v>
      </c>
      <c r="N30" s="278" t="s">
        <v>1302</v>
      </c>
    </row>
    <row r="31">
      <c r="A31" s="278" t="s">
        <v>604</v>
      </c>
      <c r="B31" s="278" t="s">
        <v>603</v>
      </c>
      <c r="C31" s="302">
        <v>2.0</v>
      </c>
      <c r="D31" s="302">
        <v>1.360632E7</v>
      </c>
      <c r="E31" s="302">
        <v>0.0</v>
      </c>
      <c r="F31" s="302">
        <v>0.0</v>
      </c>
      <c r="G31" s="302">
        <v>2.0</v>
      </c>
      <c r="H31" s="302">
        <v>0.0</v>
      </c>
      <c r="I31" s="302">
        <v>0.0</v>
      </c>
      <c r="J31" s="302">
        <v>2.0</v>
      </c>
      <c r="K31" s="302">
        <v>0.0</v>
      </c>
      <c r="L31" s="302">
        <v>326.0</v>
      </c>
      <c r="M31" s="278">
        <v>0.0</v>
      </c>
      <c r="N31" s="278" t="s">
        <v>1298</v>
      </c>
    </row>
    <row r="32">
      <c r="A32" s="136"/>
      <c r="B32" s="136"/>
      <c r="C32" s="299"/>
      <c r="D32" s="299"/>
      <c r="E32" s="299"/>
      <c r="F32" s="299"/>
      <c r="G32" s="299"/>
      <c r="H32" s="299"/>
      <c r="I32" s="299"/>
      <c r="J32" s="299"/>
      <c r="K32" s="299"/>
      <c r="L32" s="299"/>
      <c r="M32" s="136"/>
      <c r="N32" s="136"/>
      <c r="O32" s="136"/>
    </row>
    <row r="33">
      <c r="A33" s="136"/>
      <c r="B33" s="136"/>
      <c r="C33" s="299"/>
      <c r="D33" s="299"/>
      <c r="E33" s="299"/>
      <c r="F33" s="299"/>
      <c r="G33" s="299"/>
      <c r="H33" s="299"/>
      <c r="I33" s="299"/>
      <c r="J33" s="299"/>
      <c r="K33" s="299"/>
      <c r="L33" s="299"/>
      <c r="M33" s="136"/>
      <c r="N33" s="136"/>
      <c r="O33" s="136"/>
    </row>
    <row r="34">
      <c r="A34" s="310" t="s">
        <v>1338</v>
      </c>
    </row>
    <row r="35">
      <c r="A35" s="301"/>
      <c r="B35" s="311" t="s">
        <v>1339</v>
      </c>
      <c r="C35" s="311" t="s">
        <v>1340</v>
      </c>
      <c r="D35" s="311" t="s">
        <v>1286</v>
      </c>
      <c r="E35" s="301" t="s">
        <v>1287</v>
      </c>
      <c r="F35" s="301" t="s">
        <v>1288</v>
      </c>
      <c r="G35" s="301" t="s">
        <v>1289</v>
      </c>
      <c r="H35" s="301" t="s">
        <v>1290</v>
      </c>
      <c r="I35" s="301" t="s">
        <v>1291</v>
      </c>
      <c r="J35" s="301" t="s">
        <v>1292</v>
      </c>
      <c r="K35" s="301" t="s">
        <v>1293</v>
      </c>
      <c r="L35" s="301" t="s">
        <v>1294</v>
      </c>
      <c r="M35" s="301" t="s">
        <v>1295</v>
      </c>
      <c r="N35" s="301" t="s">
        <v>1296</v>
      </c>
      <c r="O35" s="301"/>
    </row>
    <row r="36">
      <c r="A36" s="311" t="s">
        <v>56</v>
      </c>
      <c r="B36" s="312" t="s">
        <v>55</v>
      </c>
      <c r="C36" s="312">
        <v>3.0</v>
      </c>
      <c r="D36" s="313">
        <v>2.2959516E7</v>
      </c>
      <c r="E36" s="314">
        <v>0.0</v>
      </c>
      <c r="F36" s="314">
        <v>0.0</v>
      </c>
      <c r="G36" s="314">
        <v>3.0</v>
      </c>
      <c r="H36" s="314">
        <v>0.0</v>
      </c>
      <c r="I36" s="312">
        <v>1.0</v>
      </c>
      <c r="J36" s="312">
        <v>0.0</v>
      </c>
      <c r="K36" s="312">
        <v>2.0</v>
      </c>
      <c r="L36" s="312">
        <v>4.0</v>
      </c>
      <c r="M36" s="312">
        <v>1.0</v>
      </c>
      <c r="N36" s="312" t="s">
        <v>1297</v>
      </c>
      <c r="O36" s="303"/>
    </row>
    <row r="37">
      <c r="A37" s="311" t="s">
        <v>127</v>
      </c>
      <c r="B37" s="312" t="s">
        <v>126</v>
      </c>
      <c r="C37" s="312">
        <v>0.0</v>
      </c>
      <c r="D37" s="313">
        <v>3715522.0</v>
      </c>
      <c r="E37" s="314">
        <v>0.0</v>
      </c>
      <c r="F37" s="314">
        <v>0.0</v>
      </c>
      <c r="G37" s="314">
        <v>0.0</v>
      </c>
      <c r="H37" s="314">
        <v>0.0</v>
      </c>
      <c r="I37" s="312">
        <v>0.0</v>
      </c>
      <c r="J37" s="312">
        <v>0.0</v>
      </c>
      <c r="K37" s="312">
        <v>0.0</v>
      </c>
      <c r="L37" s="312">
        <v>2.0</v>
      </c>
      <c r="M37" s="312">
        <v>1.0</v>
      </c>
      <c r="N37" s="312" t="s">
        <v>1297</v>
      </c>
      <c r="O37" s="303"/>
    </row>
    <row r="38">
      <c r="A38" s="311" t="s">
        <v>139</v>
      </c>
      <c r="B38" s="312" t="s">
        <v>138</v>
      </c>
      <c r="C38" s="312">
        <v>0.0</v>
      </c>
      <c r="D38" s="313">
        <v>5443000.0</v>
      </c>
      <c r="E38" s="314">
        <v>0.0</v>
      </c>
      <c r="F38" s="314">
        <v>0.0</v>
      </c>
      <c r="G38" s="314">
        <v>0.0</v>
      </c>
      <c r="H38" s="314">
        <v>0.0</v>
      </c>
      <c r="I38" s="312">
        <v>0.0</v>
      </c>
      <c r="J38" s="312">
        <v>0.0</v>
      </c>
      <c r="K38" s="312">
        <v>0.0</v>
      </c>
      <c r="L38" s="312">
        <v>12.0</v>
      </c>
      <c r="M38" s="312">
        <v>1.0</v>
      </c>
      <c r="N38" s="312" t="s">
        <v>1297</v>
      </c>
      <c r="O38" s="303"/>
    </row>
    <row r="39">
      <c r="A39" s="311" t="s">
        <v>246</v>
      </c>
      <c r="B39" s="312" t="s">
        <v>245</v>
      </c>
      <c r="C39" s="312">
        <v>0.0</v>
      </c>
      <c r="D39" s="313">
        <v>2.21153992E8</v>
      </c>
      <c r="E39" s="314">
        <v>0.0</v>
      </c>
      <c r="F39" s="314">
        <v>0.0</v>
      </c>
      <c r="G39" s="314">
        <v>0.0</v>
      </c>
      <c r="H39" s="314">
        <v>0.0</v>
      </c>
      <c r="I39" s="312">
        <v>0.0</v>
      </c>
      <c r="J39" s="312">
        <v>0.0</v>
      </c>
      <c r="K39" s="312">
        <v>0.0</v>
      </c>
      <c r="L39" s="312">
        <v>1.0</v>
      </c>
      <c r="M39" s="312">
        <v>0.0</v>
      </c>
      <c r="N39" s="312" t="s">
        <v>1297</v>
      </c>
      <c r="O39" s="303"/>
    </row>
    <row r="40">
      <c r="A40" s="311" t="s">
        <v>292</v>
      </c>
      <c r="B40" s="312" t="s">
        <v>291</v>
      </c>
      <c r="C40" s="312">
        <v>3.0</v>
      </c>
      <c r="D40" s="313">
        <v>4.7486909E7</v>
      </c>
      <c r="E40" s="314">
        <v>3.0</v>
      </c>
      <c r="F40" s="314">
        <v>0.0</v>
      </c>
      <c r="G40" s="314">
        <v>0.0</v>
      </c>
      <c r="H40" s="314">
        <v>0.0</v>
      </c>
      <c r="I40" s="312">
        <v>0.0</v>
      </c>
      <c r="J40" s="312">
        <v>0.0</v>
      </c>
      <c r="K40" s="312">
        <v>3.0</v>
      </c>
      <c r="L40" s="312">
        <v>12.0</v>
      </c>
      <c r="M40" s="312">
        <v>0.0</v>
      </c>
      <c r="N40" s="312" t="s">
        <v>1297</v>
      </c>
      <c r="O40" s="303"/>
    </row>
    <row r="41">
      <c r="A41" s="311" t="s">
        <v>331</v>
      </c>
      <c r="B41" s="312" t="s">
        <v>330</v>
      </c>
      <c r="C41" s="312">
        <v>3.0</v>
      </c>
      <c r="D41" s="313">
        <v>1.6488132E7</v>
      </c>
      <c r="E41" s="314">
        <v>3.0</v>
      </c>
      <c r="F41" s="314">
        <v>0.0</v>
      </c>
      <c r="G41" s="314">
        <v>0.0</v>
      </c>
      <c r="H41" s="314">
        <v>0.0</v>
      </c>
      <c r="I41" s="312">
        <v>0.0</v>
      </c>
      <c r="J41" s="312">
        <v>0.0</v>
      </c>
      <c r="K41" s="312">
        <v>3.0</v>
      </c>
      <c r="L41" s="312">
        <v>6.0</v>
      </c>
      <c r="M41" s="312">
        <v>0.0</v>
      </c>
      <c r="N41" s="312" t="s">
        <v>1297</v>
      </c>
      <c r="O41" s="303"/>
    </row>
    <row r="42">
      <c r="A42" s="311" t="s">
        <v>394</v>
      </c>
      <c r="B42" s="312" t="s">
        <v>393</v>
      </c>
      <c r="C42" s="312">
        <v>0.0</v>
      </c>
      <c r="D42" s="313">
        <v>1.425849288E9</v>
      </c>
      <c r="E42" s="314">
        <v>0.0</v>
      </c>
      <c r="F42" s="314">
        <v>0.0</v>
      </c>
      <c r="G42" s="314">
        <v>0.0</v>
      </c>
      <c r="H42" s="314">
        <v>0.0</v>
      </c>
      <c r="I42" s="312">
        <v>0.0</v>
      </c>
      <c r="J42" s="312">
        <v>0.0</v>
      </c>
      <c r="K42" s="312">
        <v>0.0</v>
      </c>
      <c r="L42" s="312">
        <v>4.0</v>
      </c>
      <c r="M42" s="312">
        <v>4.0</v>
      </c>
      <c r="N42" s="312" t="s">
        <v>1298</v>
      </c>
      <c r="O42" s="303"/>
    </row>
    <row r="43">
      <c r="A43" s="311" t="s">
        <v>403</v>
      </c>
      <c r="B43" s="312" t="s">
        <v>402</v>
      </c>
      <c r="C43" s="312">
        <v>0.0</v>
      </c>
      <c r="D43" s="313">
        <v>2.6116716E7</v>
      </c>
      <c r="E43" s="314">
        <v>0.0</v>
      </c>
      <c r="F43" s="314">
        <v>0.0</v>
      </c>
      <c r="G43" s="314">
        <v>0.0</v>
      </c>
      <c r="H43" s="314">
        <v>0.0</v>
      </c>
      <c r="I43" s="312">
        <v>0.0</v>
      </c>
      <c r="J43" s="312">
        <v>0.0</v>
      </c>
      <c r="K43" s="312">
        <v>0.0</v>
      </c>
      <c r="L43" s="312">
        <v>3.0</v>
      </c>
      <c r="M43" s="312">
        <v>3.0</v>
      </c>
      <c r="N43" s="312" t="s">
        <v>1298</v>
      </c>
      <c r="O43" s="303"/>
    </row>
    <row r="44">
      <c r="A44" s="311" t="s">
        <v>417</v>
      </c>
      <c r="B44" s="312" t="s">
        <v>416</v>
      </c>
      <c r="C44" s="312">
        <v>6.0</v>
      </c>
      <c r="D44" s="313">
        <v>1.422026528E9</v>
      </c>
      <c r="E44" s="314">
        <v>6.0</v>
      </c>
      <c r="F44" s="314">
        <v>0.0</v>
      </c>
      <c r="G44" s="314">
        <v>0.0</v>
      </c>
      <c r="H44" s="314">
        <v>0.0</v>
      </c>
      <c r="I44" s="312">
        <v>0.0</v>
      </c>
      <c r="J44" s="312">
        <v>6.0</v>
      </c>
      <c r="K44" s="312">
        <v>0.0</v>
      </c>
      <c r="L44" s="312">
        <v>111.0</v>
      </c>
      <c r="M44" s="312">
        <v>1.0</v>
      </c>
      <c r="N44" s="312" t="s">
        <v>1298</v>
      </c>
      <c r="O44" s="303"/>
    </row>
    <row r="45">
      <c r="A45" s="311" t="s">
        <v>523</v>
      </c>
      <c r="B45" s="312" t="s">
        <v>522</v>
      </c>
      <c r="C45" s="312">
        <v>1.0</v>
      </c>
      <c r="D45" s="313">
        <v>8.8844498E7</v>
      </c>
      <c r="E45" s="314">
        <v>1.0</v>
      </c>
      <c r="F45" s="314">
        <v>0.0</v>
      </c>
      <c r="G45" s="314">
        <v>0.0</v>
      </c>
      <c r="H45" s="314">
        <v>0.0</v>
      </c>
      <c r="I45" s="312">
        <v>0.0</v>
      </c>
      <c r="J45" s="312">
        <v>0.0</v>
      </c>
      <c r="K45" s="312">
        <v>1.0</v>
      </c>
      <c r="L45" s="312">
        <v>41.0</v>
      </c>
      <c r="M45" s="312">
        <v>3.0</v>
      </c>
      <c r="N45" s="312" t="s">
        <v>1298</v>
      </c>
      <c r="O45" s="303"/>
    </row>
    <row r="46">
      <c r="A46" s="311" t="s">
        <v>642</v>
      </c>
      <c r="B46" s="312" t="s">
        <v>641</v>
      </c>
      <c r="C46" s="312">
        <v>1.0</v>
      </c>
      <c r="D46" s="313">
        <v>1.1315547E7</v>
      </c>
      <c r="E46" s="314">
        <v>0.0</v>
      </c>
      <c r="F46" s="314">
        <v>0.0</v>
      </c>
      <c r="G46" s="314">
        <v>1.0</v>
      </c>
      <c r="H46" s="314">
        <v>0.0</v>
      </c>
      <c r="I46" s="312">
        <v>1.0</v>
      </c>
      <c r="J46" s="312">
        <v>0.0</v>
      </c>
      <c r="K46" s="312">
        <v>0.0</v>
      </c>
      <c r="L46" s="312">
        <v>5.0</v>
      </c>
      <c r="M46" s="312">
        <v>0.0</v>
      </c>
      <c r="N46" s="312" t="s">
        <v>1298</v>
      </c>
      <c r="O46" s="303"/>
    </row>
    <row r="47">
      <c r="A47" s="311" t="s">
        <v>653</v>
      </c>
      <c r="B47" s="312" t="s">
        <v>652</v>
      </c>
      <c r="C47" s="312">
        <v>1.0</v>
      </c>
      <c r="D47" s="313">
        <v>1.9500494E7</v>
      </c>
      <c r="E47" s="314">
        <v>1.0</v>
      </c>
      <c r="F47" s="314">
        <v>0.0</v>
      </c>
      <c r="G47" s="314">
        <v>0.0</v>
      </c>
      <c r="H47" s="314">
        <v>0.0</v>
      </c>
      <c r="I47" s="312">
        <v>0.0</v>
      </c>
      <c r="J47" s="312">
        <v>0.0</v>
      </c>
      <c r="K47" s="312">
        <v>1.0</v>
      </c>
      <c r="L47" s="312">
        <v>8.0</v>
      </c>
      <c r="M47" s="312">
        <v>0.0</v>
      </c>
      <c r="N47" s="312" t="s">
        <v>1298</v>
      </c>
      <c r="O47" s="303"/>
    </row>
    <row r="48">
      <c r="A48" s="311" t="s">
        <v>681</v>
      </c>
      <c r="B48" s="312" t="s">
        <v>680</v>
      </c>
      <c r="C48" s="312">
        <v>0.0</v>
      </c>
      <c r="D48" s="313">
        <v>5.4380868E7</v>
      </c>
      <c r="E48" s="314">
        <v>0.0</v>
      </c>
      <c r="F48" s="314">
        <v>0.0</v>
      </c>
      <c r="G48" s="314">
        <v>0.0</v>
      </c>
      <c r="H48" s="314">
        <v>0.0</v>
      </c>
      <c r="I48" s="312">
        <v>0.0</v>
      </c>
      <c r="J48" s="312">
        <v>0.0</v>
      </c>
      <c r="K48" s="312">
        <v>0.0</v>
      </c>
      <c r="L48" s="312">
        <v>6.0</v>
      </c>
      <c r="M48" s="312">
        <v>2.0</v>
      </c>
      <c r="N48" s="312" t="s">
        <v>1298</v>
      </c>
      <c r="O48" s="303"/>
    </row>
    <row r="49">
      <c r="A49" s="311" t="s">
        <v>697</v>
      </c>
      <c r="B49" s="312" t="s">
        <v>696</v>
      </c>
      <c r="C49" s="312">
        <v>0.0</v>
      </c>
      <c r="D49" s="313">
        <v>4609315.0</v>
      </c>
      <c r="E49" s="314">
        <v>0.0</v>
      </c>
      <c r="F49" s="314">
        <v>0.0</v>
      </c>
      <c r="G49" s="314">
        <v>0.0</v>
      </c>
      <c r="H49" s="314">
        <v>0.0</v>
      </c>
      <c r="I49" s="312">
        <v>0.0</v>
      </c>
      <c r="J49" s="312">
        <v>0.0</v>
      </c>
      <c r="K49" s="312">
        <v>0.0</v>
      </c>
      <c r="L49" s="312">
        <v>3.0</v>
      </c>
      <c r="M49" s="312">
        <v>3.0</v>
      </c>
      <c r="N49" s="312" t="s">
        <v>1298</v>
      </c>
      <c r="O49" s="303"/>
    </row>
    <row r="50">
      <c r="A50" s="311" t="s">
        <v>704</v>
      </c>
      <c r="B50" s="312" t="s">
        <v>703</v>
      </c>
      <c r="C50" s="312">
        <v>1.0</v>
      </c>
      <c r="D50" s="313">
        <v>1.8536707E7</v>
      </c>
      <c r="E50" s="314">
        <v>1.0</v>
      </c>
      <c r="F50" s="314">
        <v>0.0</v>
      </c>
      <c r="G50" s="314">
        <v>0.0</v>
      </c>
      <c r="H50" s="314">
        <v>0.0</v>
      </c>
      <c r="I50" s="312">
        <v>0.0</v>
      </c>
      <c r="J50" s="312">
        <v>1.0</v>
      </c>
      <c r="K50" s="312">
        <v>0.0</v>
      </c>
      <c r="L50" s="312">
        <v>15.0</v>
      </c>
      <c r="M50" s="312">
        <v>0.0</v>
      </c>
      <c r="N50" s="312" t="s">
        <v>1298</v>
      </c>
      <c r="O50" s="303"/>
    </row>
    <row r="51">
      <c r="A51" s="311" t="s">
        <v>755</v>
      </c>
      <c r="B51" s="312" t="s">
        <v>754</v>
      </c>
      <c r="C51" s="312">
        <v>0.0</v>
      </c>
      <c r="D51" s="313">
        <v>2705914.0</v>
      </c>
      <c r="E51" s="314">
        <v>0.0</v>
      </c>
      <c r="F51" s="314">
        <v>0.0</v>
      </c>
      <c r="G51" s="314">
        <v>0.0</v>
      </c>
      <c r="H51" s="314">
        <v>0.0</v>
      </c>
      <c r="I51" s="312">
        <v>0.0</v>
      </c>
      <c r="J51" s="312">
        <v>0.0</v>
      </c>
      <c r="K51" s="312">
        <v>0.0</v>
      </c>
      <c r="L51" s="312">
        <v>1.0</v>
      </c>
      <c r="M51" s="312">
        <v>1.0</v>
      </c>
      <c r="N51" s="312" t="s">
        <v>1298</v>
      </c>
      <c r="O51" s="303"/>
    </row>
    <row r="52">
      <c r="A52" s="311" t="s">
        <v>770</v>
      </c>
      <c r="B52" s="312" t="s">
        <v>769</v>
      </c>
      <c r="C52" s="312">
        <v>2.0</v>
      </c>
      <c r="D52" s="313">
        <v>2.1864402E7</v>
      </c>
      <c r="E52" s="314">
        <v>2.0</v>
      </c>
      <c r="F52" s="314">
        <v>0.0</v>
      </c>
      <c r="G52" s="314">
        <v>0.0</v>
      </c>
      <c r="H52" s="314">
        <v>0.0</v>
      </c>
      <c r="I52" s="312">
        <v>1.0</v>
      </c>
      <c r="J52" s="312">
        <v>0.0</v>
      </c>
      <c r="K52" s="312">
        <v>1.0</v>
      </c>
      <c r="L52" s="312">
        <v>5.0</v>
      </c>
      <c r="M52" s="312">
        <v>0.0</v>
      </c>
      <c r="N52" s="312" t="s">
        <v>1298</v>
      </c>
      <c r="O52" s="303"/>
    </row>
    <row r="53">
      <c r="A53" s="311" t="s">
        <v>794</v>
      </c>
      <c r="B53" s="312" t="s">
        <v>793</v>
      </c>
      <c r="C53" s="312">
        <v>0.0</v>
      </c>
      <c r="D53" s="313">
        <v>7.1753808E7</v>
      </c>
      <c r="E53" s="314">
        <v>0.0</v>
      </c>
      <c r="F53" s="314">
        <v>0.0</v>
      </c>
      <c r="G53" s="314">
        <v>0.0</v>
      </c>
      <c r="H53" s="314">
        <v>0.0</v>
      </c>
      <c r="I53" s="312">
        <v>0.0</v>
      </c>
      <c r="J53" s="312">
        <v>0.0</v>
      </c>
      <c r="K53" s="312">
        <v>0.0</v>
      </c>
      <c r="L53" s="312">
        <v>1.0</v>
      </c>
      <c r="M53" s="312">
        <v>1.0</v>
      </c>
      <c r="N53" s="312" t="s">
        <v>1298</v>
      </c>
      <c r="O53" s="303"/>
    </row>
    <row r="54">
      <c r="A54" s="311" t="s">
        <v>825</v>
      </c>
      <c r="B54" s="312" t="s">
        <v>824</v>
      </c>
      <c r="C54" s="312">
        <v>0.0</v>
      </c>
      <c r="D54" s="313">
        <v>6474341.0</v>
      </c>
      <c r="E54" s="314">
        <v>0.0</v>
      </c>
      <c r="F54" s="314">
        <v>0.0</v>
      </c>
      <c r="G54" s="314">
        <v>0.0</v>
      </c>
      <c r="H54" s="314">
        <v>0.0</v>
      </c>
      <c r="I54" s="312">
        <v>0.0</v>
      </c>
      <c r="J54" s="312">
        <v>0.0</v>
      </c>
      <c r="K54" s="312">
        <v>0.0</v>
      </c>
      <c r="L54" s="312">
        <v>4.0</v>
      </c>
      <c r="M54" s="312">
        <v>4.0</v>
      </c>
      <c r="N54" s="312" t="s">
        <v>1298</v>
      </c>
      <c r="O54" s="303"/>
    </row>
    <row r="55">
      <c r="A55" s="311" t="s">
        <v>837</v>
      </c>
      <c r="B55" s="312" t="s">
        <v>1331</v>
      </c>
      <c r="C55" s="312">
        <v>0.0</v>
      </c>
      <c r="D55" s="313">
        <v>9478996.0</v>
      </c>
      <c r="E55" s="314">
        <v>0.0</v>
      </c>
      <c r="F55" s="314">
        <v>0.0</v>
      </c>
      <c r="G55" s="314">
        <v>0.0</v>
      </c>
      <c r="H55" s="314">
        <v>0.0</v>
      </c>
      <c r="I55" s="312">
        <v>0.0</v>
      </c>
      <c r="J55" s="312">
        <v>0.0</v>
      </c>
      <c r="K55" s="312">
        <v>0.0</v>
      </c>
      <c r="L55" s="312">
        <v>2.0</v>
      </c>
      <c r="M55" s="312">
        <v>2.0</v>
      </c>
      <c r="N55" s="312" t="s">
        <v>1298</v>
      </c>
      <c r="O55" s="303"/>
    </row>
    <row r="56">
      <c r="A56" s="311" t="s">
        <v>846</v>
      </c>
      <c r="B56" s="312" t="s">
        <v>845</v>
      </c>
      <c r="C56" s="312">
        <v>1.0</v>
      </c>
      <c r="D56" s="313">
        <v>3.4902257E7</v>
      </c>
      <c r="E56" s="314">
        <v>1.0</v>
      </c>
      <c r="F56" s="314">
        <v>0.0</v>
      </c>
      <c r="G56" s="314">
        <v>0.0</v>
      </c>
      <c r="H56" s="314">
        <v>0.0</v>
      </c>
      <c r="I56" s="312">
        <v>0.0</v>
      </c>
      <c r="J56" s="312">
        <v>0.0</v>
      </c>
      <c r="K56" s="312">
        <v>1.0</v>
      </c>
      <c r="L56" s="312">
        <v>6.0</v>
      </c>
      <c r="M56" s="312">
        <v>4.0</v>
      </c>
      <c r="N56" s="312" t="s">
        <v>1298</v>
      </c>
      <c r="O56" s="303"/>
    </row>
    <row r="57">
      <c r="A57" s="311" t="s">
        <v>861</v>
      </c>
      <c r="B57" s="312" t="s">
        <v>860</v>
      </c>
      <c r="C57" s="312">
        <v>0.0</v>
      </c>
      <c r="D57" s="313">
        <v>3.4070907E7</v>
      </c>
      <c r="E57" s="314">
        <v>0.0</v>
      </c>
      <c r="F57" s="314">
        <v>0.0</v>
      </c>
      <c r="G57" s="314">
        <v>0.0</v>
      </c>
      <c r="H57" s="314">
        <v>0.0</v>
      </c>
      <c r="I57" s="312">
        <v>0.0</v>
      </c>
      <c r="J57" s="312">
        <v>0.0</v>
      </c>
      <c r="K57" s="312">
        <v>0.0</v>
      </c>
      <c r="L57" s="312">
        <v>3.0</v>
      </c>
      <c r="M57" s="312">
        <v>1.0</v>
      </c>
      <c r="N57" s="312" t="s">
        <v>1298</v>
      </c>
      <c r="O57" s="303"/>
    </row>
    <row r="58">
      <c r="A58" s="311" t="s">
        <v>953</v>
      </c>
      <c r="B58" s="312" t="s">
        <v>952</v>
      </c>
      <c r="C58" s="312">
        <v>3.0</v>
      </c>
      <c r="D58" s="313">
        <v>1.44694112E8</v>
      </c>
      <c r="E58" s="314">
        <v>0.0</v>
      </c>
      <c r="F58" s="314">
        <v>0.0</v>
      </c>
      <c r="G58" s="314">
        <v>3.0</v>
      </c>
      <c r="H58" s="314">
        <v>0.0</v>
      </c>
      <c r="I58" s="312">
        <v>3.0</v>
      </c>
      <c r="J58" s="312">
        <v>0.0</v>
      </c>
      <c r="K58" s="312">
        <v>0.0</v>
      </c>
      <c r="L58" s="312">
        <v>9.0</v>
      </c>
      <c r="M58" s="312">
        <v>4.0</v>
      </c>
      <c r="N58" s="312" t="s">
        <v>1300</v>
      </c>
      <c r="O58" s="303"/>
    </row>
    <row r="59">
      <c r="A59" s="311" t="s">
        <v>986</v>
      </c>
      <c r="B59" s="312" t="s">
        <v>985</v>
      </c>
      <c r="C59" s="312">
        <v>0.0</v>
      </c>
      <c r="D59" s="313">
        <v>3.6069274E7</v>
      </c>
      <c r="E59" s="314">
        <v>0.0</v>
      </c>
      <c r="F59" s="314">
        <v>0.0</v>
      </c>
      <c r="G59" s="314">
        <v>0.0</v>
      </c>
      <c r="H59" s="314">
        <v>0.0</v>
      </c>
      <c r="I59" s="312">
        <v>0.0</v>
      </c>
      <c r="J59" s="312">
        <v>0.0</v>
      </c>
      <c r="K59" s="312">
        <v>0.0</v>
      </c>
      <c r="L59" s="312">
        <v>1.0</v>
      </c>
      <c r="M59" s="312">
        <v>1.0</v>
      </c>
      <c r="N59" s="312" t="s">
        <v>1300</v>
      </c>
      <c r="O59" s="303"/>
    </row>
    <row r="60">
      <c r="A60" s="311" t="s">
        <v>1058</v>
      </c>
      <c r="B60" s="312" t="s">
        <v>1057</v>
      </c>
      <c r="C60" s="312">
        <v>1.0</v>
      </c>
      <c r="D60" s="313">
        <v>2.15802222E8</v>
      </c>
      <c r="E60" s="314">
        <v>0.0</v>
      </c>
      <c r="F60" s="314">
        <v>0.0</v>
      </c>
      <c r="G60" s="314">
        <v>1.0</v>
      </c>
      <c r="H60" s="314">
        <v>0.0</v>
      </c>
      <c r="I60" s="312">
        <v>1.0</v>
      </c>
      <c r="J60" s="312">
        <v>0.0</v>
      </c>
      <c r="K60" s="312">
        <v>0.0</v>
      </c>
      <c r="L60" s="312">
        <v>5.0</v>
      </c>
      <c r="M60" s="312">
        <v>0.0</v>
      </c>
      <c r="N60" s="312" t="s">
        <v>1302</v>
      </c>
      <c r="O60" s="303"/>
    </row>
    <row r="61">
      <c r="A61" s="311" t="s">
        <v>604</v>
      </c>
      <c r="B61" s="312" t="s">
        <v>603</v>
      </c>
      <c r="C61" s="312">
        <v>35.0</v>
      </c>
      <c r="D61" s="313">
        <v>1.360632E7</v>
      </c>
      <c r="E61" s="314">
        <v>1.0</v>
      </c>
      <c r="F61" s="314">
        <v>0.0</v>
      </c>
      <c r="G61" s="314">
        <v>34.0</v>
      </c>
      <c r="H61" s="314">
        <v>0.0</v>
      </c>
      <c r="I61" s="312">
        <v>0.0</v>
      </c>
      <c r="J61" s="312">
        <v>35.0</v>
      </c>
      <c r="K61" s="312">
        <v>0.0</v>
      </c>
      <c r="L61" s="312">
        <v>326.0</v>
      </c>
      <c r="M61" s="312">
        <v>0.0</v>
      </c>
      <c r="N61" s="312" t="s">
        <v>1298</v>
      </c>
      <c r="O61" s="303"/>
    </row>
    <row r="62">
      <c r="A62" s="305"/>
      <c r="B62" s="306"/>
      <c r="C62" s="307"/>
      <c r="D62" s="308"/>
      <c r="E62" s="305"/>
      <c r="F62" s="304"/>
      <c r="G62" s="304"/>
      <c r="H62" s="304"/>
      <c r="I62" s="304"/>
      <c r="J62" s="305"/>
      <c r="K62" s="305"/>
      <c r="L62" s="308"/>
      <c r="M62" s="304"/>
      <c r="N62" s="304"/>
      <c r="O62" s="304"/>
    </row>
    <row r="63">
      <c r="A63" s="305"/>
      <c r="B63" s="306"/>
      <c r="C63" s="307"/>
      <c r="D63" s="308"/>
      <c r="E63" s="305"/>
      <c r="F63" s="304"/>
      <c r="G63" s="304"/>
      <c r="H63" s="304"/>
      <c r="I63" s="304"/>
      <c r="J63" s="305"/>
      <c r="K63" s="305"/>
      <c r="L63" s="308"/>
      <c r="M63" s="304"/>
      <c r="N63" s="304"/>
      <c r="O63" s="304"/>
    </row>
    <row r="64">
      <c r="A64" s="305"/>
      <c r="B64" s="306"/>
      <c r="C64" s="307"/>
      <c r="D64" s="308"/>
      <c r="E64" s="305"/>
      <c r="F64" s="304"/>
      <c r="G64" s="304"/>
      <c r="H64" s="304"/>
      <c r="I64" s="304"/>
      <c r="J64" s="305"/>
      <c r="K64" s="305"/>
      <c r="L64" s="308"/>
      <c r="M64" s="304"/>
      <c r="N64" s="304"/>
      <c r="O64" s="304"/>
    </row>
    <row r="65">
      <c r="A65" s="305"/>
      <c r="B65" s="306"/>
      <c r="C65" s="307"/>
      <c r="D65" s="308"/>
      <c r="E65" s="305"/>
      <c r="F65" s="304"/>
      <c r="G65" s="304"/>
      <c r="H65" s="304"/>
      <c r="I65" s="304"/>
      <c r="J65" s="305"/>
      <c r="K65" s="305"/>
      <c r="L65" s="308"/>
      <c r="M65" s="304"/>
      <c r="N65" s="304"/>
      <c r="O65" s="304"/>
    </row>
    <row r="66">
      <c r="A66" s="305"/>
      <c r="B66" s="306"/>
      <c r="C66" s="307"/>
      <c r="D66" s="308"/>
      <c r="E66" s="305"/>
      <c r="F66" s="304"/>
      <c r="G66" s="304"/>
      <c r="H66" s="304"/>
      <c r="I66" s="304"/>
      <c r="J66" s="305"/>
      <c r="K66" s="305"/>
      <c r="L66" s="308"/>
      <c r="M66" s="304"/>
      <c r="N66" s="304"/>
      <c r="O66" s="304"/>
    </row>
    <row r="67">
      <c r="A67" s="305"/>
      <c r="B67" s="306"/>
      <c r="C67" s="307"/>
      <c r="D67" s="308"/>
      <c r="E67" s="305"/>
      <c r="F67" s="304"/>
      <c r="G67" s="304"/>
      <c r="H67" s="304"/>
      <c r="I67" s="304"/>
      <c r="J67" s="305"/>
      <c r="K67" s="305"/>
      <c r="L67" s="308"/>
      <c r="M67" s="304"/>
      <c r="N67" s="304"/>
      <c r="O67" s="304"/>
    </row>
    <row r="68">
      <c r="A68" s="305"/>
      <c r="B68" s="306"/>
      <c r="C68" s="306"/>
      <c r="D68" s="308"/>
      <c r="E68" s="305"/>
      <c r="F68" s="304"/>
      <c r="G68" s="304"/>
      <c r="H68" s="304"/>
      <c r="I68" s="304"/>
      <c r="J68" s="305"/>
      <c r="K68" s="305"/>
      <c r="L68" s="308"/>
      <c r="M68" s="304"/>
      <c r="N68" s="304"/>
      <c r="O68" s="304"/>
    </row>
    <row r="69">
      <c r="A69" s="305"/>
      <c r="B69" s="306"/>
      <c r="C69" s="307"/>
      <c r="D69" s="308"/>
      <c r="E69" s="305"/>
      <c r="F69" s="304"/>
      <c r="G69" s="304"/>
      <c r="H69" s="304"/>
      <c r="I69" s="304"/>
      <c r="J69" s="305"/>
      <c r="K69" s="305"/>
      <c r="L69" s="308"/>
      <c r="M69" s="304"/>
      <c r="N69" s="304"/>
      <c r="O69" s="304"/>
    </row>
    <row r="70">
      <c r="A70" s="305"/>
      <c r="B70" s="306"/>
      <c r="C70" s="307"/>
      <c r="D70" s="308"/>
      <c r="E70" s="305"/>
      <c r="F70" s="304"/>
      <c r="G70" s="304"/>
      <c r="H70" s="304"/>
      <c r="I70" s="304"/>
      <c r="J70" s="305"/>
      <c r="K70" s="305"/>
      <c r="L70" s="308"/>
      <c r="M70" s="304"/>
      <c r="N70" s="304"/>
      <c r="O70" s="304"/>
    </row>
  </sheetData>
  <mergeCells count="2">
    <mergeCell ref="A1:M1"/>
    <mergeCell ref="A34:O3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5" t="s">
        <v>1341</v>
      </c>
      <c r="N1" s="136"/>
      <c r="O1" s="136"/>
      <c r="P1" s="136"/>
      <c r="Q1" s="136"/>
      <c r="R1" s="136"/>
      <c r="S1" s="136"/>
      <c r="T1" s="136"/>
      <c r="U1" s="136"/>
      <c r="V1" s="136"/>
      <c r="W1" s="136"/>
      <c r="X1" s="136"/>
      <c r="Y1" s="136"/>
      <c r="Z1" s="136"/>
    </row>
    <row r="2">
      <c r="A2" s="234"/>
      <c r="B2" s="234" t="s">
        <v>1342</v>
      </c>
      <c r="C2" s="234" t="s">
        <v>1343</v>
      </c>
      <c r="D2" s="100" t="s">
        <v>1344</v>
      </c>
      <c r="E2" s="234" t="s">
        <v>1287</v>
      </c>
      <c r="F2" s="234" t="s">
        <v>1288</v>
      </c>
      <c r="G2" s="234" t="s">
        <v>1289</v>
      </c>
      <c r="H2" s="234" t="s">
        <v>1290</v>
      </c>
      <c r="I2" s="234" t="s">
        <v>1291</v>
      </c>
      <c r="J2" s="234" t="s">
        <v>1292</v>
      </c>
      <c r="K2" s="234" t="s">
        <v>1293</v>
      </c>
      <c r="L2" s="234" t="s">
        <v>1294</v>
      </c>
      <c r="M2" s="234" t="s">
        <v>1295</v>
      </c>
      <c r="N2" s="234" t="s">
        <v>1296</v>
      </c>
      <c r="O2" s="234"/>
      <c r="P2" s="234"/>
      <c r="Q2" s="234"/>
      <c r="R2" s="234"/>
      <c r="S2" s="234"/>
      <c r="T2" s="234"/>
      <c r="U2" s="234"/>
      <c r="V2" s="234"/>
      <c r="W2" s="234"/>
      <c r="X2" s="234"/>
      <c r="Y2" s="234"/>
      <c r="Z2" s="234"/>
    </row>
    <row r="3">
      <c r="A3" s="136" t="s">
        <v>56</v>
      </c>
      <c r="B3" s="136" t="s">
        <v>55</v>
      </c>
      <c r="C3" s="299">
        <v>3.0</v>
      </c>
      <c r="D3" s="299">
        <v>2.0903273E7</v>
      </c>
      <c r="E3" s="299">
        <v>0.0</v>
      </c>
      <c r="F3" s="299">
        <v>0.0</v>
      </c>
      <c r="G3" s="299">
        <v>3.0</v>
      </c>
      <c r="H3" s="299">
        <v>0.0</v>
      </c>
      <c r="I3" s="299">
        <v>1.0</v>
      </c>
      <c r="J3" s="299">
        <v>0.0</v>
      </c>
      <c r="K3" s="299">
        <v>2.0</v>
      </c>
      <c r="L3" s="299">
        <v>4.0</v>
      </c>
      <c r="M3" s="136" t="s">
        <v>1324</v>
      </c>
      <c r="N3" s="136" t="s">
        <v>1297</v>
      </c>
      <c r="O3" s="136"/>
      <c r="P3" s="136"/>
      <c r="Q3" s="136"/>
      <c r="R3" s="136"/>
      <c r="S3" s="136"/>
      <c r="T3" s="136"/>
      <c r="U3" s="136"/>
      <c r="V3" s="136"/>
      <c r="W3" s="136"/>
      <c r="X3" s="136"/>
      <c r="Y3" s="136"/>
      <c r="Z3" s="136"/>
    </row>
    <row r="4">
      <c r="A4" s="136" t="s">
        <v>127</v>
      </c>
      <c r="B4" s="136" t="s">
        <v>126</v>
      </c>
      <c r="C4" s="299">
        <v>0.0</v>
      </c>
      <c r="D4" s="299">
        <v>3546421.0</v>
      </c>
      <c r="E4" s="299">
        <v>0.0</v>
      </c>
      <c r="F4" s="299">
        <v>0.0</v>
      </c>
      <c r="G4" s="299">
        <v>0.0</v>
      </c>
      <c r="H4" s="299">
        <v>0.0</v>
      </c>
      <c r="I4" s="299">
        <v>0.0</v>
      </c>
      <c r="J4" s="299">
        <v>0.0</v>
      </c>
      <c r="K4" s="299">
        <v>0.0</v>
      </c>
      <c r="L4" s="299">
        <v>2.0</v>
      </c>
      <c r="M4" s="136" t="s">
        <v>1324</v>
      </c>
      <c r="N4" s="136" t="s">
        <v>1297</v>
      </c>
      <c r="O4" s="136"/>
      <c r="P4" s="136"/>
      <c r="Q4" s="136"/>
      <c r="R4" s="136"/>
      <c r="S4" s="136"/>
      <c r="T4" s="136"/>
      <c r="U4" s="136"/>
      <c r="V4" s="136"/>
      <c r="W4" s="136"/>
      <c r="X4" s="136"/>
      <c r="Y4" s="136"/>
      <c r="Z4" s="136"/>
    </row>
    <row r="5">
      <c r="A5" s="136" t="s">
        <v>139</v>
      </c>
      <c r="B5" s="136" t="s">
        <v>138</v>
      </c>
      <c r="C5" s="299">
        <v>0.0</v>
      </c>
      <c r="D5" s="299">
        <v>5443000.0</v>
      </c>
      <c r="E5" s="299">
        <v>0.0</v>
      </c>
      <c r="F5" s="299">
        <v>0.0</v>
      </c>
      <c r="G5" s="299">
        <v>0.0</v>
      </c>
      <c r="H5" s="299">
        <v>0.0</v>
      </c>
      <c r="I5" s="299">
        <v>0.0</v>
      </c>
      <c r="J5" s="299">
        <v>0.0</v>
      </c>
      <c r="K5" s="299">
        <v>0.0</v>
      </c>
      <c r="L5" s="299">
        <v>10.0</v>
      </c>
      <c r="M5" s="136" t="s">
        <v>1324</v>
      </c>
      <c r="N5" s="136" t="s">
        <v>1297</v>
      </c>
      <c r="O5" s="136"/>
      <c r="P5" s="136"/>
      <c r="Q5" s="136"/>
      <c r="R5" s="136"/>
      <c r="S5" s="136"/>
      <c r="T5" s="136"/>
      <c r="U5" s="136"/>
      <c r="V5" s="136"/>
      <c r="W5" s="136"/>
      <c r="X5" s="136"/>
      <c r="Y5" s="136"/>
      <c r="Z5" s="136"/>
    </row>
    <row r="6">
      <c r="A6" s="136" t="s">
        <v>246</v>
      </c>
      <c r="B6" s="136" t="s">
        <v>245</v>
      </c>
      <c r="C6" s="299">
        <v>0.0</v>
      </c>
      <c r="D6" s="299">
        <v>2.06139589E8</v>
      </c>
      <c r="E6" s="299">
        <v>0.0</v>
      </c>
      <c r="F6" s="299">
        <v>0.0</v>
      </c>
      <c r="G6" s="299">
        <v>0.0</v>
      </c>
      <c r="H6" s="299">
        <v>0.0</v>
      </c>
      <c r="I6" s="299">
        <v>0.0</v>
      </c>
      <c r="J6" s="299">
        <v>0.0</v>
      </c>
      <c r="K6" s="299">
        <v>0.0</v>
      </c>
      <c r="L6" s="299">
        <v>1.0</v>
      </c>
      <c r="M6" s="136" t="s">
        <v>1303</v>
      </c>
      <c r="N6" s="136" t="s">
        <v>1297</v>
      </c>
      <c r="O6" s="136"/>
      <c r="P6" s="136"/>
      <c r="Q6" s="136"/>
      <c r="R6" s="136"/>
      <c r="S6" s="136"/>
      <c r="T6" s="136"/>
      <c r="U6" s="136"/>
      <c r="V6" s="136"/>
      <c r="W6" s="136"/>
      <c r="X6" s="136"/>
      <c r="Y6" s="136"/>
      <c r="Z6" s="136"/>
    </row>
    <row r="7">
      <c r="A7" s="136" t="s">
        <v>275</v>
      </c>
      <c r="B7" s="136" t="s">
        <v>274</v>
      </c>
      <c r="C7" s="299">
        <v>2.0</v>
      </c>
      <c r="D7" s="299">
        <v>7976983.0</v>
      </c>
      <c r="E7" s="299">
        <v>2.0</v>
      </c>
      <c r="F7" s="299">
        <v>0.0</v>
      </c>
      <c r="G7" s="299">
        <v>0.0</v>
      </c>
      <c r="H7" s="299">
        <v>0.0</v>
      </c>
      <c r="I7" s="299">
        <v>0.0</v>
      </c>
      <c r="J7" s="299">
        <v>0.0</v>
      </c>
      <c r="K7" s="299">
        <v>2.0</v>
      </c>
      <c r="L7" s="299">
        <v>3.0</v>
      </c>
      <c r="M7" s="136" t="s">
        <v>1303</v>
      </c>
      <c r="N7" s="136" t="s">
        <v>1297</v>
      </c>
      <c r="O7" s="136"/>
      <c r="P7" s="136"/>
      <c r="Q7" s="136"/>
      <c r="R7" s="136"/>
      <c r="S7" s="136"/>
      <c r="T7" s="136"/>
      <c r="U7" s="136"/>
      <c r="V7" s="136"/>
      <c r="W7" s="136"/>
      <c r="X7" s="136"/>
      <c r="Y7" s="136"/>
      <c r="Z7" s="136"/>
    </row>
    <row r="8">
      <c r="A8" s="136" t="s">
        <v>281</v>
      </c>
      <c r="B8" s="136" t="s">
        <v>280</v>
      </c>
      <c r="C8" s="299">
        <v>1.0</v>
      </c>
      <c r="D8" s="299">
        <v>477876.0</v>
      </c>
      <c r="E8" s="299">
        <v>1.0</v>
      </c>
      <c r="F8" s="299">
        <v>0.0</v>
      </c>
      <c r="G8" s="299">
        <v>0.0</v>
      </c>
      <c r="H8" s="299">
        <v>0.0</v>
      </c>
      <c r="I8" s="299">
        <v>0.0</v>
      </c>
      <c r="J8" s="299">
        <v>1.0</v>
      </c>
      <c r="K8" s="299">
        <v>0.0</v>
      </c>
      <c r="L8" s="299">
        <v>3.0</v>
      </c>
      <c r="M8" s="136" t="s">
        <v>1303</v>
      </c>
      <c r="N8" s="136" t="s">
        <v>1297</v>
      </c>
      <c r="O8" s="136"/>
      <c r="P8" s="136"/>
      <c r="Q8" s="136"/>
      <c r="R8" s="136"/>
      <c r="S8" s="136"/>
      <c r="T8" s="136"/>
      <c r="U8" s="136"/>
      <c r="V8" s="136"/>
      <c r="W8" s="136"/>
      <c r="X8" s="136"/>
      <c r="Y8" s="136"/>
      <c r="Z8" s="136"/>
    </row>
    <row r="9">
      <c r="A9" s="136" t="s">
        <v>292</v>
      </c>
      <c r="B9" s="136" t="s">
        <v>291</v>
      </c>
      <c r="C9" s="299">
        <v>4.0</v>
      </c>
      <c r="D9" s="299">
        <v>4.384926E7</v>
      </c>
      <c r="E9" s="299">
        <v>4.0</v>
      </c>
      <c r="F9" s="299">
        <v>0.0</v>
      </c>
      <c r="G9" s="299">
        <v>0.0</v>
      </c>
      <c r="H9" s="299">
        <v>0.0</v>
      </c>
      <c r="I9" s="299">
        <v>0.0</v>
      </c>
      <c r="J9" s="299">
        <v>0.0</v>
      </c>
      <c r="K9" s="299">
        <v>4.0</v>
      </c>
      <c r="L9" s="299">
        <v>11.0</v>
      </c>
      <c r="M9" s="136" t="s">
        <v>1303</v>
      </c>
      <c r="N9" s="136" t="s">
        <v>1297</v>
      </c>
      <c r="O9" s="136"/>
      <c r="P9" s="136"/>
      <c r="Q9" s="136"/>
      <c r="R9" s="136"/>
      <c r="S9" s="136"/>
      <c r="T9" s="136"/>
      <c r="U9" s="136"/>
      <c r="V9" s="136"/>
      <c r="W9" s="136"/>
      <c r="X9" s="136"/>
      <c r="Y9" s="136"/>
      <c r="Z9" s="136"/>
    </row>
    <row r="10">
      <c r="A10" s="136" t="s">
        <v>331</v>
      </c>
      <c r="B10" s="136" t="s">
        <v>330</v>
      </c>
      <c r="C10" s="299">
        <v>3.0</v>
      </c>
      <c r="D10" s="299">
        <v>1.4862924E7</v>
      </c>
      <c r="E10" s="299">
        <v>3.0</v>
      </c>
      <c r="F10" s="299">
        <v>0.0</v>
      </c>
      <c r="G10" s="299">
        <v>0.0</v>
      </c>
      <c r="H10" s="299">
        <v>0.0</v>
      </c>
      <c r="I10" s="299">
        <v>0.0</v>
      </c>
      <c r="J10" s="299">
        <v>0.0</v>
      </c>
      <c r="K10" s="299">
        <v>3.0</v>
      </c>
      <c r="L10" s="299">
        <v>6.0</v>
      </c>
      <c r="M10" s="136" t="s">
        <v>1303</v>
      </c>
      <c r="N10" s="136" t="s">
        <v>1297</v>
      </c>
      <c r="O10" s="136"/>
      <c r="P10" s="136"/>
      <c r="Q10" s="136"/>
      <c r="R10" s="136"/>
      <c r="S10" s="136"/>
      <c r="T10" s="136"/>
      <c r="U10" s="136"/>
      <c r="V10" s="136"/>
      <c r="W10" s="136"/>
      <c r="X10" s="136"/>
      <c r="Y10" s="136"/>
      <c r="Z10" s="136"/>
    </row>
    <row r="11">
      <c r="A11" s="136" t="s">
        <v>346</v>
      </c>
      <c r="B11" s="136" t="s">
        <v>345</v>
      </c>
      <c r="C11" s="299">
        <v>1.0</v>
      </c>
      <c r="D11" s="299">
        <v>3.8928346E7</v>
      </c>
      <c r="E11" s="299">
        <v>0.0</v>
      </c>
      <c r="F11" s="299">
        <v>0.0</v>
      </c>
      <c r="G11" s="299">
        <v>1.0</v>
      </c>
      <c r="H11" s="299">
        <v>0.0</v>
      </c>
      <c r="I11" s="299">
        <v>0.0</v>
      </c>
      <c r="J11" s="299">
        <v>0.0</v>
      </c>
      <c r="K11" s="299">
        <v>1.0</v>
      </c>
      <c r="L11" s="299">
        <v>2.0</v>
      </c>
      <c r="M11" s="136" t="s">
        <v>1303</v>
      </c>
      <c r="N11" s="136" t="s">
        <v>1298</v>
      </c>
      <c r="O11" s="136"/>
      <c r="P11" s="136"/>
      <c r="Q11" s="136"/>
      <c r="R11" s="136"/>
      <c r="S11" s="136"/>
      <c r="T11" s="136"/>
      <c r="U11" s="136"/>
      <c r="V11" s="136"/>
      <c r="W11" s="136"/>
      <c r="X11" s="136"/>
      <c r="Y11" s="136"/>
      <c r="Z11" s="136"/>
    </row>
    <row r="12">
      <c r="A12" s="136" t="s">
        <v>353</v>
      </c>
      <c r="B12" s="136" t="s">
        <v>352</v>
      </c>
      <c r="C12" s="299">
        <v>1.0</v>
      </c>
      <c r="D12" s="299">
        <v>2963243.0</v>
      </c>
      <c r="E12" s="299">
        <v>0.0</v>
      </c>
      <c r="F12" s="299">
        <v>0.0</v>
      </c>
      <c r="G12" s="299">
        <v>1.0</v>
      </c>
      <c r="H12" s="299">
        <v>0.0</v>
      </c>
      <c r="I12" s="299">
        <v>1.0</v>
      </c>
      <c r="J12" s="299">
        <v>0.0</v>
      </c>
      <c r="K12" s="299">
        <v>0.0</v>
      </c>
      <c r="L12" s="299">
        <v>3.0</v>
      </c>
      <c r="M12" s="136" t="s">
        <v>1303</v>
      </c>
      <c r="N12" s="136" t="s">
        <v>1298</v>
      </c>
      <c r="O12" s="136"/>
      <c r="P12" s="136"/>
      <c r="Q12" s="136"/>
      <c r="R12" s="136"/>
      <c r="S12" s="136"/>
      <c r="T12" s="136"/>
      <c r="U12" s="136"/>
      <c r="V12" s="136"/>
      <c r="W12" s="136"/>
      <c r="X12" s="136"/>
      <c r="Y12" s="136"/>
      <c r="Z12" s="136"/>
    </row>
    <row r="13">
      <c r="A13" s="136" t="s">
        <v>359</v>
      </c>
      <c r="B13" s="136" t="s">
        <v>358</v>
      </c>
      <c r="C13" s="299">
        <v>1.0</v>
      </c>
      <c r="D13" s="299">
        <v>1.0139177E7</v>
      </c>
      <c r="E13" s="299">
        <v>0.0</v>
      </c>
      <c r="F13" s="299">
        <v>0.0</v>
      </c>
      <c r="G13" s="299">
        <v>1.0</v>
      </c>
      <c r="H13" s="299">
        <v>0.0</v>
      </c>
      <c r="I13" s="299">
        <v>1.0</v>
      </c>
      <c r="J13" s="299">
        <v>0.0</v>
      </c>
      <c r="K13" s="299">
        <v>0.0</v>
      </c>
      <c r="L13" s="299">
        <v>2.0</v>
      </c>
      <c r="M13" s="136" t="s">
        <v>1324</v>
      </c>
      <c r="N13" s="136" t="s">
        <v>1298</v>
      </c>
      <c r="O13" s="136"/>
      <c r="P13" s="136"/>
      <c r="Q13" s="136"/>
      <c r="R13" s="136"/>
      <c r="S13" s="136"/>
      <c r="T13" s="136"/>
      <c r="U13" s="136"/>
      <c r="V13" s="136"/>
      <c r="W13" s="136"/>
      <c r="X13" s="136"/>
      <c r="Y13" s="136"/>
      <c r="Z13" s="136"/>
    </row>
    <row r="14">
      <c r="A14" s="136" t="s">
        <v>394</v>
      </c>
      <c r="B14" s="136" t="s">
        <v>393</v>
      </c>
      <c r="C14" s="299">
        <v>0.0</v>
      </c>
      <c r="D14" s="299">
        <v>1.439323776E9</v>
      </c>
      <c r="E14" s="299">
        <v>0.0</v>
      </c>
      <c r="F14" s="299">
        <v>0.0</v>
      </c>
      <c r="G14" s="299">
        <v>0.0</v>
      </c>
      <c r="H14" s="299">
        <v>0.0</v>
      </c>
      <c r="I14" s="299">
        <v>0.0</v>
      </c>
      <c r="J14" s="299">
        <v>0.0</v>
      </c>
      <c r="K14" s="299">
        <v>0.0</v>
      </c>
      <c r="L14" s="299">
        <v>4.0</v>
      </c>
      <c r="M14" s="136" t="s">
        <v>1324</v>
      </c>
      <c r="N14" s="136" t="s">
        <v>1298</v>
      </c>
      <c r="O14" s="136"/>
      <c r="P14" s="136"/>
      <c r="Q14" s="136"/>
      <c r="R14" s="136"/>
      <c r="S14" s="136"/>
      <c r="T14" s="136"/>
      <c r="U14" s="136"/>
      <c r="V14" s="136"/>
      <c r="W14" s="136"/>
      <c r="X14" s="136"/>
      <c r="Y14" s="136"/>
      <c r="Z14" s="136"/>
    </row>
    <row r="15">
      <c r="A15" s="136" t="s">
        <v>403</v>
      </c>
      <c r="B15" s="136" t="s">
        <v>402</v>
      </c>
      <c r="C15" s="299">
        <v>0.0</v>
      </c>
      <c r="D15" s="299">
        <v>2.5778816E7</v>
      </c>
      <c r="E15" s="299">
        <v>0.0</v>
      </c>
      <c r="F15" s="299">
        <v>0.0</v>
      </c>
      <c r="G15" s="299">
        <v>0.0</v>
      </c>
      <c r="H15" s="299">
        <v>0.0</v>
      </c>
      <c r="I15" s="299">
        <v>0.0</v>
      </c>
      <c r="J15" s="299">
        <v>0.0</v>
      </c>
      <c r="K15" s="299">
        <v>0.0</v>
      </c>
      <c r="L15" s="299">
        <v>3.0</v>
      </c>
      <c r="M15" s="136" t="s">
        <v>1324</v>
      </c>
      <c r="N15" s="136" t="s">
        <v>1298</v>
      </c>
      <c r="O15" s="136"/>
      <c r="P15" s="136"/>
      <c r="Q15" s="136"/>
      <c r="R15" s="136"/>
      <c r="S15" s="136"/>
      <c r="T15" s="136"/>
      <c r="U15" s="136"/>
      <c r="V15" s="136"/>
      <c r="W15" s="136"/>
      <c r="X15" s="136"/>
      <c r="Y15" s="136"/>
      <c r="Z15" s="136"/>
    </row>
    <row r="16">
      <c r="A16" s="136" t="s">
        <v>417</v>
      </c>
      <c r="B16" s="136" t="s">
        <v>416</v>
      </c>
      <c r="C16" s="299">
        <v>10.0</v>
      </c>
      <c r="D16" s="299">
        <v>1.380004385E9</v>
      </c>
      <c r="E16" s="299">
        <v>9.0</v>
      </c>
      <c r="F16" s="299">
        <v>0.0</v>
      </c>
      <c r="G16" s="299">
        <v>1.0</v>
      </c>
      <c r="H16" s="299">
        <v>0.0</v>
      </c>
      <c r="I16" s="299">
        <v>0.0</v>
      </c>
      <c r="J16" s="299">
        <v>10.0</v>
      </c>
      <c r="K16" s="299">
        <v>0.0</v>
      </c>
      <c r="L16" s="299">
        <v>102.0</v>
      </c>
      <c r="M16" s="136" t="s">
        <v>1324</v>
      </c>
      <c r="N16" s="136" t="s">
        <v>1298</v>
      </c>
      <c r="O16" s="136"/>
      <c r="P16" s="136"/>
      <c r="Q16" s="136"/>
      <c r="R16" s="136"/>
      <c r="S16" s="136"/>
      <c r="T16" s="136"/>
      <c r="U16" s="136"/>
      <c r="V16" s="136"/>
      <c r="W16" s="136"/>
      <c r="X16" s="136"/>
      <c r="Y16" s="136"/>
      <c r="Z16" s="136"/>
    </row>
    <row r="17">
      <c r="A17" s="136" t="s">
        <v>523</v>
      </c>
      <c r="B17" s="136" t="s">
        <v>522</v>
      </c>
      <c r="C17" s="299">
        <v>11.0</v>
      </c>
      <c r="D17" s="299">
        <v>8.3992949E7</v>
      </c>
      <c r="E17" s="299">
        <v>10.0</v>
      </c>
      <c r="F17" s="299">
        <v>0.0</v>
      </c>
      <c r="G17" s="299">
        <v>1.0</v>
      </c>
      <c r="H17" s="299">
        <v>0.0</v>
      </c>
      <c r="I17" s="299">
        <v>2.0</v>
      </c>
      <c r="J17" s="299">
        <v>4.0</v>
      </c>
      <c r="K17" s="299">
        <v>5.0</v>
      </c>
      <c r="L17" s="299">
        <v>27.0</v>
      </c>
      <c r="M17" s="136" t="s">
        <v>1324</v>
      </c>
      <c r="N17" s="136" t="s">
        <v>1298</v>
      </c>
      <c r="O17" s="136"/>
      <c r="P17" s="136"/>
      <c r="Q17" s="136"/>
      <c r="R17" s="136"/>
      <c r="S17" s="136"/>
      <c r="T17" s="136"/>
      <c r="U17" s="136"/>
      <c r="V17" s="136"/>
      <c r="W17" s="136"/>
      <c r="X17" s="136"/>
      <c r="Y17" s="136"/>
      <c r="Z17" s="136"/>
    </row>
    <row r="18">
      <c r="A18" s="136" t="s">
        <v>642</v>
      </c>
      <c r="B18" s="136" t="s">
        <v>641</v>
      </c>
      <c r="C18" s="299">
        <v>2.0</v>
      </c>
      <c r="D18" s="299">
        <v>1.0203134E7</v>
      </c>
      <c r="E18" s="299">
        <v>1.0</v>
      </c>
      <c r="F18" s="299">
        <v>0.0</v>
      </c>
      <c r="G18" s="299">
        <v>1.0</v>
      </c>
      <c r="H18" s="299">
        <v>0.0</v>
      </c>
      <c r="I18" s="299">
        <v>2.0</v>
      </c>
      <c r="J18" s="299">
        <v>0.0</v>
      </c>
      <c r="K18" s="299">
        <v>0.0</v>
      </c>
      <c r="L18" s="299">
        <v>5.0</v>
      </c>
      <c r="M18" s="136" t="s">
        <v>1324</v>
      </c>
      <c r="N18" s="136" t="s">
        <v>1298</v>
      </c>
      <c r="O18" s="136"/>
      <c r="P18" s="136"/>
      <c r="Q18" s="136"/>
      <c r="R18" s="136"/>
      <c r="S18" s="136"/>
      <c r="T18" s="136"/>
      <c r="U18" s="136"/>
      <c r="V18" s="136"/>
      <c r="W18" s="136"/>
      <c r="X18" s="136"/>
      <c r="Y18" s="136"/>
      <c r="Z18" s="136"/>
    </row>
    <row r="19">
      <c r="A19" s="136" t="s">
        <v>653</v>
      </c>
      <c r="B19" s="136" t="s">
        <v>652</v>
      </c>
      <c r="C19" s="299">
        <v>2.0</v>
      </c>
      <c r="D19" s="299">
        <v>1.8776707E7</v>
      </c>
      <c r="E19" s="299">
        <v>2.0</v>
      </c>
      <c r="F19" s="299">
        <v>0.0</v>
      </c>
      <c r="G19" s="299">
        <v>0.0</v>
      </c>
      <c r="H19" s="299">
        <v>0.0</v>
      </c>
      <c r="I19" s="299">
        <v>0.0</v>
      </c>
      <c r="J19" s="299">
        <v>1.0</v>
      </c>
      <c r="K19" s="299">
        <v>1.0</v>
      </c>
      <c r="L19" s="299">
        <v>8.0</v>
      </c>
      <c r="M19" s="136" t="s">
        <v>1303</v>
      </c>
      <c r="N19" s="136" t="s">
        <v>1298</v>
      </c>
      <c r="O19" s="136"/>
      <c r="P19" s="136"/>
      <c r="Q19" s="136"/>
      <c r="R19" s="136"/>
      <c r="S19" s="136"/>
      <c r="T19" s="136"/>
      <c r="U19" s="136"/>
      <c r="V19" s="136"/>
      <c r="W19" s="136"/>
      <c r="X19" s="136"/>
      <c r="Y19" s="136"/>
      <c r="Z19" s="136"/>
    </row>
    <row r="20">
      <c r="A20" s="136" t="s">
        <v>681</v>
      </c>
      <c r="B20" s="136" t="s">
        <v>680</v>
      </c>
      <c r="C20" s="299">
        <v>0.0</v>
      </c>
      <c r="D20" s="299">
        <v>5.44098E7</v>
      </c>
      <c r="E20" s="299">
        <v>0.0</v>
      </c>
      <c r="F20" s="299">
        <v>0.0</v>
      </c>
      <c r="G20" s="299">
        <v>0.0</v>
      </c>
      <c r="H20" s="299">
        <v>0.0</v>
      </c>
      <c r="I20" s="299">
        <v>0.0</v>
      </c>
      <c r="J20" s="299">
        <v>0.0</v>
      </c>
      <c r="K20" s="299">
        <v>0.0</v>
      </c>
      <c r="L20" s="299">
        <v>6.0</v>
      </c>
      <c r="M20" s="136" t="s">
        <v>1324</v>
      </c>
      <c r="N20" s="136" t="s">
        <v>1298</v>
      </c>
      <c r="O20" s="136"/>
      <c r="P20" s="136"/>
      <c r="Q20" s="136"/>
      <c r="R20" s="136"/>
      <c r="S20" s="136"/>
      <c r="T20" s="136"/>
      <c r="U20" s="136"/>
      <c r="V20" s="136"/>
      <c r="W20" s="136"/>
      <c r="X20" s="136"/>
      <c r="Y20" s="136"/>
      <c r="Z20" s="136"/>
    </row>
    <row r="21">
      <c r="A21" s="136" t="s">
        <v>697</v>
      </c>
      <c r="B21" s="136" t="s">
        <v>696</v>
      </c>
      <c r="C21" s="299">
        <v>0.0</v>
      </c>
      <c r="D21" s="299">
        <v>5106626.0</v>
      </c>
      <c r="E21" s="299">
        <v>0.0</v>
      </c>
      <c r="F21" s="299">
        <v>0.0</v>
      </c>
      <c r="G21" s="299">
        <v>0.0</v>
      </c>
      <c r="H21" s="299">
        <v>0.0</v>
      </c>
      <c r="I21" s="299">
        <v>0.0</v>
      </c>
      <c r="J21" s="299">
        <v>0.0</v>
      </c>
      <c r="K21" s="299">
        <v>0.0</v>
      </c>
      <c r="L21" s="299">
        <v>3.0</v>
      </c>
      <c r="M21" s="136" t="s">
        <v>1324</v>
      </c>
      <c r="N21" s="136" t="s">
        <v>1298</v>
      </c>
      <c r="O21" s="136"/>
      <c r="P21" s="136"/>
      <c r="Q21" s="136"/>
      <c r="R21" s="136"/>
      <c r="S21" s="136"/>
      <c r="T21" s="136"/>
      <c r="U21" s="136"/>
      <c r="V21" s="136"/>
      <c r="W21" s="136"/>
      <c r="X21" s="136"/>
      <c r="Y21" s="136"/>
      <c r="Z21" s="136"/>
    </row>
    <row r="22">
      <c r="A22" s="136" t="s">
        <v>704</v>
      </c>
      <c r="B22" s="136" t="s">
        <v>703</v>
      </c>
      <c r="C22" s="299">
        <v>3.0</v>
      </c>
      <c r="D22" s="299">
        <v>2.2089234E8</v>
      </c>
      <c r="E22" s="299">
        <v>1.0</v>
      </c>
      <c r="F22" s="299">
        <v>0.0</v>
      </c>
      <c r="G22" s="299">
        <v>2.0</v>
      </c>
      <c r="H22" s="299">
        <v>0.0</v>
      </c>
      <c r="I22" s="299">
        <v>2.0</v>
      </c>
      <c r="J22" s="299">
        <v>1.0</v>
      </c>
      <c r="K22" s="299">
        <v>0.0</v>
      </c>
      <c r="L22" s="299">
        <v>12.0</v>
      </c>
      <c r="M22" s="136" t="s">
        <v>1303</v>
      </c>
      <c r="N22" s="136" t="s">
        <v>1298</v>
      </c>
      <c r="O22" s="136"/>
      <c r="P22" s="136"/>
      <c r="Q22" s="136"/>
      <c r="R22" s="136"/>
      <c r="S22" s="136"/>
      <c r="T22" s="136"/>
      <c r="U22" s="136"/>
      <c r="V22" s="136"/>
      <c r="W22" s="136"/>
      <c r="X22" s="136"/>
      <c r="Y22" s="136"/>
      <c r="Z22" s="136"/>
    </row>
    <row r="23">
      <c r="A23" s="136" t="s">
        <v>755</v>
      </c>
      <c r="B23" s="136" t="s">
        <v>754</v>
      </c>
      <c r="C23" s="299">
        <v>0.0</v>
      </c>
      <c r="D23" s="299">
        <v>2881053.0</v>
      </c>
      <c r="E23" s="299">
        <v>0.0</v>
      </c>
      <c r="F23" s="299">
        <v>0.0</v>
      </c>
      <c r="G23" s="299">
        <v>0.0</v>
      </c>
      <c r="H23" s="299">
        <v>0.0</v>
      </c>
      <c r="I23" s="299">
        <v>0.0</v>
      </c>
      <c r="J23" s="299">
        <v>0.0</v>
      </c>
      <c r="K23" s="299">
        <v>0.0</v>
      </c>
      <c r="L23" s="299">
        <v>1.0</v>
      </c>
      <c r="M23" s="136" t="s">
        <v>1324</v>
      </c>
      <c r="N23" s="136" t="s">
        <v>1298</v>
      </c>
      <c r="O23" s="136"/>
      <c r="P23" s="136"/>
      <c r="Q23" s="136"/>
      <c r="R23" s="136"/>
      <c r="S23" s="136"/>
      <c r="T23" s="136"/>
      <c r="U23" s="136"/>
      <c r="V23" s="136"/>
      <c r="W23" s="136"/>
      <c r="X23" s="136"/>
      <c r="Y23" s="136"/>
      <c r="Z23" s="136"/>
    </row>
    <row r="24">
      <c r="A24" s="136" t="s">
        <v>770</v>
      </c>
      <c r="B24" s="136" t="s">
        <v>769</v>
      </c>
      <c r="C24" s="299">
        <v>2.0</v>
      </c>
      <c r="D24" s="299">
        <v>2.1413249E7</v>
      </c>
      <c r="E24" s="299">
        <v>2.0</v>
      </c>
      <c r="F24" s="299">
        <v>0.0</v>
      </c>
      <c r="G24" s="299">
        <v>0.0</v>
      </c>
      <c r="H24" s="299">
        <v>0.0</v>
      </c>
      <c r="I24" s="299">
        <v>1.0</v>
      </c>
      <c r="J24" s="299">
        <v>0.0</v>
      </c>
      <c r="K24" s="299">
        <v>1.0</v>
      </c>
      <c r="L24" s="299">
        <v>5.0</v>
      </c>
      <c r="M24" s="136" t="s">
        <v>1303</v>
      </c>
      <c r="N24" s="136" t="s">
        <v>1298</v>
      </c>
      <c r="O24" s="136"/>
      <c r="P24" s="136"/>
      <c r="Q24" s="136"/>
      <c r="R24" s="136"/>
      <c r="S24" s="136"/>
      <c r="T24" s="136"/>
      <c r="U24" s="136"/>
      <c r="V24" s="136"/>
      <c r="W24" s="136"/>
      <c r="X24" s="136"/>
      <c r="Y24" s="136"/>
      <c r="Z24" s="136"/>
    </row>
    <row r="25">
      <c r="A25" s="136" t="s">
        <v>794</v>
      </c>
      <c r="B25" s="136" t="s">
        <v>793</v>
      </c>
      <c r="C25" s="299">
        <v>0.0</v>
      </c>
      <c r="D25" s="299">
        <v>6.9799978E7</v>
      </c>
      <c r="E25" s="299">
        <v>0.0</v>
      </c>
      <c r="F25" s="299">
        <v>0.0</v>
      </c>
      <c r="G25" s="299">
        <v>0.0</v>
      </c>
      <c r="H25" s="299">
        <v>0.0</v>
      </c>
      <c r="I25" s="299">
        <v>0.0</v>
      </c>
      <c r="J25" s="299">
        <v>0.0</v>
      </c>
      <c r="K25" s="299">
        <v>0.0</v>
      </c>
      <c r="L25" s="299">
        <v>1.0</v>
      </c>
      <c r="M25" s="136" t="s">
        <v>1324</v>
      </c>
      <c r="N25" s="136" t="s">
        <v>1298</v>
      </c>
      <c r="O25" s="136"/>
      <c r="P25" s="136"/>
      <c r="Q25" s="136"/>
      <c r="R25" s="136"/>
      <c r="S25" s="136"/>
      <c r="T25" s="136"/>
      <c r="U25" s="136"/>
      <c r="V25" s="136"/>
      <c r="W25" s="136"/>
      <c r="X25" s="136"/>
      <c r="Y25" s="136"/>
      <c r="Z25" s="136"/>
    </row>
    <row r="26">
      <c r="A26" s="136" t="s">
        <v>825</v>
      </c>
      <c r="B26" s="136" t="s">
        <v>824</v>
      </c>
      <c r="C26" s="299">
        <v>0.0</v>
      </c>
      <c r="D26" s="299">
        <v>6031200.0</v>
      </c>
      <c r="E26" s="299">
        <v>0.0</v>
      </c>
      <c r="F26" s="299">
        <v>0.0</v>
      </c>
      <c r="G26" s="299">
        <v>0.0</v>
      </c>
      <c r="H26" s="299">
        <v>0.0</v>
      </c>
      <c r="I26" s="299">
        <v>0.0</v>
      </c>
      <c r="J26" s="299">
        <v>0.0</v>
      </c>
      <c r="K26" s="299">
        <v>0.0</v>
      </c>
      <c r="L26" s="299">
        <v>4.0</v>
      </c>
      <c r="M26" s="136" t="s">
        <v>1324</v>
      </c>
      <c r="N26" s="136" t="s">
        <v>1298</v>
      </c>
      <c r="O26" s="136"/>
      <c r="P26" s="136"/>
      <c r="Q26" s="136"/>
      <c r="R26" s="136"/>
      <c r="S26" s="136"/>
      <c r="T26" s="136"/>
      <c r="U26" s="136"/>
      <c r="V26" s="136"/>
      <c r="W26" s="136"/>
      <c r="X26" s="136"/>
      <c r="Y26" s="136"/>
      <c r="Z26" s="136"/>
    </row>
    <row r="27">
      <c r="A27" s="136" t="s">
        <v>837</v>
      </c>
      <c r="B27" s="136" t="s">
        <v>1345</v>
      </c>
      <c r="C27" s="299">
        <v>0.0</v>
      </c>
      <c r="D27" s="299">
        <v>9890402.0</v>
      </c>
      <c r="E27" s="299">
        <v>0.0</v>
      </c>
      <c r="F27" s="299">
        <v>0.0</v>
      </c>
      <c r="G27" s="299">
        <v>0.0</v>
      </c>
      <c r="H27" s="299">
        <v>0.0</v>
      </c>
      <c r="I27" s="299">
        <v>0.0</v>
      </c>
      <c r="J27" s="299">
        <v>0.0</v>
      </c>
      <c r="K27" s="299">
        <v>0.0</v>
      </c>
      <c r="L27" s="299">
        <v>2.0</v>
      </c>
      <c r="M27" s="136" t="s">
        <v>1324</v>
      </c>
      <c r="N27" s="136" t="s">
        <v>1298</v>
      </c>
      <c r="O27" s="136"/>
      <c r="P27" s="136"/>
      <c r="Q27" s="136"/>
      <c r="R27" s="136"/>
      <c r="S27" s="136"/>
      <c r="T27" s="136"/>
      <c r="U27" s="136"/>
      <c r="V27" s="136"/>
      <c r="W27" s="136"/>
      <c r="X27" s="136"/>
      <c r="Y27" s="136"/>
      <c r="Z27" s="136"/>
    </row>
    <row r="28">
      <c r="A28" s="136" t="s">
        <v>846</v>
      </c>
      <c r="B28" s="136" t="s">
        <v>845</v>
      </c>
      <c r="C28" s="299">
        <v>1.0</v>
      </c>
      <c r="D28" s="299">
        <v>3.3469203E7</v>
      </c>
      <c r="E28" s="299">
        <v>1.0</v>
      </c>
      <c r="F28" s="299">
        <v>0.0</v>
      </c>
      <c r="G28" s="299">
        <v>0.0</v>
      </c>
      <c r="H28" s="299">
        <v>0.0</v>
      </c>
      <c r="I28" s="299">
        <v>0.0</v>
      </c>
      <c r="J28" s="299">
        <v>0.0</v>
      </c>
      <c r="K28" s="299">
        <v>1.0</v>
      </c>
      <c r="L28" s="299">
        <v>6.0</v>
      </c>
      <c r="M28" s="136" t="s">
        <v>1324</v>
      </c>
      <c r="N28" s="136" t="s">
        <v>1298</v>
      </c>
      <c r="O28" s="136"/>
      <c r="P28" s="136"/>
      <c r="Q28" s="136"/>
      <c r="R28" s="136"/>
      <c r="S28" s="136"/>
      <c r="T28" s="136"/>
      <c r="U28" s="136"/>
      <c r="V28" s="136"/>
      <c r="W28" s="136"/>
      <c r="X28" s="136"/>
      <c r="Y28" s="136"/>
      <c r="Z28" s="136"/>
    </row>
    <row r="29">
      <c r="A29" s="136" t="s">
        <v>861</v>
      </c>
      <c r="B29" s="136" t="s">
        <v>860</v>
      </c>
      <c r="C29" s="299">
        <v>0.0</v>
      </c>
      <c r="D29" s="299">
        <v>2.9825964E7</v>
      </c>
      <c r="E29" s="299">
        <v>0.0</v>
      </c>
      <c r="F29" s="299">
        <v>0.0</v>
      </c>
      <c r="G29" s="299">
        <v>0.0</v>
      </c>
      <c r="H29" s="299">
        <v>0.0</v>
      </c>
      <c r="I29" s="299">
        <v>0.0</v>
      </c>
      <c r="J29" s="299">
        <v>0.0</v>
      </c>
      <c r="K29" s="299">
        <v>0.0</v>
      </c>
      <c r="L29" s="299">
        <v>3.0</v>
      </c>
      <c r="M29" s="136" t="s">
        <v>1324</v>
      </c>
      <c r="N29" s="136" t="s">
        <v>1298</v>
      </c>
      <c r="O29" s="136"/>
      <c r="P29" s="136"/>
      <c r="Q29" s="136"/>
      <c r="R29" s="136"/>
      <c r="S29" s="136"/>
      <c r="T29" s="136"/>
      <c r="U29" s="136"/>
      <c r="V29" s="136"/>
      <c r="W29" s="136"/>
      <c r="X29" s="136"/>
      <c r="Y29" s="136"/>
      <c r="Z29" s="136"/>
    </row>
    <row r="30">
      <c r="A30" s="136" t="s">
        <v>953</v>
      </c>
      <c r="B30" s="136" t="s">
        <v>952</v>
      </c>
      <c r="C30" s="299">
        <v>3.0</v>
      </c>
      <c r="D30" s="299">
        <v>1.45934462E8</v>
      </c>
      <c r="E30" s="299">
        <v>0.0</v>
      </c>
      <c r="F30" s="299">
        <v>0.0</v>
      </c>
      <c r="G30" s="299">
        <v>3.0</v>
      </c>
      <c r="H30" s="299">
        <v>0.0</v>
      </c>
      <c r="I30" s="299">
        <v>3.0</v>
      </c>
      <c r="J30" s="299">
        <v>0.0</v>
      </c>
      <c r="K30" s="299">
        <v>0.0</v>
      </c>
      <c r="L30" s="299">
        <v>9.0</v>
      </c>
      <c r="M30" s="136" t="s">
        <v>1324</v>
      </c>
      <c r="N30" s="136" t="s">
        <v>1300</v>
      </c>
      <c r="O30" s="136"/>
      <c r="P30" s="136"/>
      <c r="Q30" s="136"/>
      <c r="R30" s="136"/>
      <c r="S30" s="136"/>
      <c r="T30" s="136"/>
      <c r="U30" s="136"/>
      <c r="V30" s="136"/>
      <c r="W30" s="136"/>
      <c r="X30" s="136"/>
      <c r="Y30" s="136"/>
      <c r="Z30" s="136"/>
    </row>
    <row r="31">
      <c r="A31" s="136" t="s">
        <v>986</v>
      </c>
      <c r="B31" s="136" t="s">
        <v>985</v>
      </c>
      <c r="C31" s="299">
        <v>0.0</v>
      </c>
      <c r="D31" s="299">
        <v>4.3733762E7</v>
      </c>
      <c r="E31" s="299">
        <v>0.0</v>
      </c>
      <c r="F31" s="299">
        <v>0.0</v>
      </c>
      <c r="G31" s="299">
        <v>0.0</v>
      </c>
      <c r="H31" s="299">
        <v>0.0</v>
      </c>
      <c r="I31" s="299">
        <v>0.0</v>
      </c>
      <c r="J31" s="299">
        <v>0.0</v>
      </c>
      <c r="K31" s="299">
        <v>0.0</v>
      </c>
      <c r="L31" s="299">
        <v>1.0</v>
      </c>
      <c r="M31" s="136" t="s">
        <v>1324</v>
      </c>
      <c r="N31" s="136" t="s">
        <v>1300</v>
      </c>
      <c r="O31" s="136"/>
      <c r="P31" s="136"/>
      <c r="Q31" s="136"/>
      <c r="R31" s="136"/>
      <c r="S31" s="136"/>
      <c r="T31" s="136"/>
      <c r="U31" s="136"/>
      <c r="V31" s="136"/>
      <c r="W31" s="136"/>
      <c r="X31" s="136"/>
      <c r="Y31" s="136"/>
      <c r="Z31" s="136"/>
    </row>
    <row r="32">
      <c r="A32" s="136" t="s">
        <v>1006</v>
      </c>
      <c r="B32" s="136" t="s">
        <v>1005</v>
      </c>
      <c r="C32" s="299">
        <v>3.0</v>
      </c>
      <c r="D32" s="299">
        <v>1.1326616E7</v>
      </c>
      <c r="E32" s="299">
        <v>3.0</v>
      </c>
      <c r="F32" s="299">
        <v>0.0</v>
      </c>
      <c r="G32" s="299">
        <v>0.0</v>
      </c>
      <c r="H32" s="299">
        <v>0.0</v>
      </c>
      <c r="I32" s="299">
        <v>0.0</v>
      </c>
      <c r="J32" s="299">
        <v>0.0</v>
      </c>
      <c r="K32" s="299">
        <v>3.0</v>
      </c>
      <c r="L32" s="299">
        <v>7.0</v>
      </c>
      <c r="M32" s="136" t="s">
        <v>1303</v>
      </c>
      <c r="N32" s="136" t="s">
        <v>1301</v>
      </c>
      <c r="O32" s="136"/>
      <c r="P32" s="136"/>
      <c r="Q32" s="136"/>
      <c r="R32" s="136"/>
      <c r="S32" s="136"/>
      <c r="T32" s="136"/>
      <c r="U32" s="136"/>
      <c r="V32" s="136"/>
      <c r="W32" s="136"/>
      <c r="X32" s="136"/>
      <c r="Y32" s="136"/>
      <c r="Z32" s="136"/>
    </row>
    <row r="33">
      <c r="A33" s="136" t="s">
        <v>1058</v>
      </c>
      <c r="B33" s="136" t="s">
        <v>1057</v>
      </c>
      <c r="C33" s="299">
        <v>1.0</v>
      </c>
      <c r="D33" s="299">
        <v>2.12559417E8</v>
      </c>
      <c r="E33" s="299">
        <v>0.0</v>
      </c>
      <c r="F33" s="299">
        <v>0.0</v>
      </c>
      <c r="G33" s="299">
        <v>1.0</v>
      </c>
      <c r="H33" s="299">
        <v>0.0</v>
      </c>
      <c r="I33" s="299">
        <v>1.0</v>
      </c>
      <c r="J33" s="299">
        <v>0.0</v>
      </c>
      <c r="K33" s="299">
        <v>0.0</v>
      </c>
      <c r="L33" s="299">
        <v>4.0</v>
      </c>
      <c r="M33" s="136" t="s">
        <v>1303</v>
      </c>
      <c r="N33" s="136" t="s">
        <v>1302</v>
      </c>
      <c r="O33" s="136"/>
      <c r="P33" s="136"/>
      <c r="Q33" s="136"/>
      <c r="R33" s="136"/>
      <c r="S33" s="136"/>
      <c r="T33" s="136"/>
      <c r="U33" s="136"/>
      <c r="V33" s="136"/>
      <c r="W33" s="136"/>
      <c r="X33" s="136"/>
      <c r="Y33" s="136"/>
      <c r="Z33" s="136"/>
    </row>
    <row r="34">
      <c r="A34" s="136" t="s">
        <v>604</v>
      </c>
      <c r="B34" s="136" t="s">
        <v>603</v>
      </c>
      <c r="C34" s="299">
        <v>24.0</v>
      </c>
      <c r="D34" s="299">
        <v>1.360632E7</v>
      </c>
      <c r="E34" s="299">
        <v>0.0</v>
      </c>
      <c r="F34" s="299">
        <v>0.0</v>
      </c>
      <c r="G34" s="299">
        <v>24.0</v>
      </c>
      <c r="H34" s="299">
        <v>0.0</v>
      </c>
      <c r="I34" s="299">
        <v>0.0</v>
      </c>
      <c r="J34" s="299">
        <v>24.0</v>
      </c>
      <c r="K34" s="299">
        <v>0.0</v>
      </c>
      <c r="L34" s="299">
        <v>306.0</v>
      </c>
      <c r="M34" s="136" t="s">
        <v>1303</v>
      </c>
      <c r="N34" s="136" t="s">
        <v>1298</v>
      </c>
      <c r="O34" s="136"/>
      <c r="P34" s="136"/>
      <c r="Q34" s="136"/>
      <c r="R34" s="136"/>
      <c r="S34" s="136"/>
      <c r="T34" s="136"/>
      <c r="U34" s="136"/>
      <c r="V34" s="136"/>
      <c r="W34" s="136"/>
      <c r="X34" s="136"/>
      <c r="Y34" s="136"/>
      <c r="Z34" s="136"/>
    </row>
    <row r="35">
      <c r="A35" s="136"/>
      <c r="B35" s="136"/>
      <c r="C35" s="136"/>
      <c r="D35" s="136"/>
      <c r="E35" s="136"/>
      <c r="F35" s="136"/>
      <c r="G35" s="136"/>
      <c r="H35" s="136"/>
      <c r="I35" s="136"/>
      <c r="J35" s="136"/>
      <c r="K35" s="136"/>
      <c r="L35" s="136" t="s">
        <v>1303</v>
      </c>
      <c r="M35" s="136"/>
      <c r="N35" s="136"/>
      <c r="O35" s="136"/>
      <c r="P35" s="136"/>
      <c r="Q35" s="136"/>
      <c r="R35" s="136"/>
      <c r="S35" s="136"/>
      <c r="T35" s="136"/>
      <c r="U35" s="136"/>
      <c r="V35" s="136"/>
      <c r="W35" s="136"/>
      <c r="X35" s="136"/>
      <c r="Y35" s="136"/>
      <c r="Z35" s="136"/>
    </row>
    <row r="36">
      <c r="A36" s="136"/>
      <c r="B36" s="136"/>
      <c r="C36" s="136"/>
      <c r="D36" s="136"/>
      <c r="E36" s="136"/>
      <c r="F36" s="136"/>
      <c r="G36" s="136"/>
      <c r="H36" s="136"/>
      <c r="I36" s="136"/>
      <c r="J36" s="136"/>
      <c r="K36" s="136"/>
      <c r="L36" s="136" t="s">
        <v>1303</v>
      </c>
      <c r="M36" s="136"/>
      <c r="N36" s="136"/>
      <c r="O36" s="136"/>
      <c r="P36" s="136"/>
      <c r="Q36" s="136"/>
      <c r="R36" s="136"/>
      <c r="S36" s="136"/>
      <c r="T36" s="136"/>
      <c r="U36" s="136"/>
      <c r="V36" s="136"/>
      <c r="W36" s="136"/>
      <c r="X36" s="136"/>
      <c r="Y36" s="136"/>
      <c r="Z36" s="136"/>
    </row>
    <row r="37">
      <c r="A37" s="136"/>
      <c r="B37" s="136"/>
      <c r="C37" s="136"/>
      <c r="D37" s="136"/>
      <c r="E37" s="136"/>
      <c r="F37" s="136"/>
      <c r="G37" s="136"/>
      <c r="H37" s="136"/>
      <c r="I37" s="136"/>
      <c r="J37" s="136"/>
      <c r="K37" s="136"/>
      <c r="L37" s="136" t="s">
        <v>1303</v>
      </c>
      <c r="M37" s="136"/>
      <c r="N37" s="136"/>
      <c r="O37" s="136"/>
      <c r="P37" s="136"/>
      <c r="Q37" s="136"/>
      <c r="R37" s="136"/>
      <c r="S37" s="136"/>
      <c r="T37" s="136"/>
      <c r="U37" s="136"/>
      <c r="V37" s="136"/>
      <c r="W37" s="136"/>
      <c r="X37" s="136"/>
      <c r="Y37" s="136"/>
      <c r="Z37" s="136"/>
    </row>
    <row r="38">
      <c r="A38" s="136"/>
      <c r="B38" s="136"/>
      <c r="C38" s="136"/>
      <c r="D38" s="136"/>
      <c r="E38" s="136"/>
      <c r="F38" s="136"/>
      <c r="G38" s="136"/>
      <c r="H38" s="136"/>
      <c r="I38" s="136"/>
      <c r="J38" s="136"/>
      <c r="K38" s="136"/>
      <c r="L38" s="136" t="s">
        <v>1303</v>
      </c>
      <c r="M38" s="136"/>
      <c r="N38" s="136"/>
      <c r="O38" s="136"/>
      <c r="P38" s="136"/>
      <c r="Q38" s="136"/>
      <c r="R38" s="136"/>
      <c r="S38" s="136"/>
      <c r="T38" s="136"/>
      <c r="U38" s="136"/>
      <c r="V38" s="136"/>
      <c r="W38" s="136"/>
      <c r="X38" s="136"/>
      <c r="Y38" s="136"/>
      <c r="Z38" s="136"/>
    </row>
    <row r="39">
      <c r="A39" s="136"/>
      <c r="B39" s="136"/>
      <c r="C39" s="136"/>
      <c r="D39" s="136"/>
      <c r="E39" s="136"/>
      <c r="F39" s="136"/>
      <c r="G39" s="136"/>
      <c r="H39" s="136"/>
      <c r="I39" s="136"/>
      <c r="J39" s="136"/>
      <c r="K39" s="136"/>
      <c r="L39" s="136" t="s">
        <v>1303</v>
      </c>
      <c r="M39" s="136"/>
      <c r="N39" s="136"/>
      <c r="O39" s="136"/>
      <c r="P39" s="136"/>
      <c r="Q39" s="136"/>
      <c r="R39" s="136"/>
      <c r="S39" s="136"/>
      <c r="T39" s="136"/>
      <c r="U39" s="136"/>
      <c r="V39" s="136"/>
      <c r="W39" s="136"/>
      <c r="X39" s="136"/>
      <c r="Y39" s="136"/>
      <c r="Z39" s="136"/>
    </row>
    <row r="40">
      <c r="A40" s="315" t="s">
        <v>1346</v>
      </c>
    </row>
    <row r="41">
      <c r="A41" s="234" t="s">
        <v>1305</v>
      </c>
      <c r="B41" s="136" t="s">
        <v>1306</v>
      </c>
      <c r="C41" s="136" t="s">
        <v>1307</v>
      </c>
      <c r="D41" s="234" t="s">
        <v>1308</v>
      </c>
      <c r="E41" s="234" t="s">
        <v>1347</v>
      </c>
      <c r="F41" s="136" t="s">
        <v>1287</v>
      </c>
      <c r="G41" s="136" t="s">
        <v>1288</v>
      </c>
      <c r="H41" s="136" t="s">
        <v>1289</v>
      </c>
      <c r="I41" s="136" t="s">
        <v>1290</v>
      </c>
      <c r="J41" s="136" t="s">
        <v>1348</v>
      </c>
      <c r="K41" s="234" t="s">
        <v>1296</v>
      </c>
      <c r="L41" s="278" t="s">
        <v>1349</v>
      </c>
      <c r="M41" s="136" t="s">
        <v>1311</v>
      </c>
      <c r="N41" s="136" t="s">
        <v>1312</v>
      </c>
      <c r="O41" s="136" t="s">
        <v>1313</v>
      </c>
      <c r="P41" s="136" t="s">
        <v>1314</v>
      </c>
      <c r="Q41" s="136" t="s">
        <v>1315</v>
      </c>
      <c r="R41" s="136" t="s">
        <v>1316</v>
      </c>
      <c r="S41" s="136" t="s">
        <v>1317</v>
      </c>
      <c r="T41" s="136" t="s">
        <v>1318</v>
      </c>
      <c r="U41" s="136" t="s">
        <v>1336</v>
      </c>
      <c r="V41" s="234" t="s">
        <v>1319</v>
      </c>
      <c r="W41" s="234" t="s">
        <v>1320</v>
      </c>
      <c r="X41" s="234" t="s">
        <v>1321</v>
      </c>
      <c r="Y41" s="234" t="s">
        <v>1322</v>
      </c>
      <c r="Z41" s="234" t="s">
        <v>1323</v>
      </c>
    </row>
    <row r="42">
      <c r="A42" s="136" t="s">
        <v>56</v>
      </c>
      <c r="B42" s="316">
        <v>44584.0</v>
      </c>
      <c r="C42" s="316">
        <v>44585.0</v>
      </c>
      <c r="D42" s="299">
        <v>35.0</v>
      </c>
      <c r="E42" s="136" t="s">
        <v>57</v>
      </c>
      <c r="F42" s="317" t="b">
        <v>0</v>
      </c>
      <c r="G42" s="317" t="b">
        <v>0</v>
      </c>
      <c r="H42" s="317" t="b">
        <v>1</v>
      </c>
      <c r="I42" s="317" t="b">
        <v>0</v>
      </c>
      <c r="J42" s="136" t="s">
        <v>38</v>
      </c>
      <c r="K42" s="136" t="s">
        <v>1297</v>
      </c>
      <c r="L42" s="299">
        <v>2.0903273E7</v>
      </c>
      <c r="M42" s="317" t="b">
        <v>0</v>
      </c>
      <c r="N42" s="317" t="b">
        <v>0</v>
      </c>
      <c r="O42" s="317" t="b">
        <v>0</v>
      </c>
      <c r="P42" s="317" t="b">
        <v>0</v>
      </c>
      <c r="Q42" s="317" t="b">
        <v>0</v>
      </c>
      <c r="R42" s="317" t="b">
        <v>0</v>
      </c>
      <c r="S42" s="317" t="b">
        <v>0</v>
      </c>
      <c r="T42" s="317" t="b">
        <v>0</v>
      </c>
      <c r="U42" s="317" t="b">
        <v>0</v>
      </c>
      <c r="V42" s="136" t="s">
        <v>1324</v>
      </c>
      <c r="W42" s="136" t="s">
        <v>1303</v>
      </c>
      <c r="X42" s="136" t="s">
        <v>1303</v>
      </c>
      <c r="Y42" s="136" t="s">
        <v>1303</v>
      </c>
      <c r="Z42" s="136" t="s">
        <v>1324</v>
      </c>
    </row>
    <row r="43">
      <c r="A43" s="136" t="s">
        <v>56</v>
      </c>
      <c r="B43" s="316">
        <v>44572.0</v>
      </c>
      <c r="C43" s="96"/>
      <c r="D43" s="299">
        <v>8496.0</v>
      </c>
      <c r="E43" s="136" t="s">
        <v>59</v>
      </c>
      <c r="F43" s="317" t="b">
        <v>0</v>
      </c>
      <c r="G43" s="317" t="b">
        <v>0</v>
      </c>
      <c r="H43" s="317" t="b">
        <v>1</v>
      </c>
      <c r="I43" s="317" t="b">
        <v>0</v>
      </c>
      <c r="J43" s="136" t="s">
        <v>38</v>
      </c>
      <c r="K43" s="136" t="s">
        <v>1297</v>
      </c>
      <c r="L43" s="299">
        <v>2.0903273E7</v>
      </c>
      <c r="M43" s="317" t="b">
        <v>1</v>
      </c>
      <c r="N43" s="317" t="b">
        <v>0</v>
      </c>
      <c r="O43" s="317" t="b">
        <v>0</v>
      </c>
      <c r="P43" s="317" t="b">
        <v>0</v>
      </c>
      <c r="Q43" s="317" t="b">
        <v>0</v>
      </c>
      <c r="R43" s="317" t="b">
        <v>0</v>
      </c>
      <c r="S43" s="317" t="b">
        <v>0</v>
      </c>
      <c r="T43" s="317" t="b">
        <v>0</v>
      </c>
      <c r="U43" s="317" t="b">
        <v>1</v>
      </c>
      <c r="V43" s="136" t="s">
        <v>1303</v>
      </c>
      <c r="W43" s="136" t="s">
        <v>1324</v>
      </c>
      <c r="X43" s="136" t="s">
        <v>1303</v>
      </c>
      <c r="Y43" s="136" t="s">
        <v>1303</v>
      </c>
      <c r="Z43" s="136" t="s">
        <v>1324</v>
      </c>
    </row>
    <row r="44">
      <c r="A44" s="136" t="s">
        <v>56</v>
      </c>
      <c r="B44" s="316">
        <v>44571.0</v>
      </c>
      <c r="C44" s="316">
        <v>44572.0</v>
      </c>
      <c r="D44" s="299">
        <v>15.0</v>
      </c>
      <c r="E44" s="136" t="s">
        <v>60</v>
      </c>
      <c r="F44" s="317" t="b">
        <v>0</v>
      </c>
      <c r="G44" s="317" t="b">
        <v>0</v>
      </c>
      <c r="H44" s="317" t="b">
        <v>1</v>
      </c>
      <c r="I44" s="317" t="b">
        <v>0</v>
      </c>
      <c r="J44" s="136" t="s">
        <v>38</v>
      </c>
      <c r="K44" s="136" t="s">
        <v>1297</v>
      </c>
      <c r="L44" s="299">
        <v>2.0903273E7</v>
      </c>
      <c r="M44" s="317" t="b">
        <v>0</v>
      </c>
      <c r="N44" s="317" t="b">
        <v>0</v>
      </c>
      <c r="O44" s="317" t="b">
        <v>0</v>
      </c>
      <c r="P44" s="317" t="b">
        <v>0</v>
      </c>
      <c r="Q44" s="317" t="b">
        <v>0</v>
      </c>
      <c r="R44" s="317" t="b">
        <v>0</v>
      </c>
      <c r="S44" s="317" t="b">
        <v>0</v>
      </c>
      <c r="T44" s="317" t="b">
        <v>0</v>
      </c>
      <c r="U44" s="317" t="b">
        <v>0</v>
      </c>
      <c r="V44" s="136" t="s">
        <v>1324</v>
      </c>
      <c r="W44" s="136" t="s">
        <v>1303</v>
      </c>
      <c r="X44" s="136" t="s">
        <v>1303</v>
      </c>
      <c r="Y44" s="136" t="s">
        <v>1303</v>
      </c>
      <c r="Z44" s="136" t="s">
        <v>1324</v>
      </c>
    </row>
    <row r="45">
      <c r="A45" s="136" t="s">
        <v>127</v>
      </c>
      <c r="B45" s="316">
        <v>40544.0</v>
      </c>
      <c r="C45" s="96"/>
      <c r="D45" s="299">
        <v>105168.0</v>
      </c>
      <c r="E45" s="136" t="s">
        <v>132</v>
      </c>
      <c r="F45" s="317" t="b">
        <v>0</v>
      </c>
      <c r="G45" s="317" t="b">
        <v>0</v>
      </c>
      <c r="H45" s="317" t="b">
        <v>1</v>
      </c>
      <c r="I45" s="317" t="b">
        <v>0</v>
      </c>
      <c r="J45" s="136" t="s">
        <v>38</v>
      </c>
      <c r="K45" s="136" t="s">
        <v>1297</v>
      </c>
      <c r="L45" s="299">
        <v>3546421.0</v>
      </c>
      <c r="M45" s="317" t="b">
        <v>0</v>
      </c>
      <c r="N45" s="317" t="b">
        <v>0</v>
      </c>
      <c r="O45" s="317" t="b">
        <v>1</v>
      </c>
      <c r="P45" s="317" t="b">
        <v>0</v>
      </c>
      <c r="Q45" s="317" t="b">
        <v>0</v>
      </c>
      <c r="R45" s="317" t="b">
        <v>0</v>
      </c>
      <c r="S45" s="317" t="b">
        <v>0</v>
      </c>
      <c r="T45" s="317" t="b">
        <v>0</v>
      </c>
      <c r="U45" s="317" t="b">
        <v>1</v>
      </c>
      <c r="V45" s="136" t="s">
        <v>1303</v>
      </c>
      <c r="W45" s="136" t="s">
        <v>1303</v>
      </c>
      <c r="X45" s="136" t="s">
        <v>1303</v>
      </c>
      <c r="Y45" s="136" t="s">
        <v>1324</v>
      </c>
      <c r="Z45" s="136" t="s">
        <v>1303</v>
      </c>
    </row>
    <row r="46">
      <c r="A46" s="136" t="s">
        <v>139</v>
      </c>
      <c r="B46" s="316">
        <v>44139.0</v>
      </c>
      <c r="C46" s="96"/>
      <c r="D46" s="299">
        <v>18888.0</v>
      </c>
      <c r="E46" s="136" t="s">
        <v>144</v>
      </c>
      <c r="F46" s="317" t="b">
        <v>0</v>
      </c>
      <c r="G46" s="317" t="b">
        <v>0</v>
      </c>
      <c r="H46" s="317" t="b">
        <v>1</v>
      </c>
      <c r="I46" s="317" t="b">
        <v>0</v>
      </c>
      <c r="J46" s="136" t="s">
        <v>145</v>
      </c>
      <c r="K46" s="136" t="s">
        <v>1297</v>
      </c>
      <c r="L46" s="299">
        <v>5443000.0</v>
      </c>
      <c r="M46" s="317" t="b">
        <v>0</v>
      </c>
      <c r="N46" s="317" t="b">
        <v>0</v>
      </c>
      <c r="O46" s="317" t="b">
        <v>0</v>
      </c>
      <c r="P46" s="317" t="b">
        <v>0</v>
      </c>
      <c r="Q46" s="317" t="b">
        <v>0</v>
      </c>
      <c r="R46" s="317" t="b">
        <v>0</v>
      </c>
      <c r="S46" s="317" t="b">
        <v>0</v>
      </c>
      <c r="T46" s="317" t="b">
        <v>0</v>
      </c>
      <c r="U46" s="317" t="b">
        <v>0</v>
      </c>
      <c r="V46" s="136" t="s">
        <v>1303</v>
      </c>
      <c r="W46" s="136" t="s">
        <v>1303</v>
      </c>
      <c r="X46" s="136" t="s">
        <v>1303</v>
      </c>
      <c r="Y46" s="136" t="s">
        <v>1324</v>
      </c>
      <c r="Z46" s="136" t="s">
        <v>1303</v>
      </c>
    </row>
    <row r="47">
      <c r="A47" s="136" t="s">
        <v>246</v>
      </c>
      <c r="B47" s="316">
        <v>44352.0</v>
      </c>
      <c r="C47" s="316">
        <v>44574.0</v>
      </c>
      <c r="D47" s="299">
        <v>13776.0</v>
      </c>
      <c r="E47" s="136" t="s">
        <v>248</v>
      </c>
      <c r="F47" s="317" t="b">
        <v>0</v>
      </c>
      <c r="G47" s="317" t="b">
        <v>0</v>
      </c>
      <c r="H47" s="317" t="b">
        <v>1</v>
      </c>
      <c r="I47" s="317" t="b">
        <v>0</v>
      </c>
      <c r="J47" s="136" t="s">
        <v>38</v>
      </c>
      <c r="K47" s="136" t="s">
        <v>1297</v>
      </c>
      <c r="L47" s="299">
        <v>2.06139589E8</v>
      </c>
      <c r="M47" s="317" t="b">
        <v>0</v>
      </c>
      <c r="N47" s="317" t="b">
        <v>1</v>
      </c>
      <c r="O47" s="317" t="b">
        <v>0</v>
      </c>
      <c r="P47" s="317" t="b">
        <v>0</v>
      </c>
      <c r="Q47" s="317" t="b">
        <v>0</v>
      </c>
      <c r="R47" s="317" t="b">
        <v>0</v>
      </c>
      <c r="S47" s="317" t="b">
        <v>0</v>
      </c>
      <c r="T47" s="317" t="b">
        <v>0</v>
      </c>
      <c r="U47" s="317" t="b">
        <v>1</v>
      </c>
      <c r="V47" s="136" t="s">
        <v>1303</v>
      </c>
      <c r="W47" s="136" t="s">
        <v>1303</v>
      </c>
      <c r="X47" s="136" t="s">
        <v>1324</v>
      </c>
      <c r="Y47" s="136" t="s">
        <v>1303</v>
      </c>
      <c r="Z47" s="136" t="s">
        <v>1303</v>
      </c>
    </row>
    <row r="48">
      <c r="A48" s="136" t="s">
        <v>275</v>
      </c>
      <c r="B48" s="316">
        <v>44784.0</v>
      </c>
      <c r="C48" s="316">
        <v>44784.0</v>
      </c>
      <c r="D48" s="299">
        <v>8.0</v>
      </c>
      <c r="E48" s="136" t="s">
        <v>276</v>
      </c>
      <c r="F48" s="317" t="b">
        <v>1</v>
      </c>
      <c r="G48" s="317" t="b">
        <v>0</v>
      </c>
      <c r="H48" s="317" t="b">
        <v>0</v>
      </c>
      <c r="I48" s="317" t="b">
        <v>0</v>
      </c>
      <c r="J48" s="136" t="s">
        <v>38</v>
      </c>
      <c r="K48" s="136" t="s">
        <v>1297</v>
      </c>
      <c r="L48" s="299">
        <v>7976983.0</v>
      </c>
      <c r="M48" s="317" t="b">
        <v>0</v>
      </c>
      <c r="N48" s="317" t="b">
        <v>0</v>
      </c>
      <c r="O48" s="317" t="b">
        <v>0</v>
      </c>
      <c r="P48" s="317" t="b">
        <v>0</v>
      </c>
      <c r="Q48" s="317" t="b">
        <v>0</v>
      </c>
      <c r="R48" s="317" t="b">
        <v>0</v>
      </c>
      <c r="S48" s="317" t="b">
        <v>0</v>
      </c>
      <c r="T48" s="317" t="b">
        <v>0</v>
      </c>
      <c r="U48" s="317" t="b">
        <v>0</v>
      </c>
      <c r="V48" s="136" t="s">
        <v>1324</v>
      </c>
      <c r="W48" s="136" t="s">
        <v>1303</v>
      </c>
      <c r="X48" s="136" t="s">
        <v>1303</v>
      </c>
      <c r="Y48" s="136" t="s">
        <v>1303</v>
      </c>
      <c r="Z48" s="136" t="s">
        <v>1324</v>
      </c>
    </row>
    <row r="49">
      <c r="A49" s="136" t="s">
        <v>275</v>
      </c>
      <c r="B49" s="316">
        <v>44783.0</v>
      </c>
      <c r="C49" s="316">
        <v>44783.0</v>
      </c>
      <c r="D49" s="299">
        <v>2.0</v>
      </c>
      <c r="E49" s="136" t="s">
        <v>279</v>
      </c>
      <c r="F49" s="317" t="b">
        <v>1</v>
      </c>
      <c r="G49" s="317" t="b">
        <v>0</v>
      </c>
      <c r="H49" s="317" t="b">
        <v>0</v>
      </c>
      <c r="I49" s="317" t="b">
        <v>0</v>
      </c>
      <c r="J49" s="136" t="s">
        <v>38</v>
      </c>
      <c r="K49" s="136" t="s">
        <v>1297</v>
      </c>
      <c r="L49" s="299">
        <v>7976983.0</v>
      </c>
      <c r="M49" s="317" t="b">
        <v>0</v>
      </c>
      <c r="N49" s="317" t="b">
        <v>0</v>
      </c>
      <c r="O49" s="317" t="b">
        <v>0</v>
      </c>
      <c r="P49" s="317" t="b">
        <v>0</v>
      </c>
      <c r="Q49" s="317" t="b">
        <v>0</v>
      </c>
      <c r="R49" s="317" t="b">
        <v>0</v>
      </c>
      <c r="S49" s="317" t="b">
        <v>0</v>
      </c>
      <c r="T49" s="317" t="b">
        <v>0</v>
      </c>
      <c r="U49" s="317" t="b">
        <v>0</v>
      </c>
      <c r="V49" s="136" t="s">
        <v>1324</v>
      </c>
      <c r="W49" s="136" t="s">
        <v>1303</v>
      </c>
      <c r="X49" s="136" t="s">
        <v>1303</v>
      </c>
      <c r="Y49" s="136" t="s">
        <v>1303</v>
      </c>
      <c r="Z49" s="136" t="s">
        <v>1324</v>
      </c>
    </row>
    <row r="50">
      <c r="A50" s="136" t="s">
        <v>281</v>
      </c>
      <c r="B50" s="316">
        <v>44784.0</v>
      </c>
      <c r="C50" s="316">
        <v>44784.0</v>
      </c>
      <c r="D50" s="299">
        <v>4.0</v>
      </c>
      <c r="E50" s="136" t="s">
        <v>285</v>
      </c>
      <c r="F50" s="317" t="b">
        <v>1</v>
      </c>
      <c r="G50" s="317" t="b">
        <v>0</v>
      </c>
      <c r="H50" s="317" t="b">
        <v>0</v>
      </c>
      <c r="I50" s="317" t="b">
        <v>0</v>
      </c>
      <c r="J50" s="136" t="s">
        <v>286</v>
      </c>
      <c r="K50" s="136" t="s">
        <v>1297</v>
      </c>
      <c r="L50" s="299">
        <v>477876.0</v>
      </c>
      <c r="M50" s="317" t="b">
        <v>0</v>
      </c>
      <c r="N50" s="317" t="b">
        <v>0</v>
      </c>
      <c r="O50" s="317" t="b">
        <v>0</v>
      </c>
      <c r="P50" s="317" t="b">
        <v>0</v>
      </c>
      <c r="Q50" s="317" t="b">
        <v>0</v>
      </c>
      <c r="R50" s="317" t="b">
        <v>0</v>
      </c>
      <c r="S50" s="317" t="b">
        <v>0</v>
      </c>
      <c r="T50" s="317" t="b">
        <v>0</v>
      </c>
      <c r="U50" s="317" t="b">
        <v>0</v>
      </c>
      <c r="V50" s="136" t="s">
        <v>1324</v>
      </c>
      <c r="W50" s="136" t="s">
        <v>1303</v>
      </c>
      <c r="X50" s="136" t="s">
        <v>1303</v>
      </c>
      <c r="Y50" s="136" t="s">
        <v>1303</v>
      </c>
      <c r="Z50" s="136" t="s">
        <v>1324</v>
      </c>
    </row>
    <row r="51">
      <c r="A51" s="136" t="s">
        <v>292</v>
      </c>
      <c r="B51" s="316">
        <v>44859.0</v>
      </c>
      <c r="C51" s="316">
        <v>44859.0</v>
      </c>
      <c r="D51" s="299">
        <v>8.0</v>
      </c>
      <c r="E51" s="136" t="s">
        <v>295</v>
      </c>
      <c r="F51" s="317" t="b">
        <v>1</v>
      </c>
      <c r="G51" s="317" t="b">
        <v>0</v>
      </c>
      <c r="H51" s="317" t="b">
        <v>0</v>
      </c>
      <c r="I51" s="317" t="b">
        <v>0</v>
      </c>
      <c r="J51" s="136" t="s">
        <v>38</v>
      </c>
      <c r="K51" s="136" t="s">
        <v>1297</v>
      </c>
      <c r="L51" s="299">
        <v>4.384926E7</v>
      </c>
      <c r="M51" s="317" t="b">
        <v>0</v>
      </c>
      <c r="N51" s="317" t="b">
        <v>0</v>
      </c>
      <c r="O51" s="317" t="b">
        <v>0</v>
      </c>
      <c r="P51" s="317" t="b">
        <v>0</v>
      </c>
      <c r="Q51" s="317" t="b">
        <v>0</v>
      </c>
      <c r="R51" s="317" t="b">
        <v>0</v>
      </c>
      <c r="S51" s="317" t="b">
        <v>0</v>
      </c>
      <c r="T51" s="317" t="b">
        <v>0</v>
      </c>
      <c r="U51" s="317" t="b">
        <v>0</v>
      </c>
      <c r="V51" s="136" t="s">
        <v>1324</v>
      </c>
      <c r="W51" s="136" t="s">
        <v>1303</v>
      </c>
      <c r="X51" s="136" t="s">
        <v>1303</v>
      </c>
      <c r="Y51" s="136" t="s">
        <v>1303</v>
      </c>
      <c r="Z51" s="136" t="s">
        <v>1324</v>
      </c>
    </row>
    <row r="52">
      <c r="A52" s="136" t="s">
        <v>292</v>
      </c>
      <c r="B52" s="316">
        <v>44742.0</v>
      </c>
      <c r="C52" s="316">
        <v>44742.0</v>
      </c>
      <c r="D52" s="299">
        <v>18.0</v>
      </c>
      <c r="E52" s="136" t="s">
        <v>296</v>
      </c>
      <c r="F52" s="317" t="b">
        <v>1</v>
      </c>
      <c r="G52" s="317" t="b">
        <v>0</v>
      </c>
      <c r="H52" s="317" t="b">
        <v>0</v>
      </c>
      <c r="I52" s="317" t="b">
        <v>0</v>
      </c>
      <c r="J52" s="136" t="s">
        <v>38</v>
      </c>
      <c r="K52" s="136" t="s">
        <v>1297</v>
      </c>
      <c r="L52" s="299">
        <v>4.384926E7</v>
      </c>
      <c r="M52" s="317" t="b">
        <v>0</v>
      </c>
      <c r="N52" s="317" t="b">
        <v>0</v>
      </c>
      <c r="O52" s="317" t="b">
        <v>0</v>
      </c>
      <c r="P52" s="317" t="b">
        <v>0</v>
      </c>
      <c r="Q52" s="317" t="b">
        <v>0</v>
      </c>
      <c r="R52" s="317" t="b">
        <v>0</v>
      </c>
      <c r="S52" s="317" t="b">
        <v>0</v>
      </c>
      <c r="T52" s="317" t="b">
        <v>0</v>
      </c>
      <c r="U52" s="317" t="b">
        <v>0</v>
      </c>
      <c r="V52" s="136" t="s">
        <v>1324</v>
      </c>
      <c r="W52" s="136" t="s">
        <v>1303</v>
      </c>
      <c r="X52" s="136" t="s">
        <v>1303</v>
      </c>
      <c r="Y52" s="136" t="s">
        <v>1303</v>
      </c>
      <c r="Z52" s="136" t="s">
        <v>1324</v>
      </c>
    </row>
    <row r="53">
      <c r="A53" s="136" t="s">
        <v>292</v>
      </c>
      <c r="B53" s="316">
        <v>44567.0</v>
      </c>
      <c r="C53" s="316">
        <v>44567.0</v>
      </c>
      <c r="D53" s="299">
        <v>10.0</v>
      </c>
      <c r="E53" s="136" t="s">
        <v>297</v>
      </c>
      <c r="F53" s="317" t="b">
        <v>1</v>
      </c>
      <c r="G53" s="317" t="b">
        <v>0</v>
      </c>
      <c r="H53" s="317" t="b">
        <v>0</v>
      </c>
      <c r="I53" s="317" t="b">
        <v>0</v>
      </c>
      <c r="J53" s="136" t="s">
        <v>38</v>
      </c>
      <c r="K53" s="136" t="s">
        <v>1297</v>
      </c>
      <c r="L53" s="299">
        <v>4.384926E7</v>
      </c>
      <c r="M53" s="317" t="b">
        <v>0</v>
      </c>
      <c r="N53" s="317" t="b">
        <v>0</v>
      </c>
      <c r="O53" s="317" t="b">
        <v>0</v>
      </c>
      <c r="P53" s="317" t="b">
        <v>0</v>
      </c>
      <c r="Q53" s="317" t="b">
        <v>0</v>
      </c>
      <c r="R53" s="317" t="b">
        <v>0</v>
      </c>
      <c r="S53" s="317" t="b">
        <v>0</v>
      </c>
      <c r="T53" s="317" t="b">
        <v>0</v>
      </c>
      <c r="U53" s="317" t="b">
        <v>0</v>
      </c>
      <c r="V53" s="136" t="s">
        <v>1324</v>
      </c>
      <c r="W53" s="136" t="s">
        <v>1303</v>
      </c>
      <c r="X53" s="136" t="s">
        <v>1303</v>
      </c>
      <c r="Y53" s="136" t="s">
        <v>1303</v>
      </c>
      <c r="Z53" s="136" t="s">
        <v>1324</v>
      </c>
    </row>
    <row r="54">
      <c r="A54" s="136" t="s">
        <v>292</v>
      </c>
      <c r="B54" s="316">
        <v>44563.0</v>
      </c>
      <c r="C54" s="316">
        <v>44563.0</v>
      </c>
      <c r="D54" s="299">
        <v>10.0</v>
      </c>
      <c r="E54" s="136" t="s">
        <v>298</v>
      </c>
      <c r="F54" s="317" t="b">
        <v>1</v>
      </c>
      <c r="G54" s="317" t="b">
        <v>0</v>
      </c>
      <c r="H54" s="317" t="b">
        <v>0</v>
      </c>
      <c r="I54" s="317" t="b">
        <v>0</v>
      </c>
      <c r="J54" s="136" t="s">
        <v>38</v>
      </c>
      <c r="K54" s="136" t="s">
        <v>1297</v>
      </c>
      <c r="L54" s="299">
        <v>4.384926E7</v>
      </c>
      <c r="M54" s="317" t="b">
        <v>0</v>
      </c>
      <c r="N54" s="317" t="b">
        <v>0</v>
      </c>
      <c r="O54" s="317" t="b">
        <v>0</v>
      </c>
      <c r="P54" s="317" t="b">
        <v>0</v>
      </c>
      <c r="Q54" s="317" t="b">
        <v>0</v>
      </c>
      <c r="R54" s="317" t="b">
        <v>0</v>
      </c>
      <c r="S54" s="317" t="b">
        <v>0</v>
      </c>
      <c r="T54" s="317" t="b">
        <v>0</v>
      </c>
      <c r="U54" s="317" t="b">
        <v>0</v>
      </c>
      <c r="V54" s="136" t="s">
        <v>1324</v>
      </c>
      <c r="W54" s="136" t="s">
        <v>1303</v>
      </c>
      <c r="X54" s="136" t="s">
        <v>1303</v>
      </c>
      <c r="Y54" s="136" t="s">
        <v>1303</v>
      </c>
      <c r="Z54" s="136" t="s">
        <v>1324</v>
      </c>
    </row>
    <row r="55">
      <c r="A55" s="136" t="s">
        <v>331</v>
      </c>
      <c r="B55" s="316">
        <v>44633.0</v>
      </c>
      <c r="C55" s="316">
        <v>44633.0</v>
      </c>
      <c r="D55" s="299">
        <v>12.0</v>
      </c>
      <c r="E55" s="136" t="s">
        <v>335</v>
      </c>
      <c r="F55" s="317" t="b">
        <v>1</v>
      </c>
      <c r="G55" s="317" t="b">
        <v>0</v>
      </c>
      <c r="H55" s="317" t="b">
        <v>0</v>
      </c>
      <c r="I55" s="317" t="b">
        <v>0</v>
      </c>
      <c r="J55" s="136" t="s">
        <v>38</v>
      </c>
      <c r="K55" s="136" t="s">
        <v>1297</v>
      </c>
      <c r="L55" s="299">
        <v>1.4862924E7</v>
      </c>
      <c r="M55" s="317" t="b">
        <v>0</v>
      </c>
      <c r="N55" s="317" t="b">
        <v>0</v>
      </c>
      <c r="O55" s="317" t="b">
        <v>0</v>
      </c>
      <c r="P55" s="317" t="b">
        <v>0</v>
      </c>
      <c r="Q55" s="317" t="b">
        <v>0</v>
      </c>
      <c r="R55" s="317" t="b">
        <v>0</v>
      </c>
      <c r="S55" s="317" t="b">
        <v>0</v>
      </c>
      <c r="T55" s="317" t="b">
        <v>0</v>
      </c>
      <c r="U55" s="317" t="b">
        <v>0</v>
      </c>
      <c r="V55" s="136" t="s">
        <v>1324</v>
      </c>
      <c r="W55" s="136" t="s">
        <v>1303</v>
      </c>
      <c r="X55" s="136" t="s">
        <v>1303</v>
      </c>
      <c r="Y55" s="136" t="s">
        <v>1303</v>
      </c>
      <c r="Z55" s="136" t="s">
        <v>1324</v>
      </c>
    </row>
    <row r="56">
      <c r="A56" s="136" t="s">
        <v>331</v>
      </c>
      <c r="B56" s="316">
        <v>44612.0</v>
      </c>
      <c r="C56" s="316">
        <v>44614.0</v>
      </c>
      <c r="D56" s="299">
        <v>20.0</v>
      </c>
      <c r="E56" s="136" t="s">
        <v>336</v>
      </c>
      <c r="F56" s="317" t="b">
        <v>1</v>
      </c>
      <c r="G56" s="317" t="b">
        <v>0</v>
      </c>
      <c r="H56" s="317" t="b">
        <v>0</v>
      </c>
      <c r="I56" s="317" t="b">
        <v>0</v>
      </c>
      <c r="J56" s="136" t="s">
        <v>38</v>
      </c>
      <c r="K56" s="136" t="s">
        <v>1297</v>
      </c>
      <c r="L56" s="299">
        <v>1.4862924E7</v>
      </c>
      <c r="M56" s="317" t="b">
        <v>0</v>
      </c>
      <c r="N56" s="317" t="b">
        <v>0</v>
      </c>
      <c r="O56" s="317" t="b">
        <v>0</v>
      </c>
      <c r="P56" s="317" t="b">
        <v>0</v>
      </c>
      <c r="Q56" s="317" t="b">
        <v>0</v>
      </c>
      <c r="R56" s="317" t="b">
        <v>0</v>
      </c>
      <c r="S56" s="317" t="b">
        <v>0</v>
      </c>
      <c r="T56" s="317" t="b">
        <v>0</v>
      </c>
      <c r="U56" s="317" t="b">
        <v>0</v>
      </c>
      <c r="V56" s="136" t="s">
        <v>1324</v>
      </c>
      <c r="W56" s="136" t="s">
        <v>1303</v>
      </c>
      <c r="X56" s="136" t="s">
        <v>1303</v>
      </c>
      <c r="Y56" s="136" t="s">
        <v>1303</v>
      </c>
      <c r="Z56" s="136" t="s">
        <v>1324</v>
      </c>
    </row>
    <row r="57">
      <c r="A57" s="136" t="s">
        <v>331</v>
      </c>
      <c r="B57" s="316">
        <v>44593.0</v>
      </c>
      <c r="C57" s="316">
        <v>44594.0</v>
      </c>
      <c r="D57" s="299">
        <v>5.0</v>
      </c>
      <c r="E57" s="136" t="s">
        <v>337</v>
      </c>
      <c r="F57" s="317" t="b">
        <v>1</v>
      </c>
      <c r="G57" s="317" t="b">
        <v>0</v>
      </c>
      <c r="H57" s="317" t="b">
        <v>0</v>
      </c>
      <c r="I57" s="317" t="b">
        <v>0</v>
      </c>
      <c r="J57" s="136" t="s">
        <v>38</v>
      </c>
      <c r="K57" s="136" t="s">
        <v>1297</v>
      </c>
      <c r="L57" s="299">
        <v>1.4862924E7</v>
      </c>
      <c r="M57" s="317" t="b">
        <v>0</v>
      </c>
      <c r="N57" s="317" t="b">
        <v>0</v>
      </c>
      <c r="O57" s="317" t="b">
        <v>0</v>
      </c>
      <c r="P57" s="317" t="b">
        <v>0</v>
      </c>
      <c r="Q57" s="317" t="b">
        <v>0</v>
      </c>
      <c r="R57" s="317" t="b">
        <v>0</v>
      </c>
      <c r="S57" s="317" t="b">
        <v>0</v>
      </c>
      <c r="T57" s="317" t="b">
        <v>0</v>
      </c>
      <c r="U57" s="317" t="b">
        <v>0</v>
      </c>
      <c r="V57" s="136" t="s">
        <v>1324</v>
      </c>
      <c r="W57" s="136" t="s">
        <v>1303</v>
      </c>
      <c r="X57" s="136" t="s">
        <v>1303</v>
      </c>
      <c r="Y57" s="136" t="s">
        <v>1303</v>
      </c>
      <c r="Z57" s="136" t="s">
        <v>1324</v>
      </c>
    </row>
    <row r="58">
      <c r="A58" s="136" t="s">
        <v>346</v>
      </c>
      <c r="B58" s="316">
        <v>44781.0</v>
      </c>
      <c r="C58" s="316">
        <v>44781.0</v>
      </c>
      <c r="D58" s="299">
        <v>4.0</v>
      </c>
      <c r="E58" s="136" t="s">
        <v>347</v>
      </c>
      <c r="F58" s="317" t="b">
        <v>0</v>
      </c>
      <c r="G58" s="317" t="b">
        <v>0</v>
      </c>
      <c r="H58" s="317" t="b">
        <v>1</v>
      </c>
      <c r="I58" s="317" t="b">
        <v>0</v>
      </c>
      <c r="J58" s="136" t="s">
        <v>38</v>
      </c>
      <c r="K58" s="136" t="s">
        <v>1298</v>
      </c>
      <c r="L58" s="299">
        <v>3.8928346E7</v>
      </c>
      <c r="M58" s="317" t="b">
        <v>0</v>
      </c>
      <c r="N58" s="317" t="b">
        <v>0</v>
      </c>
      <c r="O58" s="317" t="b">
        <v>0</v>
      </c>
      <c r="P58" s="317" t="b">
        <v>0</v>
      </c>
      <c r="Q58" s="317" t="b">
        <v>0</v>
      </c>
      <c r="R58" s="317" t="b">
        <v>0</v>
      </c>
      <c r="S58" s="317" t="b">
        <v>0</v>
      </c>
      <c r="T58" s="317" t="b">
        <v>0</v>
      </c>
      <c r="U58" s="317" t="b">
        <v>0</v>
      </c>
      <c r="V58" s="136" t="s">
        <v>1324</v>
      </c>
      <c r="W58" s="136" t="s">
        <v>1303</v>
      </c>
      <c r="X58" s="136" t="s">
        <v>1303</v>
      </c>
      <c r="Y58" s="136" t="s">
        <v>1303</v>
      </c>
      <c r="Z58" s="136" t="s">
        <v>1324</v>
      </c>
    </row>
    <row r="59">
      <c r="A59" s="136" t="s">
        <v>353</v>
      </c>
      <c r="B59" s="316">
        <v>44818.0</v>
      </c>
      <c r="C59" s="316">
        <v>44826.0</v>
      </c>
      <c r="D59" s="299">
        <v>192.0</v>
      </c>
      <c r="E59" s="136" t="s">
        <v>1350</v>
      </c>
      <c r="F59" s="317" t="b">
        <v>0</v>
      </c>
      <c r="G59" s="317" t="b">
        <v>0</v>
      </c>
      <c r="H59" s="317" t="b">
        <v>1</v>
      </c>
      <c r="I59" s="317" t="b">
        <v>0</v>
      </c>
      <c r="J59" s="136" t="s">
        <v>38</v>
      </c>
      <c r="K59" s="136" t="s">
        <v>1298</v>
      </c>
      <c r="L59" s="299">
        <v>2963243.0</v>
      </c>
      <c r="M59" s="317" t="b">
        <v>0</v>
      </c>
      <c r="N59" s="317" t="b">
        <v>0</v>
      </c>
      <c r="O59" s="317" t="b">
        <v>0</v>
      </c>
      <c r="P59" s="317" t="b">
        <v>0</v>
      </c>
      <c r="Q59" s="317" t="b">
        <v>0</v>
      </c>
      <c r="R59" s="317" t="b">
        <v>0</v>
      </c>
      <c r="S59" s="317" t="b">
        <v>1</v>
      </c>
      <c r="T59" s="317" t="b">
        <v>0</v>
      </c>
      <c r="U59" s="317" t="b">
        <v>1</v>
      </c>
      <c r="V59" s="136" t="s">
        <v>1324</v>
      </c>
      <c r="W59" s="136" t="s">
        <v>1303</v>
      </c>
      <c r="X59" s="136" t="s">
        <v>1303</v>
      </c>
      <c r="Y59" s="136" t="s">
        <v>1303</v>
      </c>
      <c r="Z59" s="136" t="s">
        <v>1324</v>
      </c>
    </row>
    <row r="60">
      <c r="A60" s="136" t="s">
        <v>359</v>
      </c>
      <c r="B60" s="316">
        <v>44818.0</v>
      </c>
      <c r="C60" s="96"/>
      <c r="D60" s="299">
        <v>2592.0</v>
      </c>
      <c r="E60" s="136" t="s">
        <v>1350</v>
      </c>
      <c r="F60" s="317" t="b">
        <v>0</v>
      </c>
      <c r="G60" s="317" t="b">
        <v>0</v>
      </c>
      <c r="H60" s="317" t="b">
        <v>1</v>
      </c>
      <c r="I60" s="317" t="b">
        <v>0</v>
      </c>
      <c r="J60" s="136" t="s">
        <v>38</v>
      </c>
      <c r="K60" s="136" t="s">
        <v>1298</v>
      </c>
      <c r="L60" s="299">
        <v>1.0139177E7</v>
      </c>
      <c r="M60" s="317" t="b">
        <v>0</v>
      </c>
      <c r="N60" s="317" t="b">
        <v>0</v>
      </c>
      <c r="O60" s="317" t="b">
        <v>0</v>
      </c>
      <c r="P60" s="317" t="b">
        <v>0</v>
      </c>
      <c r="Q60" s="317" t="b">
        <v>0</v>
      </c>
      <c r="R60" s="317" t="b">
        <v>0</v>
      </c>
      <c r="S60" s="317" t="b">
        <v>1</v>
      </c>
      <c r="T60" s="317" t="b">
        <v>0</v>
      </c>
      <c r="U60" s="317" t="b">
        <v>1</v>
      </c>
      <c r="V60" s="136" t="s">
        <v>1303</v>
      </c>
      <c r="W60" s="136" t="s">
        <v>1324</v>
      </c>
      <c r="X60" s="136" t="s">
        <v>1303</v>
      </c>
      <c r="Y60" s="136" t="s">
        <v>1303</v>
      </c>
      <c r="Z60" s="136" t="s">
        <v>1324</v>
      </c>
    </row>
    <row r="61">
      <c r="A61" s="136" t="s">
        <v>394</v>
      </c>
      <c r="B61" s="316">
        <v>39995.0</v>
      </c>
      <c r="C61" s="96"/>
      <c r="D61" s="299">
        <v>118344.0</v>
      </c>
      <c r="E61" s="136" t="s">
        <v>1351</v>
      </c>
      <c r="F61" s="317" t="b">
        <v>0</v>
      </c>
      <c r="G61" s="317" t="b">
        <v>0</v>
      </c>
      <c r="H61" s="317" t="b">
        <v>1</v>
      </c>
      <c r="I61" s="317" t="b">
        <v>0</v>
      </c>
      <c r="J61" s="136" t="s">
        <v>38</v>
      </c>
      <c r="K61" s="136" t="s">
        <v>1298</v>
      </c>
      <c r="L61" s="299">
        <v>1.439323776E9</v>
      </c>
      <c r="M61" s="317" t="b">
        <v>1</v>
      </c>
      <c r="N61" s="317" t="b">
        <v>1</v>
      </c>
      <c r="O61" s="317" t="b">
        <v>1</v>
      </c>
      <c r="P61" s="317" t="b">
        <v>0</v>
      </c>
      <c r="Q61" s="317" t="b">
        <v>0</v>
      </c>
      <c r="R61" s="317" t="b">
        <v>0</v>
      </c>
      <c r="S61" s="317" t="b">
        <v>0</v>
      </c>
      <c r="T61" s="317" t="b">
        <v>0</v>
      </c>
      <c r="U61" s="317" t="b">
        <v>1</v>
      </c>
      <c r="V61" s="136" t="s">
        <v>1303</v>
      </c>
      <c r="W61" s="136" t="s">
        <v>1303</v>
      </c>
      <c r="X61" s="136" t="s">
        <v>1303</v>
      </c>
      <c r="Y61" s="136" t="s">
        <v>1324</v>
      </c>
      <c r="Z61" s="136" t="s">
        <v>1303</v>
      </c>
    </row>
    <row r="62">
      <c r="A62" s="136" t="s">
        <v>394</v>
      </c>
      <c r="B62" s="316">
        <v>42642.0</v>
      </c>
      <c r="C62" s="96"/>
      <c r="D62" s="299">
        <v>54816.0</v>
      </c>
      <c r="E62" s="136" t="s">
        <v>397</v>
      </c>
      <c r="F62" s="317" t="b">
        <v>1</v>
      </c>
      <c r="G62" s="317" t="b">
        <v>0</v>
      </c>
      <c r="H62" s="317" t="b">
        <v>0</v>
      </c>
      <c r="I62" s="317" t="b">
        <v>0</v>
      </c>
      <c r="J62" s="136" t="s">
        <v>38</v>
      </c>
      <c r="K62" s="136" t="s">
        <v>1298</v>
      </c>
      <c r="L62" s="299">
        <v>1.439323776E9</v>
      </c>
      <c r="M62" s="317" t="b">
        <v>0</v>
      </c>
      <c r="N62" s="317" t="b">
        <v>0</v>
      </c>
      <c r="O62" s="317" t="b">
        <v>0</v>
      </c>
      <c r="P62" s="317" t="b">
        <v>1</v>
      </c>
      <c r="Q62" s="317" t="b">
        <v>0</v>
      </c>
      <c r="R62" s="317" t="b">
        <v>0</v>
      </c>
      <c r="S62" s="317" t="b">
        <v>0</v>
      </c>
      <c r="T62" s="317" t="b">
        <v>0</v>
      </c>
      <c r="U62" s="317" t="b">
        <v>1</v>
      </c>
      <c r="V62" s="136" t="s">
        <v>1303</v>
      </c>
      <c r="W62" s="136" t="s">
        <v>1303</v>
      </c>
      <c r="X62" s="136" t="s">
        <v>1303</v>
      </c>
      <c r="Y62" s="136" t="s">
        <v>1324</v>
      </c>
      <c r="Z62" s="136" t="s">
        <v>1303</v>
      </c>
    </row>
    <row r="63">
      <c r="A63" s="136" t="s">
        <v>394</v>
      </c>
      <c r="B63" s="316">
        <v>42564.0</v>
      </c>
      <c r="C63" s="96"/>
      <c r="D63" s="299">
        <v>56688.0</v>
      </c>
      <c r="E63" s="136" t="s">
        <v>398</v>
      </c>
      <c r="F63" s="317" t="b">
        <v>0</v>
      </c>
      <c r="G63" s="317" t="b">
        <v>0</v>
      </c>
      <c r="H63" s="317" t="b">
        <v>1</v>
      </c>
      <c r="I63" s="317" t="b">
        <v>0</v>
      </c>
      <c r="J63" s="136" t="s">
        <v>38</v>
      </c>
      <c r="K63" s="136" t="s">
        <v>1298</v>
      </c>
      <c r="L63" s="299">
        <v>1.439323776E9</v>
      </c>
      <c r="M63" s="317" t="b">
        <v>0</v>
      </c>
      <c r="N63" s="317" t="b">
        <v>0</v>
      </c>
      <c r="O63" s="317" t="b">
        <v>0</v>
      </c>
      <c r="P63" s="317" t="b">
        <v>0</v>
      </c>
      <c r="Q63" s="317" t="b">
        <v>1</v>
      </c>
      <c r="R63" s="317" t="b">
        <v>0</v>
      </c>
      <c r="S63" s="317" t="b">
        <v>0</v>
      </c>
      <c r="T63" s="317" t="b">
        <v>0</v>
      </c>
      <c r="U63" s="317" t="b">
        <v>1</v>
      </c>
      <c r="V63" s="136" t="s">
        <v>1303</v>
      </c>
      <c r="W63" s="136" t="s">
        <v>1303</v>
      </c>
      <c r="X63" s="136" t="s">
        <v>1303</v>
      </c>
      <c r="Y63" s="136" t="s">
        <v>1324</v>
      </c>
      <c r="Z63" s="136" t="s">
        <v>1303</v>
      </c>
    </row>
    <row r="64">
      <c r="A64" s="136" t="s">
        <v>394</v>
      </c>
      <c r="B64" s="316">
        <v>42979.0</v>
      </c>
      <c r="C64" s="96"/>
      <c r="D64" s="299">
        <v>46728.0</v>
      </c>
      <c r="E64" s="136" t="s">
        <v>400</v>
      </c>
      <c r="F64" s="317" t="b">
        <v>0</v>
      </c>
      <c r="G64" s="317" t="b">
        <v>0</v>
      </c>
      <c r="H64" s="317" t="b">
        <v>1</v>
      </c>
      <c r="I64" s="317" t="b">
        <v>0</v>
      </c>
      <c r="J64" s="136" t="s">
        <v>38</v>
      </c>
      <c r="K64" s="136" t="s">
        <v>1298</v>
      </c>
      <c r="L64" s="299">
        <v>1.439323776E9</v>
      </c>
      <c r="M64" s="317" t="b">
        <v>0</v>
      </c>
      <c r="N64" s="317" t="b">
        <v>0</v>
      </c>
      <c r="O64" s="317" t="b">
        <v>0</v>
      </c>
      <c r="P64" s="317" t="b">
        <v>0</v>
      </c>
      <c r="Q64" s="317" t="b">
        <v>0</v>
      </c>
      <c r="R64" s="317" t="b">
        <v>1</v>
      </c>
      <c r="S64" s="317" t="b">
        <v>0</v>
      </c>
      <c r="T64" s="317" t="b">
        <v>0</v>
      </c>
      <c r="U64" s="317" t="b">
        <v>1</v>
      </c>
      <c r="V64" s="136" t="s">
        <v>1303</v>
      </c>
      <c r="W64" s="136" t="s">
        <v>1303</v>
      </c>
      <c r="X64" s="136" t="s">
        <v>1303</v>
      </c>
      <c r="Y64" s="136" t="s">
        <v>1324</v>
      </c>
      <c r="Z64" s="136" t="s">
        <v>1303</v>
      </c>
    </row>
    <row r="65">
      <c r="A65" s="136" t="s">
        <v>403</v>
      </c>
      <c r="B65" s="316">
        <v>43084.0</v>
      </c>
      <c r="C65" s="96"/>
      <c r="D65" s="299">
        <v>44208.0</v>
      </c>
      <c r="E65" s="136" t="s">
        <v>404</v>
      </c>
      <c r="F65" s="317" t="b">
        <v>0</v>
      </c>
      <c r="G65" s="317" t="b">
        <v>0</v>
      </c>
      <c r="H65" s="317" t="b">
        <v>1</v>
      </c>
      <c r="I65" s="317" t="b">
        <v>0</v>
      </c>
      <c r="J65" s="136" t="s">
        <v>38</v>
      </c>
      <c r="K65" s="136" t="s">
        <v>1298</v>
      </c>
      <c r="L65" s="299">
        <v>2.5778816E7</v>
      </c>
      <c r="M65" s="317" t="b">
        <v>0</v>
      </c>
      <c r="N65" s="317" t="b">
        <v>0</v>
      </c>
      <c r="O65" s="317" t="b">
        <v>0</v>
      </c>
      <c r="P65" s="317" t="b">
        <v>0</v>
      </c>
      <c r="Q65" s="317" t="b">
        <v>0</v>
      </c>
      <c r="R65" s="317" t="b">
        <v>1</v>
      </c>
      <c r="S65" s="317" t="b">
        <v>0</v>
      </c>
      <c r="T65" s="317" t="b">
        <v>0</v>
      </c>
      <c r="U65" s="317" t="b">
        <v>1</v>
      </c>
      <c r="V65" s="136" t="s">
        <v>1303</v>
      </c>
      <c r="W65" s="136" t="s">
        <v>1303</v>
      </c>
      <c r="X65" s="136" t="s">
        <v>1303</v>
      </c>
      <c r="Y65" s="136" t="s">
        <v>1324</v>
      </c>
      <c r="Z65" s="136" t="s">
        <v>1303</v>
      </c>
    </row>
    <row r="66">
      <c r="A66" s="136" t="s">
        <v>403</v>
      </c>
      <c r="B66" s="316">
        <v>42981.0</v>
      </c>
      <c r="C66" s="96"/>
      <c r="D66" s="299">
        <v>46680.0</v>
      </c>
      <c r="E66" s="136" t="s">
        <v>406</v>
      </c>
      <c r="F66" s="317" t="b">
        <v>0</v>
      </c>
      <c r="G66" s="317" t="b">
        <v>0</v>
      </c>
      <c r="H66" s="317" t="b">
        <v>1</v>
      </c>
      <c r="I66" s="317" t="b">
        <v>0</v>
      </c>
      <c r="J66" s="136" t="s">
        <v>38</v>
      </c>
      <c r="K66" s="136" t="s">
        <v>1298</v>
      </c>
      <c r="L66" s="299">
        <v>2.5778816E7</v>
      </c>
      <c r="M66" s="317" t="b">
        <v>1</v>
      </c>
      <c r="N66" s="317" t="b">
        <v>1</v>
      </c>
      <c r="O66" s="317" t="b">
        <v>1</v>
      </c>
      <c r="P66" s="317" t="b">
        <v>0</v>
      </c>
      <c r="Q66" s="317" t="b">
        <v>0</v>
      </c>
      <c r="R66" s="317" t="b">
        <v>0</v>
      </c>
      <c r="S66" s="317" t="b">
        <v>0</v>
      </c>
      <c r="T66" s="317" t="b">
        <v>0</v>
      </c>
      <c r="U66" s="317" t="b">
        <v>1</v>
      </c>
      <c r="V66" s="136" t="s">
        <v>1303</v>
      </c>
      <c r="W66" s="136" t="s">
        <v>1303</v>
      </c>
      <c r="X66" s="136" t="s">
        <v>1303</v>
      </c>
      <c r="Y66" s="136" t="s">
        <v>1324</v>
      </c>
      <c r="Z66" s="136" t="s">
        <v>1303</v>
      </c>
    </row>
    <row r="67">
      <c r="A67" s="136" t="s">
        <v>403</v>
      </c>
      <c r="B67" s="316">
        <v>42177.0</v>
      </c>
      <c r="C67" s="96"/>
      <c r="D67" s="299">
        <v>65976.0</v>
      </c>
      <c r="E67" s="136" t="s">
        <v>408</v>
      </c>
      <c r="F67" s="317" t="b">
        <v>0</v>
      </c>
      <c r="G67" s="317" t="b">
        <v>0</v>
      </c>
      <c r="H67" s="317" t="b">
        <v>1</v>
      </c>
      <c r="I67" s="317" t="b">
        <v>0</v>
      </c>
      <c r="J67" s="136" t="s">
        <v>38</v>
      </c>
      <c r="K67" s="136" t="s">
        <v>1298</v>
      </c>
      <c r="L67" s="299">
        <v>2.5778816E7</v>
      </c>
      <c r="M67" s="317" t="b">
        <v>0</v>
      </c>
      <c r="N67" s="317" t="b">
        <v>0</v>
      </c>
      <c r="O67" s="317" t="b">
        <v>0</v>
      </c>
      <c r="P67" s="317" t="b">
        <v>1</v>
      </c>
      <c r="Q67" s="317" t="b">
        <v>0</v>
      </c>
      <c r="R67" s="317" t="b">
        <v>0</v>
      </c>
      <c r="S67" s="317" t="b">
        <v>0</v>
      </c>
      <c r="T67" s="317" t="b">
        <v>0</v>
      </c>
      <c r="U67" s="317" t="b">
        <v>1</v>
      </c>
      <c r="V67" s="136" t="s">
        <v>1303</v>
      </c>
      <c r="W67" s="136" t="s">
        <v>1303</v>
      </c>
      <c r="X67" s="136" t="s">
        <v>1303</v>
      </c>
      <c r="Y67" s="136" t="s">
        <v>1324</v>
      </c>
      <c r="Z67" s="136" t="s">
        <v>1303</v>
      </c>
    </row>
    <row r="68">
      <c r="A68" s="136" t="s">
        <v>417</v>
      </c>
      <c r="B68" s="316">
        <v>44729.0</v>
      </c>
      <c r="C68" s="316">
        <v>44733.0</v>
      </c>
      <c r="D68" s="299">
        <v>84.0</v>
      </c>
      <c r="E68" s="136" t="s">
        <v>1352</v>
      </c>
      <c r="F68" s="317" t="b">
        <v>1</v>
      </c>
      <c r="G68" s="317" t="b">
        <v>0</v>
      </c>
      <c r="H68" s="317" t="b">
        <v>0</v>
      </c>
      <c r="I68" s="317" t="b">
        <v>0</v>
      </c>
      <c r="J68" s="136" t="s">
        <v>483</v>
      </c>
      <c r="K68" s="136" t="s">
        <v>1298</v>
      </c>
      <c r="L68" s="299">
        <v>1.283E8</v>
      </c>
      <c r="M68" s="317" t="b">
        <v>0</v>
      </c>
      <c r="N68" s="317" t="b">
        <v>0</v>
      </c>
      <c r="O68" s="317" t="b">
        <v>0</v>
      </c>
      <c r="P68" s="317" t="b">
        <v>0</v>
      </c>
      <c r="Q68" s="317" t="b">
        <v>0</v>
      </c>
      <c r="R68" s="317" t="b">
        <v>0</v>
      </c>
      <c r="S68" s="317" t="b">
        <v>0</v>
      </c>
      <c r="T68" s="317" t="b">
        <v>0</v>
      </c>
      <c r="U68" s="317" t="b">
        <v>0</v>
      </c>
      <c r="V68" s="136" t="s">
        <v>1324</v>
      </c>
      <c r="W68" s="136" t="s">
        <v>1303</v>
      </c>
      <c r="X68" s="136" t="s">
        <v>1303</v>
      </c>
      <c r="Y68" s="136" t="s">
        <v>1303</v>
      </c>
      <c r="Z68" s="136" t="s">
        <v>1324</v>
      </c>
    </row>
    <row r="69">
      <c r="A69" s="136" t="s">
        <v>417</v>
      </c>
      <c r="B69" s="316">
        <v>43984.0</v>
      </c>
      <c r="C69" s="96"/>
      <c r="D69" s="299">
        <v>22608.0</v>
      </c>
      <c r="E69" s="136" t="s">
        <v>484</v>
      </c>
      <c r="F69" s="317" t="b">
        <v>0</v>
      </c>
      <c r="G69" s="317" t="b">
        <v>0</v>
      </c>
      <c r="H69" s="317" t="b">
        <v>0</v>
      </c>
      <c r="I69" s="317" t="b">
        <v>1</v>
      </c>
      <c r="J69" s="136" t="s">
        <v>38</v>
      </c>
      <c r="K69" s="136" t="s">
        <v>1298</v>
      </c>
      <c r="L69" s="299">
        <v>1.380004385E9</v>
      </c>
      <c r="M69" s="317" t="b">
        <v>0</v>
      </c>
      <c r="N69" s="317" t="b">
        <v>0</v>
      </c>
      <c r="O69" s="317" t="b">
        <v>0</v>
      </c>
      <c r="P69" s="317" t="b">
        <v>0</v>
      </c>
      <c r="Q69" s="317" t="b">
        <v>0</v>
      </c>
      <c r="R69" s="317" t="b">
        <v>0</v>
      </c>
      <c r="S69" s="317" t="b">
        <v>1</v>
      </c>
      <c r="T69" s="317" t="b">
        <v>1</v>
      </c>
      <c r="U69" s="317" t="b">
        <v>1</v>
      </c>
      <c r="V69" s="136" t="s">
        <v>1303</v>
      </c>
      <c r="W69" s="136" t="s">
        <v>1303</v>
      </c>
      <c r="X69" s="136" t="s">
        <v>1303</v>
      </c>
      <c r="Y69" s="136" t="s">
        <v>1324</v>
      </c>
      <c r="Z69" s="136" t="s">
        <v>1303</v>
      </c>
    </row>
    <row r="70">
      <c r="A70" s="136" t="s">
        <v>523</v>
      </c>
      <c r="B70" s="316">
        <v>44912.0</v>
      </c>
      <c r="C70" s="96"/>
      <c r="D70" s="299">
        <v>336.0</v>
      </c>
      <c r="E70" s="136" t="s">
        <v>1353</v>
      </c>
      <c r="F70" s="317" t="b">
        <v>1</v>
      </c>
      <c r="G70" s="317" t="b">
        <v>0</v>
      </c>
      <c r="H70" s="317" t="b">
        <v>0</v>
      </c>
      <c r="I70" s="317" t="b">
        <v>0</v>
      </c>
      <c r="J70" s="136" t="s">
        <v>550</v>
      </c>
      <c r="K70" s="136" t="s">
        <v>1298</v>
      </c>
      <c r="L70" s="299">
        <v>349176.0</v>
      </c>
      <c r="M70" s="317" t="b">
        <v>0</v>
      </c>
      <c r="N70" s="317" t="b">
        <v>0</v>
      </c>
      <c r="O70" s="317" t="b">
        <v>0</v>
      </c>
      <c r="P70" s="317" t="b">
        <v>0</v>
      </c>
      <c r="Q70" s="317" t="b">
        <v>0</v>
      </c>
      <c r="R70" s="317" t="b">
        <v>0</v>
      </c>
      <c r="S70" s="317" t="b">
        <v>0</v>
      </c>
      <c r="T70" s="317" t="b">
        <v>0</v>
      </c>
      <c r="U70" s="317" t="b">
        <v>0</v>
      </c>
      <c r="V70" s="136" t="s">
        <v>1303</v>
      </c>
      <c r="W70" s="136" t="s">
        <v>1324</v>
      </c>
      <c r="X70" s="136" t="s">
        <v>1303</v>
      </c>
      <c r="Y70" s="136" t="s">
        <v>1303</v>
      </c>
      <c r="Z70" s="136" t="s">
        <v>1324</v>
      </c>
    </row>
    <row r="71">
      <c r="A71" s="136" t="s">
        <v>523</v>
      </c>
      <c r="B71" s="316">
        <v>44907.0</v>
      </c>
      <c r="C71" s="316">
        <v>44907.0</v>
      </c>
      <c r="D71" s="299">
        <v>1.0</v>
      </c>
      <c r="E71" s="136" t="s">
        <v>551</v>
      </c>
      <c r="F71" s="317" t="b">
        <v>0</v>
      </c>
      <c r="G71" s="317" t="b">
        <v>0</v>
      </c>
      <c r="H71" s="317" t="b">
        <v>1</v>
      </c>
      <c r="I71" s="317" t="b">
        <v>0</v>
      </c>
      <c r="J71" s="136" t="s">
        <v>38</v>
      </c>
      <c r="K71" s="136" t="s">
        <v>1298</v>
      </c>
      <c r="L71" s="299">
        <v>8.3992949E7</v>
      </c>
      <c r="M71" s="317" t="b">
        <v>0</v>
      </c>
      <c r="N71" s="317" t="b">
        <v>0</v>
      </c>
      <c r="O71" s="317" t="b">
        <v>0</v>
      </c>
      <c r="P71" s="317" t="b">
        <v>0</v>
      </c>
      <c r="Q71" s="317" t="b">
        <v>0</v>
      </c>
      <c r="R71" s="317" t="b">
        <v>0</v>
      </c>
      <c r="S71" s="317" t="b">
        <v>0</v>
      </c>
      <c r="T71" s="317" t="b">
        <v>0</v>
      </c>
      <c r="U71" s="317" t="b">
        <v>0</v>
      </c>
      <c r="V71" s="136" t="s">
        <v>1324</v>
      </c>
      <c r="W71" s="136" t="s">
        <v>1303</v>
      </c>
      <c r="X71" s="136" t="s">
        <v>1303</v>
      </c>
      <c r="Y71" s="136" t="s">
        <v>1303</v>
      </c>
      <c r="Z71" s="136" t="s">
        <v>1324</v>
      </c>
    </row>
    <row r="72">
      <c r="A72" s="136" t="s">
        <v>523</v>
      </c>
      <c r="B72" s="316">
        <v>44903.0</v>
      </c>
      <c r="C72" s="316">
        <v>44903.0</v>
      </c>
      <c r="D72" s="299">
        <v>7.0</v>
      </c>
      <c r="E72" s="136" t="s">
        <v>552</v>
      </c>
      <c r="F72" s="317" t="b">
        <v>1</v>
      </c>
      <c r="G72" s="317" t="b">
        <v>0</v>
      </c>
      <c r="H72" s="317" t="b">
        <v>0</v>
      </c>
      <c r="I72" s="317" t="b">
        <v>0</v>
      </c>
      <c r="J72" s="136" t="s">
        <v>550</v>
      </c>
      <c r="K72" s="136" t="s">
        <v>1298</v>
      </c>
      <c r="L72" s="299">
        <v>349176.0</v>
      </c>
      <c r="M72" s="317" t="b">
        <v>0</v>
      </c>
      <c r="N72" s="317" t="b">
        <v>0</v>
      </c>
      <c r="O72" s="317" t="b">
        <v>0</v>
      </c>
      <c r="P72" s="317" t="b">
        <v>0</v>
      </c>
      <c r="Q72" s="317" t="b">
        <v>0</v>
      </c>
      <c r="R72" s="317" t="b">
        <v>0</v>
      </c>
      <c r="S72" s="317" t="b">
        <v>0</v>
      </c>
      <c r="T72" s="317" t="b">
        <v>0</v>
      </c>
      <c r="U72" s="317" t="b">
        <v>0</v>
      </c>
      <c r="V72" s="136" t="s">
        <v>1324</v>
      </c>
      <c r="W72" s="136" t="s">
        <v>1303</v>
      </c>
      <c r="X72" s="136" t="s">
        <v>1303</v>
      </c>
      <c r="Y72" s="136" t="s">
        <v>1303</v>
      </c>
      <c r="Z72" s="136" t="s">
        <v>1324</v>
      </c>
    </row>
    <row r="73">
      <c r="A73" s="136" t="s">
        <v>523</v>
      </c>
      <c r="B73" s="316">
        <v>44886.0</v>
      </c>
      <c r="C73" s="316">
        <v>44886.0</v>
      </c>
      <c r="D73" s="299">
        <v>4.0</v>
      </c>
      <c r="E73" s="136" t="s">
        <v>553</v>
      </c>
      <c r="F73" s="317" t="b">
        <v>1</v>
      </c>
      <c r="G73" s="317" t="b">
        <v>0</v>
      </c>
      <c r="H73" s="317" t="b">
        <v>0</v>
      </c>
      <c r="I73" s="317" t="b">
        <v>0</v>
      </c>
      <c r="J73" s="136" t="s">
        <v>38</v>
      </c>
      <c r="K73" s="136" t="s">
        <v>1298</v>
      </c>
      <c r="L73" s="299">
        <v>8.3992949E7</v>
      </c>
      <c r="M73" s="317" t="b">
        <v>0</v>
      </c>
      <c r="N73" s="317" t="b">
        <v>0</v>
      </c>
      <c r="O73" s="317" t="b">
        <v>0</v>
      </c>
      <c r="P73" s="317" t="b">
        <v>0</v>
      </c>
      <c r="Q73" s="317" t="b">
        <v>0</v>
      </c>
      <c r="R73" s="317" t="b">
        <v>0</v>
      </c>
      <c r="S73" s="317" t="b">
        <v>0</v>
      </c>
      <c r="T73" s="317" t="b">
        <v>0</v>
      </c>
      <c r="U73" s="317" t="b">
        <v>0</v>
      </c>
      <c r="V73" s="136" t="s">
        <v>1324</v>
      </c>
      <c r="W73" s="136" t="s">
        <v>1303</v>
      </c>
      <c r="X73" s="136" t="s">
        <v>1303</v>
      </c>
      <c r="Y73" s="136" t="s">
        <v>1303</v>
      </c>
      <c r="Z73" s="136" t="s">
        <v>1324</v>
      </c>
    </row>
    <row r="74">
      <c r="A74" s="136" t="s">
        <v>523</v>
      </c>
      <c r="B74" s="316">
        <v>44829.0</v>
      </c>
      <c r="C74" s="316">
        <v>44862.0</v>
      </c>
      <c r="D74" s="299">
        <v>330.0</v>
      </c>
      <c r="E74" s="136" t="s">
        <v>554</v>
      </c>
      <c r="F74" s="317" t="b">
        <v>1</v>
      </c>
      <c r="G74" s="317" t="b">
        <v>0</v>
      </c>
      <c r="H74" s="317" t="b">
        <v>0</v>
      </c>
      <c r="I74" s="317" t="b">
        <v>0</v>
      </c>
      <c r="J74" s="136" t="s">
        <v>38</v>
      </c>
      <c r="K74" s="136" t="s">
        <v>1298</v>
      </c>
      <c r="L74" s="299">
        <v>8.3992949E7</v>
      </c>
      <c r="M74" s="317" t="b">
        <v>0</v>
      </c>
      <c r="N74" s="317" t="b">
        <v>0</v>
      </c>
      <c r="O74" s="317" t="b">
        <v>0</v>
      </c>
      <c r="P74" s="317" t="b">
        <v>0</v>
      </c>
      <c r="Q74" s="317" t="b">
        <v>0</v>
      </c>
      <c r="R74" s="317" t="b">
        <v>0</v>
      </c>
      <c r="S74" s="317" t="b">
        <v>0</v>
      </c>
      <c r="T74" s="317" t="b">
        <v>0</v>
      </c>
      <c r="U74" s="317" t="b">
        <v>0</v>
      </c>
      <c r="V74" s="136" t="s">
        <v>1324</v>
      </c>
      <c r="W74" s="136" t="s">
        <v>1303</v>
      </c>
      <c r="X74" s="136" t="s">
        <v>1303</v>
      </c>
      <c r="Y74" s="136" t="s">
        <v>1303</v>
      </c>
      <c r="Z74" s="136" t="s">
        <v>1324</v>
      </c>
    </row>
    <row r="75">
      <c r="A75" s="136" t="s">
        <v>523</v>
      </c>
      <c r="B75" s="316">
        <v>44825.0</v>
      </c>
      <c r="C75" s="316">
        <v>44827.0</v>
      </c>
      <c r="D75" s="299">
        <v>24.0</v>
      </c>
      <c r="E75" s="136" t="s">
        <v>555</v>
      </c>
      <c r="F75" s="317" t="b">
        <v>1</v>
      </c>
      <c r="G75" s="317" t="b">
        <v>0</v>
      </c>
      <c r="H75" s="317" t="b">
        <v>0</v>
      </c>
      <c r="I75" s="317" t="b">
        <v>0</v>
      </c>
      <c r="J75" s="136" t="s">
        <v>38</v>
      </c>
      <c r="K75" s="136" t="s">
        <v>1298</v>
      </c>
      <c r="L75" s="299">
        <v>8.3992949E7</v>
      </c>
      <c r="M75" s="317" t="b">
        <v>0</v>
      </c>
      <c r="N75" s="317" t="b">
        <v>0</v>
      </c>
      <c r="O75" s="317" t="b">
        <v>0</v>
      </c>
      <c r="P75" s="317" t="b">
        <v>0</v>
      </c>
      <c r="Q75" s="317" t="b">
        <v>0</v>
      </c>
      <c r="R75" s="317" t="b">
        <v>0</v>
      </c>
      <c r="S75" s="317" t="b">
        <v>0</v>
      </c>
      <c r="T75" s="317" t="b">
        <v>0</v>
      </c>
      <c r="U75" s="317" t="b">
        <v>0</v>
      </c>
      <c r="V75" s="136" t="s">
        <v>1324</v>
      </c>
      <c r="W75" s="136" t="s">
        <v>1303</v>
      </c>
      <c r="X75" s="136" t="s">
        <v>1303</v>
      </c>
      <c r="Y75" s="136" t="s">
        <v>1303</v>
      </c>
      <c r="Z75" s="136" t="s">
        <v>1324</v>
      </c>
    </row>
    <row r="76">
      <c r="A76" s="136" t="s">
        <v>523</v>
      </c>
      <c r="B76" s="316">
        <v>44823.0</v>
      </c>
      <c r="C76" s="316">
        <v>44823.0</v>
      </c>
      <c r="D76" s="299">
        <v>4.0</v>
      </c>
      <c r="E76" s="136" t="s">
        <v>556</v>
      </c>
      <c r="F76" s="317" t="b">
        <v>1</v>
      </c>
      <c r="G76" s="317" t="b">
        <v>0</v>
      </c>
      <c r="H76" s="317" t="b">
        <v>0</v>
      </c>
      <c r="I76" s="317" t="b">
        <v>0</v>
      </c>
      <c r="J76" s="136" t="s">
        <v>550</v>
      </c>
      <c r="K76" s="136" t="s">
        <v>1298</v>
      </c>
      <c r="L76" s="299">
        <v>349176.0</v>
      </c>
      <c r="M76" s="317" t="b">
        <v>0</v>
      </c>
      <c r="N76" s="317" t="b">
        <v>0</v>
      </c>
      <c r="O76" s="317" t="b">
        <v>0</v>
      </c>
      <c r="P76" s="317" t="b">
        <v>0</v>
      </c>
      <c r="Q76" s="317" t="b">
        <v>0</v>
      </c>
      <c r="R76" s="317" t="b">
        <v>0</v>
      </c>
      <c r="S76" s="317" t="b">
        <v>0</v>
      </c>
      <c r="T76" s="317" t="b">
        <v>0</v>
      </c>
      <c r="U76" s="317" t="b">
        <v>0</v>
      </c>
      <c r="V76" s="136" t="s">
        <v>1324</v>
      </c>
      <c r="W76" s="136" t="s">
        <v>1303</v>
      </c>
      <c r="X76" s="136" t="s">
        <v>1303</v>
      </c>
      <c r="Y76" s="136" t="s">
        <v>1303</v>
      </c>
      <c r="Z76" s="136" t="s">
        <v>1324</v>
      </c>
    </row>
    <row r="77">
      <c r="A77" s="136" t="s">
        <v>523</v>
      </c>
      <c r="B77" s="316">
        <v>44820.0</v>
      </c>
      <c r="C77" s="316">
        <v>44820.0</v>
      </c>
      <c r="D77" s="299">
        <v>48.0</v>
      </c>
      <c r="E77" s="136" t="s">
        <v>557</v>
      </c>
      <c r="F77" s="317" t="b">
        <v>1</v>
      </c>
      <c r="G77" s="317" t="b">
        <v>0</v>
      </c>
      <c r="H77" s="317" t="b">
        <v>0</v>
      </c>
      <c r="I77" s="317" t="b">
        <v>0</v>
      </c>
      <c r="J77" s="136" t="s">
        <v>558</v>
      </c>
      <c r="K77" s="136" t="s">
        <v>1298</v>
      </c>
      <c r="L77" s="299">
        <v>7153309.0</v>
      </c>
      <c r="M77" s="317" t="b">
        <v>0</v>
      </c>
      <c r="N77" s="317" t="b">
        <v>0</v>
      </c>
      <c r="O77" s="317" t="b">
        <v>0</v>
      </c>
      <c r="P77" s="317" t="b">
        <v>0</v>
      </c>
      <c r="Q77" s="317" t="b">
        <v>0</v>
      </c>
      <c r="R77" s="317" t="b">
        <v>0</v>
      </c>
      <c r="S77" s="317" t="b">
        <v>0</v>
      </c>
      <c r="T77" s="317" t="b">
        <v>0</v>
      </c>
      <c r="U77" s="317" t="b">
        <v>0</v>
      </c>
      <c r="V77" s="136" t="s">
        <v>1324</v>
      </c>
      <c r="W77" s="136" t="s">
        <v>1303</v>
      </c>
      <c r="X77" s="136" t="s">
        <v>1303</v>
      </c>
      <c r="Y77" s="136" t="s">
        <v>1303</v>
      </c>
      <c r="Z77" s="136" t="s">
        <v>1324</v>
      </c>
    </row>
    <row r="78">
      <c r="A78" s="136" t="s">
        <v>523</v>
      </c>
      <c r="B78" s="316">
        <v>44692.0</v>
      </c>
      <c r="C78" s="316">
        <v>44692.0</v>
      </c>
      <c r="D78" s="299">
        <v>3.0</v>
      </c>
      <c r="E78" s="136" t="s">
        <v>559</v>
      </c>
      <c r="F78" s="317" t="b">
        <v>1</v>
      </c>
      <c r="G78" s="317" t="b">
        <v>0</v>
      </c>
      <c r="H78" s="317" t="b">
        <v>0</v>
      </c>
      <c r="I78" s="317" t="b">
        <v>0</v>
      </c>
      <c r="J78" s="136" t="s">
        <v>38</v>
      </c>
      <c r="K78" s="136" t="s">
        <v>1298</v>
      </c>
      <c r="L78" s="299">
        <v>8.3992949E7</v>
      </c>
      <c r="M78" s="317" t="b">
        <v>0</v>
      </c>
      <c r="N78" s="317" t="b">
        <v>0</v>
      </c>
      <c r="O78" s="317" t="b">
        <v>0</v>
      </c>
      <c r="P78" s="317" t="b">
        <v>0</v>
      </c>
      <c r="Q78" s="317" t="b">
        <v>0</v>
      </c>
      <c r="R78" s="317" t="b">
        <v>0</v>
      </c>
      <c r="S78" s="317" t="b">
        <v>0</v>
      </c>
      <c r="T78" s="317" t="b">
        <v>0</v>
      </c>
      <c r="U78" s="317" t="b">
        <v>0</v>
      </c>
      <c r="V78" s="136" t="s">
        <v>1324</v>
      </c>
      <c r="W78" s="136" t="s">
        <v>1303</v>
      </c>
      <c r="X78" s="136" t="s">
        <v>1303</v>
      </c>
      <c r="Y78" s="136" t="s">
        <v>1303</v>
      </c>
      <c r="Z78" s="136" t="s">
        <v>1324</v>
      </c>
    </row>
    <row r="79">
      <c r="A79" s="136" t="s">
        <v>523</v>
      </c>
      <c r="B79" s="316">
        <v>39957.0</v>
      </c>
      <c r="C79" s="96"/>
      <c r="D79" s="299">
        <v>119256.0</v>
      </c>
      <c r="E79" s="136" t="s">
        <v>581</v>
      </c>
      <c r="F79" s="317" t="b">
        <v>0</v>
      </c>
      <c r="G79" s="317" t="b">
        <v>1</v>
      </c>
      <c r="H79" s="317" t="b">
        <v>0</v>
      </c>
      <c r="I79" s="317" t="b">
        <v>0</v>
      </c>
      <c r="J79" s="136" t="s">
        <v>38</v>
      </c>
      <c r="K79" s="136" t="s">
        <v>1298</v>
      </c>
      <c r="L79" s="299">
        <v>8.3992949E7</v>
      </c>
      <c r="M79" s="317" t="b">
        <v>1</v>
      </c>
      <c r="N79" s="317" t="b">
        <v>1</v>
      </c>
      <c r="O79" s="317" t="b">
        <v>0</v>
      </c>
      <c r="P79" s="317" t="b">
        <v>0</v>
      </c>
      <c r="Q79" s="317" t="b">
        <v>0</v>
      </c>
      <c r="R79" s="317" t="b">
        <v>0</v>
      </c>
      <c r="S79" s="317" t="b">
        <v>0</v>
      </c>
      <c r="T79" s="317" t="b">
        <v>0</v>
      </c>
      <c r="U79" s="317" t="b">
        <v>1</v>
      </c>
      <c r="V79" s="136" t="s">
        <v>1303</v>
      </c>
      <c r="W79" s="136" t="s">
        <v>1303</v>
      </c>
      <c r="X79" s="136" t="s">
        <v>1303</v>
      </c>
      <c r="Y79" s="136" t="s">
        <v>1324</v>
      </c>
      <c r="Z79" s="136" t="s">
        <v>1303</v>
      </c>
    </row>
    <row r="80">
      <c r="A80" s="136" t="s">
        <v>523</v>
      </c>
      <c r="B80" s="316">
        <v>39977.0</v>
      </c>
      <c r="C80" s="96"/>
      <c r="D80" s="299">
        <v>118776.0</v>
      </c>
      <c r="E80" s="136" t="s">
        <v>582</v>
      </c>
      <c r="F80" s="317" t="b">
        <v>0</v>
      </c>
      <c r="G80" s="317" t="b">
        <v>1</v>
      </c>
      <c r="H80" s="317" t="b">
        <v>0</v>
      </c>
      <c r="I80" s="317" t="b">
        <v>0</v>
      </c>
      <c r="J80" s="136" t="s">
        <v>38</v>
      </c>
      <c r="K80" s="136" t="s">
        <v>1298</v>
      </c>
      <c r="L80" s="299">
        <v>8.3992949E7</v>
      </c>
      <c r="M80" s="317" t="b">
        <v>0</v>
      </c>
      <c r="N80" s="317" t="b">
        <v>0</v>
      </c>
      <c r="O80" s="317" t="b">
        <v>1</v>
      </c>
      <c r="P80" s="317" t="b">
        <v>0</v>
      </c>
      <c r="Q80" s="317" t="b">
        <v>0</v>
      </c>
      <c r="R80" s="317" t="b">
        <v>0</v>
      </c>
      <c r="S80" s="317" t="b">
        <v>0</v>
      </c>
      <c r="T80" s="317" t="b">
        <v>0</v>
      </c>
      <c r="U80" s="317" t="b">
        <v>1</v>
      </c>
      <c r="V80" s="136" t="s">
        <v>1303</v>
      </c>
      <c r="W80" s="136" t="s">
        <v>1303</v>
      </c>
      <c r="X80" s="136" t="s">
        <v>1303</v>
      </c>
      <c r="Y80" s="136" t="s">
        <v>1324</v>
      </c>
      <c r="Z80" s="136" t="s">
        <v>1303</v>
      </c>
    </row>
    <row r="81">
      <c r="A81" s="136" t="s">
        <v>523</v>
      </c>
      <c r="B81" s="316">
        <v>44828.0</v>
      </c>
      <c r="C81" s="96"/>
      <c r="D81" s="299">
        <v>2352.0</v>
      </c>
      <c r="E81" s="136" t="s">
        <v>584</v>
      </c>
      <c r="F81" s="317" t="b">
        <v>1</v>
      </c>
      <c r="G81" s="317" t="b">
        <v>0</v>
      </c>
      <c r="H81" s="317" t="b">
        <v>0</v>
      </c>
      <c r="I81" s="317" t="b">
        <v>0</v>
      </c>
      <c r="J81" s="136" t="s">
        <v>38</v>
      </c>
      <c r="K81" s="136" t="s">
        <v>1298</v>
      </c>
      <c r="L81" s="299">
        <v>8.3992949E7</v>
      </c>
      <c r="M81" s="317" t="b">
        <v>0</v>
      </c>
      <c r="N81" s="317" t="b">
        <v>0</v>
      </c>
      <c r="O81" s="317" t="b">
        <v>0</v>
      </c>
      <c r="P81" s="317" t="b">
        <v>0</v>
      </c>
      <c r="Q81" s="317" t="b">
        <v>0</v>
      </c>
      <c r="R81" s="317" t="b">
        <v>0</v>
      </c>
      <c r="S81" s="317" t="b">
        <v>0</v>
      </c>
      <c r="T81" s="317" t="b">
        <v>1</v>
      </c>
      <c r="U81" s="317" t="b">
        <v>1</v>
      </c>
      <c r="V81" s="136" t="s">
        <v>1303</v>
      </c>
      <c r="W81" s="136" t="s">
        <v>1324</v>
      </c>
      <c r="X81" s="136" t="s">
        <v>1303</v>
      </c>
      <c r="Y81" s="136" t="s">
        <v>1303</v>
      </c>
      <c r="Z81" s="136" t="s">
        <v>1324</v>
      </c>
    </row>
    <row r="82">
      <c r="A82" s="136" t="s">
        <v>523</v>
      </c>
      <c r="B82" s="316">
        <v>44825.0</v>
      </c>
      <c r="C82" s="96"/>
      <c r="D82" s="299">
        <v>2424.0</v>
      </c>
      <c r="E82" s="136" t="s">
        <v>585</v>
      </c>
      <c r="F82" s="317" t="b">
        <v>1</v>
      </c>
      <c r="G82" s="317" t="b">
        <v>0</v>
      </c>
      <c r="H82" s="317" t="b">
        <v>0</v>
      </c>
      <c r="I82" s="317" t="b">
        <v>0</v>
      </c>
      <c r="J82" s="136" t="s">
        <v>38</v>
      </c>
      <c r="K82" s="136" t="s">
        <v>1298</v>
      </c>
      <c r="L82" s="299">
        <v>8.3992949E7</v>
      </c>
      <c r="M82" s="317" t="b">
        <v>0</v>
      </c>
      <c r="N82" s="317" t="b">
        <v>0</v>
      </c>
      <c r="O82" s="317" t="b">
        <v>0</v>
      </c>
      <c r="P82" s="317" t="b">
        <v>1</v>
      </c>
      <c r="Q82" s="317" t="b">
        <v>0</v>
      </c>
      <c r="R82" s="317" t="b">
        <v>1</v>
      </c>
      <c r="S82" s="317" t="b">
        <v>0</v>
      </c>
      <c r="T82" s="317" t="b">
        <v>0</v>
      </c>
      <c r="U82" s="317" t="b">
        <v>1</v>
      </c>
      <c r="V82" s="136" t="s">
        <v>1303</v>
      </c>
      <c r="W82" s="136" t="s">
        <v>1324</v>
      </c>
      <c r="X82" s="136" t="s">
        <v>1303</v>
      </c>
      <c r="Y82" s="136" t="s">
        <v>1303</v>
      </c>
      <c r="Z82" s="136" t="s">
        <v>1324</v>
      </c>
    </row>
    <row r="83">
      <c r="A83" s="136" t="s">
        <v>523</v>
      </c>
      <c r="B83" s="316">
        <v>43220.0</v>
      </c>
      <c r="C83" s="96"/>
      <c r="D83" s="299">
        <v>40944.0</v>
      </c>
      <c r="E83" s="136" t="s">
        <v>587</v>
      </c>
      <c r="F83" s="317" t="b">
        <v>0</v>
      </c>
      <c r="G83" s="317" t="b">
        <v>0</v>
      </c>
      <c r="H83" s="317" t="b">
        <v>1</v>
      </c>
      <c r="I83" s="317" t="b">
        <v>0</v>
      </c>
      <c r="J83" s="136" t="s">
        <v>38</v>
      </c>
      <c r="K83" s="136" t="s">
        <v>1298</v>
      </c>
      <c r="L83" s="299">
        <v>8.3992949E7</v>
      </c>
      <c r="M83" s="317" t="b">
        <v>0</v>
      </c>
      <c r="N83" s="317" t="b">
        <v>0</v>
      </c>
      <c r="O83" s="317" t="b">
        <v>0</v>
      </c>
      <c r="P83" s="317" t="b">
        <v>0</v>
      </c>
      <c r="Q83" s="317" t="b">
        <v>1</v>
      </c>
      <c r="R83" s="317" t="b">
        <v>0</v>
      </c>
      <c r="S83" s="317" t="b">
        <v>0</v>
      </c>
      <c r="T83" s="317" t="b">
        <v>0</v>
      </c>
      <c r="U83" s="317" t="b">
        <v>1</v>
      </c>
      <c r="V83" s="136" t="s">
        <v>1303</v>
      </c>
      <c r="W83" s="136" t="s">
        <v>1303</v>
      </c>
      <c r="X83" s="136" t="s">
        <v>1303</v>
      </c>
      <c r="Y83" s="136" t="s">
        <v>1324</v>
      </c>
      <c r="Z83" s="136" t="s">
        <v>1303</v>
      </c>
    </row>
    <row r="84">
      <c r="A84" s="136" t="s">
        <v>642</v>
      </c>
      <c r="B84" s="316">
        <v>44911.0</v>
      </c>
      <c r="C84" s="96"/>
      <c r="D84" s="299">
        <v>360.0</v>
      </c>
      <c r="E84" s="136" t="s">
        <v>643</v>
      </c>
      <c r="F84" s="317" t="b">
        <v>1</v>
      </c>
      <c r="G84" s="317" t="b">
        <v>0</v>
      </c>
      <c r="H84" s="317" t="b">
        <v>0</v>
      </c>
      <c r="I84" s="317" t="b">
        <v>0</v>
      </c>
      <c r="J84" s="136" t="s">
        <v>38</v>
      </c>
      <c r="K84" s="136" t="s">
        <v>1298</v>
      </c>
      <c r="L84" s="299">
        <v>1.0203134E7</v>
      </c>
      <c r="M84" s="317" t="b">
        <v>0</v>
      </c>
      <c r="N84" s="317" t="b">
        <v>0</v>
      </c>
      <c r="O84" s="317" t="b">
        <v>0</v>
      </c>
      <c r="P84" s="317" t="b">
        <v>0</v>
      </c>
      <c r="Q84" s="317" t="b">
        <v>0</v>
      </c>
      <c r="R84" s="317" t="b">
        <v>0</v>
      </c>
      <c r="S84" s="317" t="b">
        <v>1</v>
      </c>
      <c r="T84" s="317" t="b">
        <v>0</v>
      </c>
      <c r="U84" s="317" t="b">
        <v>1</v>
      </c>
      <c r="V84" s="136" t="s">
        <v>1303</v>
      </c>
      <c r="W84" s="136" t="s">
        <v>1324</v>
      </c>
      <c r="X84" s="136" t="s">
        <v>1303</v>
      </c>
      <c r="Y84" s="136" t="s">
        <v>1303</v>
      </c>
      <c r="Z84" s="136" t="s">
        <v>1324</v>
      </c>
    </row>
    <row r="85">
      <c r="A85" s="136" t="s">
        <v>642</v>
      </c>
      <c r="B85" s="316">
        <v>44700.0</v>
      </c>
      <c r="C85" s="316">
        <v>44700.0</v>
      </c>
      <c r="D85" s="299">
        <v>3.0</v>
      </c>
      <c r="E85" s="136" t="s">
        <v>645</v>
      </c>
      <c r="F85" s="317" t="b">
        <v>0</v>
      </c>
      <c r="G85" s="317" t="b">
        <v>0</v>
      </c>
      <c r="H85" s="317" t="b">
        <v>1</v>
      </c>
      <c r="I85" s="317" t="b">
        <v>0</v>
      </c>
      <c r="J85" s="136" t="s">
        <v>38</v>
      </c>
      <c r="K85" s="136" t="s">
        <v>1298</v>
      </c>
      <c r="L85" s="299">
        <v>1.0203134E7</v>
      </c>
      <c r="M85" s="317" t="b">
        <v>1</v>
      </c>
      <c r="N85" s="317" t="b">
        <v>0</v>
      </c>
      <c r="O85" s="317" t="b">
        <v>0</v>
      </c>
      <c r="P85" s="317" t="b">
        <v>0</v>
      </c>
      <c r="Q85" s="317" t="b">
        <v>0</v>
      </c>
      <c r="R85" s="317" t="b">
        <v>0</v>
      </c>
      <c r="S85" s="317" t="b">
        <v>0</v>
      </c>
      <c r="T85" s="317" t="b">
        <v>0</v>
      </c>
      <c r="U85" s="317" t="b">
        <v>1</v>
      </c>
      <c r="V85" s="136" t="s">
        <v>1324</v>
      </c>
      <c r="W85" s="136" t="s">
        <v>1303</v>
      </c>
      <c r="X85" s="136" t="s">
        <v>1303</v>
      </c>
      <c r="Y85" s="136" t="s">
        <v>1303</v>
      </c>
      <c r="Z85" s="136" t="s">
        <v>1324</v>
      </c>
    </row>
    <row r="86">
      <c r="A86" s="136" t="s">
        <v>653</v>
      </c>
      <c r="B86" s="316">
        <v>44891.0</v>
      </c>
      <c r="C86" s="316">
        <v>44891.0</v>
      </c>
      <c r="D86" s="299">
        <v>2.0</v>
      </c>
      <c r="E86" s="136" t="s">
        <v>654</v>
      </c>
      <c r="F86" s="317" t="b">
        <v>1</v>
      </c>
      <c r="G86" s="317" t="b">
        <v>0</v>
      </c>
      <c r="H86" s="317" t="b">
        <v>0</v>
      </c>
      <c r="I86" s="317" t="b">
        <v>0</v>
      </c>
      <c r="J86" s="136" t="s">
        <v>655</v>
      </c>
      <c r="K86" s="136" t="s">
        <v>1298</v>
      </c>
      <c r="L86" s="136"/>
      <c r="M86" s="317" t="b">
        <v>0</v>
      </c>
      <c r="N86" s="317" t="b">
        <v>0</v>
      </c>
      <c r="O86" s="317" t="b">
        <v>0</v>
      </c>
      <c r="P86" s="317" t="b">
        <v>0</v>
      </c>
      <c r="Q86" s="317" t="b">
        <v>0</v>
      </c>
      <c r="R86" s="317" t="b">
        <v>0</v>
      </c>
      <c r="S86" s="317" t="b">
        <v>0</v>
      </c>
      <c r="T86" s="317" t="b">
        <v>0</v>
      </c>
      <c r="U86" s="317" t="b">
        <v>0</v>
      </c>
      <c r="V86" s="136" t="s">
        <v>1324</v>
      </c>
      <c r="W86" s="136" t="s">
        <v>1303</v>
      </c>
      <c r="X86" s="136" t="s">
        <v>1303</v>
      </c>
      <c r="Y86" s="136" t="s">
        <v>1303</v>
      </c>
      <c r="Z86" s="136" t="s">
        <v>1324</v>
      </c>
    </row>
    <row r="87">
      <c r="A87" s="136" t="s">
        <v>653</v>
      </c>
      <c r="B87" s="316">
        <v>44566.0</v>
      </c>
      <c r="C87" s="316">
        <v>44572.0</v>
      </c>
      <c r="D87" s="299">
        <v>139.0</v>
      </c>
      <c r="E87" s="136" t="s">
        <v>656</v>
      </c>
      <c r="F87" s="317" t="b">
        <v>1</v>
      </c>
      <c r="G87" s="317" t="b">
        <v>0</v>
      </c>
      <c r="H87" s="317" t="b">
        <v>0</v>
      </c>
      <c r="I87" s="317" t="b">
        <v>0</v>
      </c>
      <c r="J87" s="136" t="s">
        <v>38</v>
      </c>
      <c r="K87" s="136" t="s">
        <v>1298</v>
      </c>
      <c r="L87" s="299">
        <v>1.8776707E7</v>
      </c>
      <c r="M87" s="317" t="b">
        <v>0</v>
      </c>
      <c r="N87" s="317" t="b">
        <v>0</v>
      </c>
      <c r="O87" s="317" t="b">
        <v>0</v>
      </c>
      <c r="P87" s="317" t="b">
        <v>0</v>
      </c>
      <c r="Q87" s="317" t="b">
        <v>0</v>
      </c>
      <c r="R87" s="317" t="b">
        <v>0</v>
      </c>
      <c r="S87" s="317" t="b">
        <v>0</v>
      </c>
      <c r="T87" s="317" t="b">
        <v>0</v>
      </c>
      <c r="U87" s="317" t="b">
        <v>0</v>
      </c>
      <c r="V87" s="136" t="s">
        <v>1324</v>
      </c>
      <c r="W87" s="136" t="s">
        <v>1303</v>
      </c>
      <c r="X87" s="136" t="s">
        <v>1303</v>
      </c>
      <c r="Y87" s="136" t="s">
        <v>1303</v>
      </c>
      <c r="Z87" s="136" t="s">
        <v>1324</v>
      </c>
    </row>
    <row r="88">
      <c r="A88" s="136" t="s">
        <v>681</v>
      </c>
      <c r="B88" s="316">
        <v>44232.0</v>
      </c>
      <c r="C88" s="96"/>
      <c r="D88" s="299">
        <v>16656.0</v>
      </c>
      <c r="E88" s="136" t="s">
        <v>687</v>
      </c>
      <c r="F88" s="317" t="b">
        <v>0</v>
      </c>
      <c r="G88" s="317" t="b">
        <v>0</v>
      </c>
      <c r="H88" s="317" t="b">
        <v>1</v>
      </c>
      <c r="I88" s="317" t="b">
        <v>0</v>
      </c>
      <c r="J88" s="136" t="s">
        <v>38</v>
      </c>
      <c r="K88" s="136" t="s">
        <v>1298</v>
      </c>
      <c r="L88" s="299">
        <v>5.44098E7</v>
      </c>
      <c r="M88" s="317" t="b">
        <v>0</v>
      </c>
      <c r="N88" s="317" t="b">
        <v>1</v>
      </c>
      <c r="O88" s="317" t="b">
        <v>0</v>
      </c>
      <c r="P88" s="317" t="b">
        <v>0</v>
      </c>
      <c r="Q88" s="317" t="b">
        <v>0</v>
      </c>
      <c r="R88" s="317" t="b">
        <v>0</v>
      </c>
      <c r="S88" s="317" t="b">
        <v>0</v>
      </c>
      <c r="T88" s="317" t="b">
        <v>0</v>
      </c>
      <c r="U88" s="317" t="b">
        <v>1</v>
      </c>
      <c r="V88" s="136" t="s">
        <v>1303</v>
      </c>
      <c r="W88" s="136" t="s">
        <v>1303</v>
      </c>
      <c r="X88" s="136" t="s">
        <v>1303</v>
      </c>
      <c r="Y88" s="136" t="s">
        <v>1324</v>
      </c>
      <c r="Z88" s="136" t="s">
        <v>1303</v>
      </c>
    </row>
    <row r="89">
      <c r="A89" s="136" t="s">
        <v>681</v>
      </c>
      <c r="B89" s="316">
        <v>44230.0</v>
      </c>
      <c r="C89" s="96"/>
      <c r="D89" s="299">
        <v>16704.0</v>
      </c>
      <c r="E89" s="136" t="s">
        <v>688</v>
      </c>
      <c r="F89" s="317" t="b">
        <v>0</v>
      </c>
      <c r="G89" s="317" t="b">
        <v>0</v>
      </c>
      <c r="H89" s="317" t="b">
        <v>1</v>
      </c>
      <c r="I89" s="317" t="b">
        <v>0</v>
      </c>
      <c r="J89" s="136" t="s">
        <v>38</v>
      </c>
      <c r="K89" s="136" t="s">
        <v>1298</v>
      </c>
      <c r="L89" s="299">
        <v>5.44098E7</v>
      </c>
      <c r="M89" s="317" t="b">
        <v>1</v>
      </c>
      <c r="N89" s="317" t="b">
        <v>0</v>
      </c>
      <c r="O89" s="317" t="b">
        <v>0</v>
      </c>
      <c r="P89" s="317" t="b">
        <v>1</v>
      </c>
      <c r="Q89" s="317" t="b">
        <v>0</v>
      </c>
      <c r="R89" s="317" t="b">
        <v>1</v>
      </c>
      <c r="S89" s="317" t="b">
        <v>0</v>
      </c>
      <c r="T89" s="317" t="b">
        <v>0</v>
      </c>
      <c r="U89" s="317" t="b">
        <v>1</v>
      </c>
      <c r="V89" s="136" t="s">
        <v>1303</v>
      </c>
      <c r="W89" s="136" t="s">
        <v>1303</v>
      </c>
      <c r="X89" s="136" t="s">
        <v>1303</v>
      </c>
      <c r="Y89" s="136" t="s">
        <v>1324</v>
      </c>
      <c r="Z89" s="136" t="s">
        <v>1303</v>
      </c>
    </row>
    <row r="90">
      <c r="A90" s="136" t="s">
        <v>697</v>
      </c>
      <c r="B90" s="316">
        <v>44269.0</v>
      </c>
      <c r="C90" s="96"/>
      <c r="D90" s="299">
        <v>15768.0</v>
      </c>
      <c r="E90" s="136" t="s">
        <v>698</v>
      </c>
      <c r="F90" s="317" t="b">
        <v>0</v>
      </c>
      <c r="G90" s="317" t="b">
        <v>0</v>
      </c>
      <c r="H90" s="317" t="b">
        <v>0</v>
      </c>
      <c r="I90" s="317" t="b">
        <v>1</v>
      </c>
      <c r="J90" s="136" t="s">
        <v>38</v>
      </c>
      <c r="K90" s="136" t="s">
        <v>1298</v>
      </c>
      <c r="L90" s="299">
        <v>5106626.0</v>
      </c>
      <c r="M90" s="317" t="b">
        <v>0</v>
      </c>
      <c r="N90" s="317" t="b">
        <v>0</v>
      </c>
      <c r="O90" s="317" t="b">
        <v>0</v>
      </c>
      <c r="P90" s="317" t="b">
        <v>0</v>
      </c>
      <c r="Q90" s="317" t="b">
        <v>0</v>
      </c>
      <c r="R90" s="317" t="b">
        <v>0</v>
      </c>
      <c r="S90" s="317" t="b">
        <v>0</v>
      </c>
      <c r="T90" s="317" t="b">
        <v>1</v>
      </c>
      <c r="U90" s="317" t="b">
        <v>1</v>
      </c>
      <c r="V90" s="136" t="s">
        <v>1303</v>
      </c>
      <c r="W90" s="136" t="s">
        <v>1303</v>
      </c>
      <c r="X90" s="136" t="s">
        <v>1303</v>
      </c>
      <c r="Y90" s="136" t="s">
        <v>1324</v>
      </c>
      <c r="Z90" s="136" t="s">
        <v>1303</v>
      </c>
    </row>
    <row r="91">
      <c r="A91" s="136" t="s">
        <v>697</v>
      </c>
      <c r="B91" s="316">
        <v>41500.0</v>
      </c>
      <c r="C91" s="96"/>
      <c r="D91" s="299">
        <v>82224.0</v>
      </c>
      <c r="E91" s="136" t="s">
        <v>699</v>
      </c>
      <c r="F91" s="317" t="b">
        <v>0</v>
      </c>
      <c r="G91" s="317" t="b">
        <v>0</v>
      </c>
      <c r="H91" s="317" t="b">
        <v>0</v>
      </c>
      <c r="I91" s="317" t="b">
        <v>1</v>
      </c>
      <c r="J91" s="136" t="s">
        <v>38</v>
      </c>
      <c r="K91" s="136" t="s">
        <v>1298</v>
      </c>
      <c r="L91" s="299">
        <v>5106626.0</v>
      </c>
      <c r="M91" s="317" t="b">
        <v>0</v>
      </c>
      <c r="N91" s="317" t="b">
        <v>0</v>
      </c>
      <c r="O91" s="317" t="b">
        <v>0</v>
      </c>
      <c r="P91" s="317" t="b">
        <v>0</v>
      </c>
      <c r="Q91" s="317" t="b">
        <v>1</v>
      </c>
      <c r="R91" s="317" t="b">
        <v>0</v>
      </c>
      <c r="S91" s="317" t="b">
        <v>0</v>
      </c>
      <c r="T91" s="317" t="b">
        <v>0</v>
      </c>
      <c r="U91" s="317" t="b">
        <v>1</v>
      </c>
      <c r="V91" s="136" t="s">
        <v>1303</v>
      </c>
      <c r="W91" s="136" t="s">
        <v>1303</v>
      </c>
      <c r="X91" s="136" t="s">
        <v>1303</v>
      </c>
      <c r="Y91" s="136" t="s">
        <v>1324</v>
      </c>
      <c r="Z91" s="136" t="s">
        <v>1303</v>
      </c>
    </row>
    <row r="92">
      <c r="A92" s="136" t="s">
        <v>697</v>
      </c>
      <c r="B92" s="316">
        <v>39868.0</v>
      </c>
      <c r="C92" s="96"/>
      <c r="D92" s="299">
        <v>121392.0</v>
      </c>
      <c r="E92" s="136" t="s">
        <v>701</v>
      </c>
      <c r="F92" s="317" t="b">
        <v>0</v>
      </c>
      <c r="G92" s="317" t="b">
        <v>0</v>
      </c>
      <c r="H92" s="317" t="b">
        <v>0</v>
      </c>
      <c r="I92" s="317" t="b">
        <v>1</v>
      </c>
      <c r="J92" s="136" t="s">
        <v>38</v>
      </c>
      <c r="K92" s="136" t="s">
        <v>1298</v>
      </c>
      <c r="L92" s="299">
        <v>5106626.0</v>
      </c>
      <c r="M92" s="317" t="b">
        <v>0</v>
      </c>
      <c r="N92" s="317" t="b">
        <v>0</v>
      </c>
      <c r="O92" s="317" t="b">
        <v>0</v>
      </c>
      <c r="P92" s="317" t="b">
        <v>0</v>
      </c>
      <c r="Q92" s="317" t="b">
        <v>0</v>
      </c>
      <c r="R92" s="317" t="b">
        <v>1</v>
      </c>
      <c r="S92" s="317" t="b">
        <v>0</v>
      </c>
      <c r="T92" s="317" t="b">
        <v>0</v>
      </c>
      <c r="U92" s="317" t="b">
        <v>1</v>
      </c>
      <c r="V92" s="136" t="s">
        <v>1303</v>
      </c>
      <c r="W92" s="136" t="s">
        <v>1303</v>
      </c>
      <c r="X92" s="136" t="s">
        <v>1303</v>
      </c>
      <c r="Y92" s="136" t="s">
        <v>1324</v>
      </c>
      <c r="Z92" s="136" t="s">
        <v>1303</v>
      </c>
    </row>
    <row r="93">
      <c r="A93" s="136" t="s">
        <v>704</v>
      </c>
      <c r="B93" s="316">
        <v>44810.0</v>
      </c>
      <c r="C93" s="316">
        <v>44810.0</v>
      </c>
      <c r="D93" s="299">
        <v>1.0</v>
      </c>
      <c r="E93" s="136" t="s">
        <v>719</v>
      </c>
      <c r="F93" s="317" t="b">
        <v>0</v>
      </c>
      <c r="G93" s="317" t="b">
        <v>0</v>
      </c>
      <c r="H93" s="317" t="b">
        <v>1</v>
      </c>
      <c r="I93" s="317" t="b">
        <v>0</v>
      </c>
      <c r="J93" s="136" t="s">
        <v>38</v>
      </c>
      <c r="K93" s="136" t="s">
        <v>1298</v>
      </c>
      <c r="L93" s="299">
        <v>2.2089234E8</v>
      </c>
      <c r="M93" s="317" t="b">
        <v>0</v>
      </c>
      <c r="N93" s="317" t="b">
        <v>0</v>
      </c>
      <c r="O93" s="317" t="b">
        <v>1</v>
      </c>
      <c r="P93" s="317" t="b">
        <v>0</v>
      </c>
      <c r="Q93" s="317" t="b">
        <v>0</v>
      </c>
      <c r="R93" s="317" t="b">
        <v>0</v>
      </c>
      <c r="S93" s="317" t="b">
        <v>0</v>
      </c>
      <c r="T93" s="317" t="b">
        <v>0</v>
      </c>
      <c r="U93" s="317" t="b">
        <v>1</v>
      </c>
      <c r="V93" s="136" t="s">
        <v>1324</v>
      </c>
      <c r="W93" s="136" t="s">
        <v>1303</v>
      </c>
      <c r="X93" s="136" t="s">
        <v>1303</v>
      </c>
      <c r="Y93" s="136" t="s">
        <v>1303</v>
      </c>
      <c r="Z93" s="136" t="s">
        <v>1324</v>
      </c>
    </row>
    <row r="94">
      <c r="A94" s="136" t="s">
        <v>704</v>
      </c>
      <c r="B94" s="316">
        <v>44794.0</v>
      </c>
      <c r="C94" s="316">
        <v>44794.0</v>
      </c>
      <c r="D94" s="299">
        <v>1.0</v>
      </c>
      <c r="E94" s="136" t="s">
        <v>720</v>
      </c>
      <c r="F94" s="317" t="b">
        <v>0</v>
      </c>
      <c r="G94" s="317" t="b">
        <v>0</v>
      </c>
      <c r="H94" s="317" t="b">
        <v>1</v>
      </c>
      <c r="I94" s="317" t="b">
        <v>0</v>
      </c>
      <c r="J94" s="136" t="s">
        <v>38</v>
      </c>
      <c r="K94" s="136" t="s">
        <v>1298</v>
      </c>
      <c r="L94" s="299">
        <v>2.2089234E8</v>
      </c>
      <c r="M94" s="317" t="b">
        <v>0</v>
      </c>
      <c r="N94" s="317" t="b">
        <v>0</v>
      </c>
      <c r="O94" s="317" t="b">
        <v>1</v>
      </c>
      <c r="P94" s="317" t="b">
        <v>0</v>
      </c>
      <c r="Q94" s="317" t="b">
        <v>0</v>
      </c>
      <c r="R94" s="317" t="b">
        <v>0</v>
      </c>
      <c r="S94" s="317" t="b">
        <v>0</v>
      </c>
      <c r="T94" s="317" t="b">
        <v>0</v>
      </c>
      <c r="U94" s="317" t="b">
        <v>1</v>
      </c>
      <c r="V94" s="136" t="s">
        <v>1324</v>
      </c>
      <c r="W94" s="136" t="s">
        <v>1303</v>
      </c>
      <c r="X94" s="136" t="s">
        <v>1303</v>
      </c>
      <c r="Y94" s="136" t="s">
        <v>1303</v>
      </c>
      <c r="Z94" s="136" t="s">
        <v>1324</v>
      </c>
    </row>
    <row r="95">
      <c r="A95" s="136" t="s">
        <v>704</v>
      </c>
      <c r="B95" s="316">
        <v>44706.0</v>
      </c>
      <c r="C95" s="316">
        <v>44706.0</v>
      </c>
      <c r="D95" s="299">
        <v>2.0</v>
      </c>
      <c r="E95" s="136" t="s">
        <v>721</v>
      </c>
      <c r="F95" s="317" t="b">
        <v>1</v>
      </c>
      <c r="G95" s="317" t="b">
        <v>0</v>
      </c>
      <c r="H95" s="317" t="b">
        <v>0</v>
      </c>
      <c r="I95" s="317" t="b">
        <v>0</v>
      </c>
      <c r="J95" s="136" t="s">
        <v>722</v>
      </c>
      <c r="K95" s="136" t="s">
        <v>1298</v>
      </c>
      <c r="L95" s="299">
        <v>1.8536707E7</v>
      </c>
      <c r="M95" s="317" t="b">
        <v>0</v>
      </c>
      <c r="N95" s="317" t="b">
        <v>0</v>
      </c>
      <c r="O95" s="317" t="b">
        <v>0</v>
      </c>
      <c r="P95" s="317" t="b">
        <v>0</v>
      </c>
      <c r="Q95" s="317" t="b">
        <v>0</v>
      </c>
      <c r="R95" s="317" t="b">
        <v>0</v>
      </c>
      <c r="S95" s="317" t="b">
        <v>0</v>
      </c>
      <c r="T95" s="317" t="b">
        <v>0</v>
      </c>
      <c r="U95" s="317" t="b">
        <v>0</v>
      </c>
      <c r="V95" s="136" t="s">
        <v>1324</v>
      </c>
      <c r="W95" s="136" t="s">
        <v>1303</v>
      </c>
      <c r="X95" s="136" t="s">
        <v>1303</v>
      </c>
      <c r="Y95" s="136" t="s">
        <v>1303</v>
      </c>
      <c r="Z95" s="136" t="s">
        <v>1324</v>
      </c>
    </row>
    <row r="96">
      <c r="A96" s="136" t="s">
        <v>755</v>
      </c>
      <c r="B96" s="316">
        <v>43018.0</v>
      </c>
      <c r="C96" s="96"/>
      <c r="D96" s="299">
        <v>45792.0</v>
      </c>
      <c r="E96" s="136" t="s">
        <v>1354</v>
      </c>
      <c r="F96" s="317" t="b">
        <v>0</v>
      </c>
      <c r="G96" s="317" t="b">
        <v>0</v>
      </c>
      <c r="H96" s="317" t="b">
        <v>0</v>
      </c>
      <c r="I96" s="317" t="b">
        <v>1</v>
      </c>
      <c r="J96" s="136" t="s">
        <v>38</v>
      </c>
      <c r="K96" s="136" t="s">
        <v>1298</v>
      </c>
      <c r="L96" s="299">
        <v>2881053.0</v>
      </c>
      <c r="M96" s="317" t="b">
        <v>0</v>
      </c>
      <c r="N96" s="317" t="b">
        <v>0</v>
      </c>
      <c r="O96" s="317" t="b">
        <v>0</v>
      </c>
      <c r="P96" s="317" t="b">
        <v>0</v>
      </c>
      <c r="Q96" s="317" t="b">
        <v>0</v>
      </c>
      <c r="R96" s="317" t="b">
        <v>1</v>
      </c>
      <c r="S96" s="317" t="b">
        <v>0</v>
      </c>
      <c r="T96" s="317" t="b">
        <v>1</v>
      </c>
      <c r="U96" s="317" t="b">
        <v>1</v>
      </c>
      <c r="V96" s="136" t="s">
        <v>1303</v>
      </c>
      <c r="W96" s="136" t="s">
        <v>1303</v>
      </c>
      <c r="X96" s="136" t="s">
        <v>1303</v>
      </c>
      <c r="Y96" s="136" t="s">
        <v>1324</v>
      </c>
      <c r="Z96" s="136" t="s">
        <v>1303</v>
      </c>
    </row>
    <row r="97">
      <c r="A97" s="136" t="s">
        <v>770</v>
      </c>
      <c r="B97" s="316">
        <v>44654.0</v>
      </c>
      <c r="C97" s="316">
        <v>44654.0</v>
      </c>
      <c r="D97" s="299">
        <v>16.0</v>
      </c>
      <c r="E97" s="136" t="s">
        <v>771</v>
      </c>
      <c r="F97" s="317" t="b">
        <v>1</v>
      </c>
      <c r="G97" s="317" t="b">
        <v>0</v>
      </c>
      <c r="H97" s="317" t="b">
        <v>0</v>
      </c>
      <c r="I97" s="317" t="b">
        <v>0</v>
      </c>
      <c r="J97" s="136" t="s">
        <v>38</v>
      </c>
      <c r="K97" s="136" t="s">
        <v>1298</v>
      </c>
      <c r="L97" s="299">
        <v>2.1413249E7</v>
      </c>
      <c r="M97" s="317" t="b">
        <v>1</v>
      </c>
      <c r="N97" s="317" t="b">
        <v>1</v>
      </c>
      <c r="O97" s="317" t="b">
        <v>1</v>
      </c>
      <c r="P97" s="317" t="b">
        <v>1</v>
      </c>
      <c r="Q97" s="317" t="b">
        <v>0</v>
      </c>
      <c r="R97" s="317" t="b">
        <v>1</v>
      </c>
      <c r="S97" s="317" t="b">
        <v>1</v>
      </c>
      <c r="T97" s="317" t="b">
        <v>0</v>
      </c>
      <c r="U97" s="317" t="b">
        <v>1</v>
      </c>
      <c r="V97" s="136" t="s">
        <v>1324</v>
      </c>
      <c r="W97" s="136" t="s">
        <v>1303</v>
      </c>
      <c r="X97" s="136" t="s">
        <v>1303</v>
      </c>
      <c r="Y97" s="136" t="s">
        <v>1303</v>
      </c>
      <c r="Z97" s="136" t="s">
        <v>1324</v>
      </c>
    </row>
    <row r="98">
      <c r="A98" s="136" t="s">
        <v>770</v>
      </c>
      <c r="B98" s="316">
        <v>44649.0</v>
      </c>
      <c r="C98" s="316">
        <v>44653.0</v>
      </c>
      <c r="D98" s="299">
        <v>96.0</v>
      </c>
      <c r="E98" s="136" t="s">
        <v>772</v>
      </c>
      <c r="F98" s="317" t="b">
        <v>1</v>
      </c>
      <c r="G98" s="317" t="b">
        <v>0</v>
      </c>
      <c r="H98" s="317" t="b">
        <v>0</v>
      </c>
      <c r="I98" s="317" t="b">
        <v>0</v>
      </c>
      <c r="J98" s="136" t="s">
        <v>38</v>
      </c>
      <c r="K98" s="136" t="s">
        <v>1298</v>
      </c>
      <c r="L98" s="299">
        <v>2.1413249E7</v>
      </c>
      <c r="M98" s="317" t="b">
        <v>0</v>
      </c>
      <c r="N98" s="317" t="b">
        <v>0</v>
      </c>
      <c r="O98" s="317" t="b">
        <v>0</v>
      </c>
      <c r="P98" s="317" t="b">
        <v>0</v>
      </c>
      <c r="Q98" s="317" t="b">
        <v>0</v>
      </c>
      <c r="R98" s="317" t="b">
        <v>0</v>
      </c>
      <c r="S98" s="317" t="b">
        <v>0</v>
      </c>
      <c r="T98" s="317" t="b">
        <v>0</v>
      </c>
      <c r="U98" s="317" t="b">
        <v>0</v>
      </c>
      <c r="V98" s="136" t="s">
        <v>1324</v>
      </c>
      <c r="W98" s="136" t="s">
        <v>1303</v>
      </c>
      <c r="X98" s="136" t="s">
        <v>1303</v>
      </c>
      <c r="Y98" s="136" t="s">
        <v>1303</v>
      </c>
      <c r="Z98" s="136" t="s">
        <v>1324</v>
      </c>
    </row>
    <row r="99">
      <c r="A99" s="136" t="s">
        <v>794</v>
      </c>
      <c r="B99" s="316">
        <v>44123.0</v>
      </c>
      <c r="C99" s="96"/>
      <c r="D99" s="299">
        <v>19272.0</v>
      </c>
      <c r="E99" s="136" t="s">
        <v>795</v>
      </c>
      <c r="F99" s="317" t="b">
        <v>1</v>
      </c>
      <c r="G99" s="317" t="b">
        <v>0</v>
      </c>
      <c r="H99" s="317" t="b">
        <v>0</v>
      </c>
      <c r="I99" s="317" t="b">
        <v>0</v>
      </c>
      <c r="J99" s="136" t="s">
        <v>38</v>
      </c>
      <c r="K99" s="136" t="s">
        <v>1298</v>
      </c>
      <c r="L99" s="299">
        <v>6.9799978E7</v>
      </c>
      <c r="M99" s="317" t="b">
        <v>0</v>
      </c>
      <c r="N99" s="317" t="b">
        <v>0</v>
      </c>
      <c r="O99" s="317" t="b">
        <v>0</v>
      </c>
      <c r="P99" s="317" t="b">
        <v>0</v>
      </c>
      <c r="Q99" s="317" t="b">
        <v>1</v>
      </c>
      <c r="R99" s="317" t="b">
        <v>0</v>
      </c>
      <c r="S99" s="317" t="b">
        <v>0</v>
      </c>
      <c r="T99" s="317" t="b">
        <v>0</v>
      </c>
      <c r="U99" s="317" t="b">
        <v>1</v>
      </c>
      <c r="V99" s="136" t="s">
        <v>1303</v>
      </c>
      <c r="W99" s="136" t="s">
        <v>1303</v>
      </c>
      <c r="X99" s="136" t="s">
        <v>1303</v>
      </c>
      <c r="Y99" s="136" t="s">
        <v>1324</v>
      </c>
      <c r="Z99" s="136" t="s">
        <v>1303</v>
      </c>
    </row>
    <row r="100">
      <c r="A100" s="136" t="s">
        <v>825</v>
      </c>
      <c r="B100" s="316">
        <v>43101.0</v>
      </c>
      <c r="C100" s="96"/>
      <c r="D100" s="299">
        <v>43800.0</v>
      </c>
      <c r="E100" s="136" t="s">
        <v>826</v>
      </c>
      <c r="F100" s="317" t="b">
        <v>0</v>
      </c>
      <c r="G100" s="317" t="b">
        <v>0</v>
      </c>
      <c r="H100" s="317" t="b">
        <v>1</v>
      </c>
      <c r="I100" s="317" t="b">
        <v>0</v>
      </c>
      <c r="J100" s="136" t="s">
        <v>38</v>
      </c>
      <c r="K100" s="136" t="s">
        <v>1298</v>
      </c>
      <c r="L100" s="299">
        <v>6031200.0</v>
      </c>
      <c r="M100" s="317" t="b">
        <v>0</v>
      </c>
      <c r="N100" s="317" t="b">
        <v>1</v>
      </c>
      <c r="O100" s="317" t="b">
        <v>0</v>
      </c>
      <c r="P100" s="317" t="b">
        <v>0</v>
      </c>
      <c r="Q100" s="317" t="b">
        <v>0</v>
      </c>
      <c r="R100" s="317" t="b">
        <v>0</v>
      </c>
      <c r="S100" s="317" t="b">
        <v>0</v>
      </c>
      <c r="T100" s="317" t="b">
        <v>0</v>
      </c>
      <c r="U100" s="317" t="b">
        <v>1</v>
      </c>
      <c r="V100" s="136" t="s">
        <v>1303</v>
      </c>
      <c r="W100" s="136" t="s">
        <v>1303</v>
      </c>
      <c r="X100" s="136" t="s">
        <v>1303</v>
      </c>
      <c r="Y100" s="136" t="s">
        <v>1324</v>
      </c>
      <c r="Z100" s="136" t="s">
        <v>1303</v>
      </c>
    </row>
    <row r="101">
      <c r="A101" s="136" t="s">
        <v>825</v>
      </c>
      <c r="B101" s="316">
        <v>40422.0</v>
      </c>
      <c r="C101" s="96"/>
      <c r="D101" s="299">
        <v>108096.0</v>
      </c>
      <c r="E101" s="136" t="s">
        <v>829</v>
      </c>
      <c r="F101" s="317" t="b">
        <v>0</v>
      </c>
      <c r="G101" s="317" t="b">
        <v>0</v>
      </c>
      <c r="H101" s="317" t="b">
        <v>1</v>
      </c>
      <c r="I101" s="317" t="b">
        <v>0</v>
      </c>
      <c r="J101" s="136" t="s">
        <v>38</v>
      </c>
      <c r="K101" s="136" t="s">
        <v>1298</v>
      </c>
      <c r="L101" s="299">
        <v>6031200.0</v>
      </c>
      <c r="M101" s="317" t="b">
        <v>1</v>
      </c>
      <c r="N101" s="317" t="b">
        <v>0</v>
      </c>
      <c r="O101" s="317" t="b">
        <v>0</v>
      </c>
      <c r="P101" s="317" t="b">
        <v>1</v>
      </c>
      <c r="Q101" s="317" t="b">
        <v>0</v>
      </c>
      <c r="R101" s="317" t="b">
        <v>0</v>
      </c>
      <c r="S101" s="317" t="b">
        <v>0</v>
      </c>
      <c r="T101" s="317" t="b">
        <v>0</v>
      </c>
      <c r="U101" s="317" t="b">
        <v>1</v>
      </c>
      <c r="V101" s="136" t="s">
        <v>1303</v>
      </c>
      <c r="W101" s="136" t="s">
        <v>1303</v>
      </c>
      <c r="X101" s="136" t="s">
        <v>1303</v>
      </c>
      <c r="Y101" s="136" t="s">
        <v>1324</v>
      </c>
      <c r="Z101" s="136" t="s">
        <v>1303</v>
      </c>
    </row>
    <row r="102">
      <c r="A102" s="136" t="s">
        <v>825</v>
      </c>
      <c r="B102" s="316">
        <v>40148.0</v>
      </c>
      <c r="C102" s="96"/>
      <c r="D102" s="299">
        <v>114672.0</v>
      </c>
      <c r="E102" s="136" t="s">
        <v>831</v>
      </c>
      <c r="F102" s="317" t="b">
        <v>0</v>
      </c>
      <c r="G102" s="317" t="b">
        <v>0</v>
      </c>
      <c r="H102" s="317" t="b">
        <v>1</v>
      </c>
      <c r="I102" s="317" t="b">
        <v>0</v>
      </c>
      <c r="J102" s="136" t="s">
        <v>38</v>
      </c>
      <c r="K102" s="136" t="s">
        <v>1298</v>
      </c>
      <c r="L102" s="299">
        <v>6031200.0</v>
      </c>
      <c r="M102" s="317" t="b">
        <v>0</v>
      </c>
      <c r="N102" s="317" t="b">
        <v>0</v>
      </c>
      <c r="O102" s="317" t="b">
        <v>1</v>
      </c>
      <c r="P102" s="317" t="b">
        <v>0</v>
      </c>
      <c r="Q102" s="317" t="b">
        <v>0</v>
      </c>
      <c r="R102" s="317" t="b">
        <v>0</v>
      </c>
      <c r="S102" s="317" t="b">
        <v>0</v>
      </c>
      <c r="T102" s="317" t="b">
        <v>0</v>
      </c>
      <c r="U102" s="317" t="b">
        <v>1</v>
      </c>
      <c r="V102" s="136" t="s">
        <v>1303</v>
      </c>
      <c r="W102" s="136" t="s">
        <v>1303</v>
      </c>
      <c r="X102" s="136" t="s">
        <v>1303</v>
      </c>
      <c r="Y102" s="136" t="s">
        <v>1324</v>
      </c>
      <c r="Z102" s="136" t="s">
        <v>1303</v>
      </c>
    </row>
    <row r="103">
      <c r="A103" s="136" t="s">
        <v>825</v>
      </c>
      <c r="B103" s="316">
        <v>42005.0</v>
      </c>
      <c r="C103" s="96"/>
      <c r="D103" s="299">
        <v>70104.0</v>
      </c>
      <c r="E103" s="136" t="s">
        <v>834</v>
      </c>
      <c r="F103" s="317" t="b">
        <v>0</v>
      </c>
      <c r="G103" s="317" t="b">
        <v>0</v>
      </c>
      <c r="H103" s="317" t="b">
        <v>1</v>
      </c>
      <c r="I103" s="317" t="b">
        <v>0</v>
      </c>
      <c r="J103" s="136" t="s">
        <v>38</v>
      </c>
      <c r="K103" s="136" t="s">
        <v>1298</v>
      </c>
      <c r="L103" s="299">
        <v>6031200.0</v>
      </c>
      <c r="M103" s="317" t="b">
        <v>0</v>
      </c>
      <c r="N103" s="317" t="b">
        <v>0</v>
      </c>
      <c r="O103" s="317" t="b">
        <v>0</v>
      </c>
      <c r="P103" s="317" t="b">
        <v>0</v>
      </c>
      <c r="Q103" s="317" t="b">
        <v>1</v>
      </c>
      <c r="R103" s="317" t="b">
        <v>1</v>
      </c>
      <c r="S103" s="317" t="b">
        <v>0</v>
      </c>
      <c r="T103" s="317" t="b">
        <v>0</v>
      </c>
      <c r="U103" s="317" t="b">
        <v>1</v>
      </c>
      <c r="V103" s="136" t="s">
        <v>1303</v>
      </c>
      <c r="W103" s="136" t="s">
        <v>1303</v>
      </c>
      <c r="X103" s="136" t="s">
        <v>1303</v>
      </c>
      <c r="Y103" s="136" t="s">
        <v>1324</v>
      </c>
      <c r="Z103" s="136" t="s">
        <v>1303</v>
      </c>
    </row>
    <row r="104">
      <c r="A104" s="136" t="s">
        <v>837</v>
      </c>
      <c r="B104" s="316">
        <v>42096.0</v>
      </c>
      <c r="C104" s="96"/>
      <c r="D104" s="299">
        <v>67920.0</v>
      </c>
      <c r="E104" s="136" t="s">
        <v>1355</v>
      </c>
      <c r="F104" s="317" t="b">
        <v>0</v>
      </c>
      <c r="G104" s="317" t="b">
        <v>0</v>
      </c>
      <c r="H104" s="317" t="b">
        <v>0</v>
      </c>
      <c r="I104" s="317" t="b">
        <v>1</v>
      </c>
      <c r="J104" s="136" t="s">
        <v>38</v>
      </c>
      <c r="K104" s="136" t="s">
        <v>1298</v>
      </c>
      <c r="L104" s="299">
        <v>9890402.0</v>
      </c>
      <c r="M104" s="317" t="b">
        <v>0</v>
      </c>
      <c r="N104" s="317" t="b">
        <v>0</v>
      </c>
      <c r="O104" s="317" t="b">
        <v>0</v>
      </c>
      <c r="P104" s="317" t="b">
        <v>0</v>
      </c>
      <c r="Q104" s="317" t="b">
        <v>0</v>
      </c>
      <c r="R104" s="317" t="b">
        <v>1</v>
      </c>
      <c r="S104" s="317" t="b">
        <v>0</v>
      </c>
      <c r="T104" s="317" t="b">
        <v>1</v>
      </c>
      <c r="U104" s="317" t="b">
        <v>1</v>
      </c>
      <c r="V104" s="136" t="s">
        <v>1303</v>
      </c>
      <c r="W104" s="136" t="s">
        <v>1303</v>
      </c>
      <c r="X104" s="136" t="s">
        <v>1303</v>
      </c>
      <c r="Y104" s="136" t="s">
        <v>1324</v>
      </c>
      <c r="Z104" s="136" t="s">
        <v>1303</v>
      </c>
    </row>
    <row r="105">
      <c r="A105" s="136" t="s">
        <v>837</v>
      </c>
      <c r="B105" s="316">
        <v>43221.0</v>
      </c>
      <c r="C105" s="96"/>
      <c r="D105" s="299">
        <v>40920.0</v>
      </c>
      <c r="E105" s="136" t="s">
        <v>841</v>
      </c>
      <c r="F105" s="317" t="b">
        <v>0</v>
      </c>
      <c r="G105" s="317" t="b">
        <v>0</v>
      </c>
      <c r="H105" s="317" t="b">
        <v>0</v>
      </c>
      <c r="I105" s="317" t="b">
        <v>1</v>
      </c>
      <c r="J105" s="136" t="s">
        <v>38</v>
      </c>
      <c r="K105" s="136" t="s">
        <v>1298</v>
      </c>
      <c r="L105" s="299">
        <v>9890402.0</v>
      </c>
      <c r="M105" s="317" t="b">
        <v>0</v>
      </c>
      <c r="N105" s="317" t="b">
        <v>0</v>
      </c>
      <c r="O105" s="317" t="b">
        <v>0</v>
      </c>
      <c r="P105" s="317" t="b">
        <v>0</v>
      </c>
      <c r="Q105" s="317" t="b">
        <v>1</v>
      </c>
      <c r="R105" s="317" t="b">
        <v>0</v>
      </c>
      <c r="S105" s="317" t="b">
        <v>0</v>
      </c>
      <c r="T105" s="317" t="b">
        <v>0</v>
      </c>
      <c r="U105" s="317" t="b">
        <v>1</v>
      </c>
      <c r="V105" s="136" t="s">
        <v>1303</v>
      </c>
      <c r="W105" s="136" t="s">
        <v>1303</v>
      </c>
      <c r="X105" s="136" t="s">
        <v>1303</v>
      </c>
      <c r="Y105" s="136" t="s">
        <v>1324</v>
      </c>
      <c r="Z105" s="136" t="s">
        <v>1303</v>
      </c>
    </row>
    <row r="106">
      <c r="A106" s="136" t="s">
        <v>846</v>
      </c>
      <c r="B106" s="316">
        <v>44503.0</v>
      </c>
      <c r="C106" s="96"/>
      <c r="D106" s="299">
        <v>10152.0</v>
      </c>
      <c r="E106" s="136" t="s">
        <v>847</v>
      </c>
      <c r="F106" s="317" t="b">
        <v>0</v>
      </c>
      <c r="G106" s="317" t="b">
        <v>0</v>
      </c>
      <c r="H106" s="317" t="b">
        <v>0</v>
      </c>
      <c r="I106" s="317" t="b">
        <v>1</v>
      </c>
      <c r="J106" s="136" t="s">
        <v>38</v>
      </c>
      <c r="K106" s="136" t="s">
        <v>1298</v>
      </c>
      <c r="L106" s="299">
        <v>3.3469203E7</v>
      </c>
      <c r="M106" s="317" t="b">
        <v>1</v>
      </c>
      <c r="N106" s="317" t="b">
        <v>0</v>
      </c>
      <c r="O106" s="317" t="b">
        <v>1</v>
      </c>
      <c r="P106" s="317" t="b">
        <v>1</v>
      </c>
      <c r="Q106" s="317" t="b">
        <v>0</v>
      </c>
      <c r="R106" s="317" t="b">
        <v>0</v>
      </c>
      <c r="S106" s="317" t="b">
        <v>1</v>
      </c>
      <c r="T106" s="317" t="b">
        <v>0</v>
      </c>
      <c r="U106" s="317" t="b">
        <v>1</v>
      </c>
      <c r="V106" s="136" t="s">
        <v>1303</v>
      </c>
      <c r="W106" s="136" t="s">
        <v>1303</v>
      </c>
      <c r="X106" s="136" t="s">
        <v>1303</v>
      </c>
      <c r="Y106" s="136" t="s">
        <v>1324</v>
      </c>
      <c r="Z106" s="136" t="s">
        <v>1303</v>
      </c>
    </row>
    <row r="107">
      <c r="A107" s="136" t="s">
        <v>846</v>
      </c>
      <c r="B107" s="316">
        <v>44378.0</v>
      </c>
      <c r="C107" s="96"/>
      <c r="D107" s="299">
        <v>13152.0</v>
      </c>
      <c r="E107" s="136" t="s">
        <v>850</v>
      </c>
      <c r="F107" s="317" t="b">
        <v>0</v>
      </c>
      <c r="G107" s="317" t="b">
        <v>0</v>
      </c>
      <c r="H107" s="317" t="b">
        <v>0</v>
      </c>
      <c r="I107" s="317" t="b">
        <v>1</v>
      </c>
      <c r="J107" s="136" t="s">
        <v>38</v>
      </c>
      <c r="K107" s="136" t="s">
        <v>1298</v>
      </c>
      <c r="L107" s="299">
        <v>3.3469203E7</v>
      </c>
      <c r="M107" s="317" t="b">
        <v>0</v>
      </c>
      <c r="N107" s="317" t="b">
        <v>0</v>
      </c>
      <c r="O107" s="317" t="b">
        <v>0</v>
      </c>
      <c r="P107" s="317" t="b">
        <v>0</v>
      </c>
      <c r="Q107" s="317" t="b">
        <v>0</v>
      </c>
      <c r="R107" s="317" t="b">
        <v>0</v>
      </c>
      <c r="S107" s="317" t="b">
        <v>1</v>
      </c>
      <c r="T107" s="317" t="b">
        <v>0</v>
      </c>
      <c r="U107" s="317" t="b">
        <v>1</v>
      </c>
      <c r="V107" s="136" t="s">
        <v>1303</v>
      </c>
      <c r="W107" s="136" t="s">
        <v>1303</v>
      </c>
      <c r="X107" s="136" t="s">
        <v>1303</v>
      </c>
      <c r="Y107" s="136" t="s">
        <v>1324</v>
      </c>
      <c r="Z107" s="136" t="s">
        <v>1303</v>
      </c>
    </row>
    <row r="108">
      <c r="A108" s="136" t="s">
        <v>846</v>
      </c>
      <c r="B108" s="316">
        <v>44378.0</v>
      </c>
      <c r="C108" s="316">
        <v>44774.0</v>
      </c>
      <c r="D108" s="299">
        <v>13152.0</v>
      </c>
      <c r="E108" s="136" t="s">
        <v>851</v>
      </c>
      <c r="F108" s="317" t="b">
        <v>0</v>
      </c>
      <c r="G108" s="317" t="b">
        <v>0</v>
      </c>
      <c r="H108" s="317" t="b">
        <v>0</v>
      </c>
      <c r="I108" s="317" t="b">
        <v>1</v>
      </c>
      <c r="J108" s="136" t="s">
        <v>38</v>
      </c>
      <c r="K108" s="136" t="s">
        <v>1298</v>
      </c>
      <c r="L108" s="299">
        <v>3.3469203E7</v>
      </c>
      <c r="M108" s="317" t="b">
        <v>0</v>
      </c>
      <c r="N108" s="317" t="b">
        <v>1</v>
      </c>
      <c r="O108" s="317" t="b">
        <v>0</v>
      </c>
      <c r="P108" s="317" t="b">
        <v>0</v>
      </c>
      <c r="Q108" s="317" t="b">
        <v>0</v>
      </c>
      <c r="R108" s="317" t="b">
        <v>0</v>
      </c>
      <c r="S108" s="317" t="b">
        <v>0</v>
      </c>
      <c r="T108" s="317" t="b">
        <v>0</v>
      </c>
      <c r="U108" s="317" t="b">
        <v>1</v>
      </c>
      <c r="V108" s="136" t="s">
        <v>1303</v>
      </c>
      <c r="W108" s="136" t="s">
        <v>1303</v>
      </c>
      <c r="X108" s="136" t="s">
        <v>1324</v>
      </c>
      <c r="Y108" s="136" t="s">
        <v>1303</v>
      </c>
      <c r="Z108" s="136" t="s">
        <v>1303</v>
      </c>
    </row>
    <row r="109">
      <c r="A109" s="136" t="s">
        <v>846</v>
      </c>
      <c r="B109" s="316">
        <v>44503.0</v>
      </c>
      <c r="C109" s="96"/>
      <c r="D109" s="299">
        <v>10152.0</v>
      </c>
      <c r="E109" s="136" t="s">
        <v>852</v>
      </c>
      <c r="F109" s="317" t="b">
        <v>0</v>
      </c>
      <c r="G109" s="317" t="b">
        <v>0</v>
      </c>
      <c r="H109" s="317" t="b">
        <v>0</v>
      </c>
      <c r="I109" s="317" t="b">
        <v>1</v>
      </c>
      <c r="J109" s="136" t="s">
        <v>38</v>
      </c>
      <c r="K109" s="136" t="s">
        <v>1298</v>
      </c>
      <c r="L109" s="299">
        <v>3.3469203E7</v>
      </c>
      <c r="M109" s="317" t="b">
        <v>0</v>
      </c>
      <c r="N109" s="317" t="b">
        <v>0</v>
      </c>
      <c r="O109" s="317" t="b">
        <v>0</v>
      </c>
      <c r="P109" s="317" t="b">
        <v>0</v>
      </c>
      <c r="Q109" s="317" t="b">
        <v>1</v>
      </c>
      <c r="R109" s="317" t="b">
        <v>0</v>
      </c>
      <c r="S109" s="317" t="b">
        <v>0</v>
      </c>
      <c r="T109" s="317" t="b">
        <v>1</v>
      </c>
      <c r="U109" s="317" t="b">
        <v>1</v>
      </c>
      <c r="V109" s="136" t="s">
        <v>1303</v>
      </c>
      <c r="W109" s="136" t="s">
        <v>1303</v>
      </c>
      <c r="X109" s="136" t="s">
        <v>1303</v>
      </c>
      <c r="Y109" s="136" t="s">
        <v>1324</v>
      </c>
      <c r="Z109" s="136" t="s">
        <v>1303</v>
      </c>
    </row>
    <row r="110">
      <c r="A110" s="136" t="s">
        <v>846</v>
      </c>
      <c r="B110" s="316">
        <v>44742.0</v>
      </c>
      <c r="C110" s="316">
        <v>44745.0</v>
      </c>
      <c r="D110" s="299">
        <v>58.0</v>
      </c>
      <c r="E110" s="136" t="s">
        <v>853</v>
      </c>
      <c r="F110" s="317" t="b">
        <v>1</v>
      </c>
      <c r="G110" s="317" t="b">
        <v>0</v>
      </c>
      <c r="H110" s="317" t="b">
        <v>0</v>
      </c>
      <c r="I110" s="317" t="b">
        <v>0</v>
      </c>
      <c r="J110" s="136" t="s">
        <v>38</v>
      </c>
      <c r="K110" s="136" t="s">
        <v>1298</v>
      </c>
      <c r="L110" s="299">
        <v>3.3469203E7</v>
      </c>
      <c r="M110" s="317" t="b">
        <v>0</v>
      </c>
      <c r="N110" s="317" t="b">
        <v>0</v>
      </c>
      <c r="O110" s="317" t="b">
        <v>0</v>
      </c>
      <c r="P110" s="317" t="b">
        <v>0</v>
      </c>
      <c r="Q110" s="317" t="b">
        <v>0</v>
      </c>
      <c r="R110" s="317" t="b">
        <v>0</v>
      </c>
      <c r="S110" s="317" t="b">
        <v>0</v>
      </c>
      <c r="T110" s="317" t="b">
        <v>0</v>
      </c>
      <c r="U110" s="317" t="b">
        <v>0</v>
      </c>
      <c r="V110" s="136" t="s">
        <v>1324</v>
      </c>
      <c r="W110" s="136" t="s">
        <v>1303</v>
      </c>
      <c r="X110" s="136" t="s">
        <v>1303</v>
      </c>
      <c r="Y110" s="136" t="s">
        <v>1303</v>
      </c>
      <c r="Z110" s="136" t="s">
        <v>1324</v>
      </c>
    </row>
    <row r="111">
      <c r="A111" s="136" t="s">
        <v>861</v>
      </c>
      <c r="B111" s="316">
        <v>43077.0</v>
      </c>
      <c r="C111" s="96"/>
      <c r="D111" s="299">
        <v>44376.0</v>
      </c>
      <c r="E111" s="136" t="s">
        <v>870</v>
      </c>
      <c r="F111" s="317" t="b">
        <v>0</v>
      </c>
      <c r="G111" s="317" t="b">
        <v>0</v>
      </c>
      <c r="H111" s="317" t="b">
        <v>0</v>
      </c>
      <c r="I111" s="317" t="b">
        <v>1</v>
      </c>
      <c r="J111" s="136" t="s">
        <v>38</v>
      </c>
      <c r="K111" s="136" t="s">
        <v>1298</v>
      </c>
      <c r="L111" s="299">
        <v>2.9825964E7</v>
      </c>
      <c r="M111" s="317" t="b">
        <v>0</v>
      </c>
      <c r="N111" s="317" t="b">
        <v>0</v>
      </c>
      <c r="O111" s="317" t="b">
        <v>0</v>
      </c>
      <c r="P111" s="317" t="b">
        <v>0</v>
      </c>
      <c r="Q111" s="317" t="b">
        <v>0</v>
      </c>
      <c r="R111" s="317" t="b">
        <v>0</v>
      </c>
      <c r="S111" s="317" t="b">
        <v>0</v>
      </c>
      <c r="T111" s="317" t="b">
        <v>1</v>
      </c>
      <c r="U111" s="317" t="b">
        <v>1</v>
      </c>
      <c r="V111" s="136" t="s">
        <v>1303</v>
      </c>
      <c r="W111" s="136" t="s">
        <v>1303</v>
      </c>
      <c r="X111" s="136" t="s">
        <v>1303</v>
      </c>
      <c r="Y111" s="136" t="s">
        <v>1324</v>
      </c>
      <c r="Z111" s="136" t="s">
        <v>1303</v>
      </c>
    </row>
    <row r="112">
      <c r="A112" s="136" t="s">
        <v>953</v>
      </c>
      <c r="B112" s="316">
        <v>44633.0</v>
      </c>
      <c r="C112" s="96"/>
      <c r="D112" s="299">
        <v>7032.0</v>
      </c>
      <c r="E112" s="136" t="s">
        <v>956</v>
      </c>
      <c r="F112" s="317" t="b">
        <v>0</v>
      </c>
      <c r="G112" s="317" t="b">
        <v>0</v>
      </c>
      <c r="H112" s="317" t="b">
        <v>1</v>
      </c>
      <c r="I112" s="317" t="b">
        <v>0</v>
      </c>
      <c r="J112" s="136" t="s">
        <v>38</v>
      </c>
      <c r="K112" s="136" t="s">
        <v>1300</v>
      </c>
      <c r="L112" s="299">
        <v>1.45934462E8</v>
      </c>
      <c r="M112" s="317" t="b">
        <v>0</v>
      </c>
      <c r="N112" s="317" t="b">
        <v>0</v>
      </c>
      <c r="O112" s="317" t="b">
        <v>0</v>
      </c>
      <c r="P112" s="317" t="b">
        <v>1</v>
      </c>
      <c r="Q112" s="317" t="b">
        <v>0</v>
      </c>
      <c r="R112" s="317" t="b">
        <v>0</v>
      </c>
      <c r="S112" s="317" t="b">
        <v>0</v>
      </c>
      <c r="T112" s="317" t="b">
        <v>0</v>
      </c>
      <c r="U112" s="317" t="b">
        <v>1</v>
      </c>
      <c r="V112" s="136" t="s">
        <v>1303</v>
      </c>
      <c r="W112" s="136" t="s">
        <v>1324</v>
      </c>
      <c r="X112" s="136" t="s">
        <v>1303</v>
      </c>
      <c r="Y112" s="136" t="s">
        <v>1303</v>
      </c>
      <c r="Z112" s="136" t="s">
        <v>1324</v>
      </c>
    </row>
    <row r="113">
      <c r="A113" s="136" t="s">
        <v>953</v>
      </c>
      <c r="B113" s="316">
        <v>44619.0</v>
      </c>
      <c r="C113" s="96"/>
      <c r="D113" s="299">
        <v>7368.0</v>
      </c>
      <c r="E113" s="136" t="s">
        <v>957</v>
      </c>
      <c r="F113" s="317" t="b">
        <v>0</v>
      </c>
      <c r="G113" s="317" t="b">
        <v>0</v>
      </c>
      <c r="H113" s="317" t="b">
        <v>1</v>
      </c>
      <c r="I113" s="317" t="b">
        <v>0</v>
      </c>
      <c r="J113" s="136" t="s">
        <v>38</v>
      </c>
      <c r="K113" s="136" t="s">
        <v>1300</v>
      </c>
      <c r="L113" s="299">
        <v>1.45934462E8</v>
      </c>
      <c r="M113" s="317" t="b">
        <v>1</v>
      </c>
      <c r="N113" s="317" t="b">
        <v>0</v>
      </c>
      <c r="O113" s="317" t="b">
        <v>0</v>
      </c>
      <c r="P113" s="317" t="b">
        <v>0</v>
      </c>
      <c r="Q113" s="317" t="b">
        <v>0</v>
      </c>
      <c r="R113" s="317" t="b">
        <v>0</v>
      </c>
      <c r="S113" s="317" t="b">
        <v>0</v>
      </c>
      <c r="T113" s="317" t="b">
        <v>0</v>
      </c>
      <c r="U113" s="317" t="b">
        <v>1</v>
      </c>
      <c r="V113" s="136" t="s">
        <v>1303</v>
      </c>
      <c r="W113" s="136" t="s">
        <v>1324</v>
      </c>
      <c r="X113" s="136" t="s">
        <v>1303</v>
      </c>
      <c r="Y113" s="136" t="s">
        <v>1303</v>
      </c>
      <c r="Z113" s="136" t="s">
        <v>1324</v>
      </c>
    </row>
    <row r="114">
      <c r="A114" s="136" t="s">
        <v>953</v>
      </c>
      <c r="B114" s="316">
        <v>44618.0</v>
      </c>
      <c r="C114" s="96"/>
      <c r="D114" s="299">
        <v>7392.0</v>
      </c>
      <c r="E114" s="136" t="s">
        <v>958</v>
      </c>
      <c r="F114" s="317" t="b">
        <v>0</v>
      </c>
      <c r="G114" s="317" t="b">
        <v>0</v>
      </c>
      <c r="H114" s="317" t="b">
        <v>1</v>
      </c>
      <c r="I114" s="317" t="b">
        <v>0</v>
      </c>
      <c r="J114" s="136" t="s">
        <v>38</v>
      </c>
      <c r="K114" s="136" t="s">
        <v>1300</v>
      </c>
      <c r="L114" s="299">
        <v>1.45934462E8</v>
      </c>
      <c r="M114" s="317" t="b">
        <v>0</v>
      </c>
      <c r="N114" s="317" t="b">
        <v>1</v>
      </c>
      <c r="O114" s="317" t="b">
        <v>0</v>
      </c>
      <c r="P114" s="317" t="b">
        <v>0</v>
      </c>
      <c r="Q114" s="317" t="b">
        <v>0</v>
      </c>
      <c r="R114" s="317" t="b">
        <v>0</v>
      </c>
      <c r="S114" s="317" t="b">
        <v>0</v>
      </c>
      <c r="T114" s="317" t="b">
        <v>0</v>
      </c>
      <c r="U114" s="317" t="b">
        <v>1</v>
      </c>
      <c r="V114" s="136" t="s">
        <v>1303</v>
      </c>
      <c r="W114" s="136" t="s">
        <v>1324</v>
      </c>
      <c r="X114" s="136" t="s">
        <v>1303</v>
      </c>
      <c r="Y114" s="136" t="s">
        <v>1303</v>
      </c>
      <c r="Z114" s="136" t="s">
        <v>1324</v>
      </c>
    </row>
    <row r="115">
      <c r="A115" s="136" t="s">
        <v>953</v>
      </c>
      <c r="B115" s="316">
        <v>42691.0</v>
      </c>
      <c r="C115" s="96"/>
      <c r="D115" s="299">
        <v>53640.0</v>
      </c>
      <c r="E115" s="136" t="s">
        <v>970</v>
      </c>
      <c r="F115" s="317" t="b">
        <v>0</v>
      </c>
      <c r="G115" s="317" t="b">
        <v>0</v>
      </c>
      <c r="H115" s="317" t="b">
        <v>0</v>
      </c>
      <c r="I115" s="317" t="b">
        <v>1</v>
      </c>
      <c r="J115" s="136" t="s">
        <v>38</v>
      </c>
      <c r="K115" s="136" t="s">
        <v>1300</v>
      </c>
      <c r="L115" s="299">
        <v>1.45934462E8</v>
      </c>
      <c r="M115" s="317" t="b">
        <v>0</v>
      </c>
      <c r="N115" s="317" t="b">
        <v>0</v>
      </c>
      <c r="O115" s="317" t="b">
        <v>0</v>
      </c>
      <c r="P115" s="317" t="b">
        <v>0</v>
      </c>
      <c r="Q115" s="317" t="b">
        <v>0</v>
      </c>
      <c r="R115" s="317" t="b">
        <v>0</v>
      </c>
      <c r="S115" s="317" t="b">
        <v>1</v>
      </c>
      <c r="T115" s="317" t="b">
        <v>0</v>
      </c>
      <c r="U115" s="317" t="b">
        <v>1</v>
      </c>
      <c r="V115" s="136" t="s">
        <v>1303</v>
      </c>
      <c r="W115" s="136" t="s">
        <v>1303</v>
      </c>
      <c r="X115" s="136" t="s">
        <v>1303</v>
      </c>
      <c r="Y115" s="136" t="s">
        <v>1324</v>
      </c>
      <c r="Z115" s="136" t="s">
        <v>1303</v>
      </c>
    </row>
    <row r="116">
      <c r="A116" s="136" t="s">
        <v>986</v>
      </c>
      <c r="B116" s="316">
        <v>42856.0</v>
      </c>
      <c r="C116" s="96"/>
      <c r="D116" s="299">
        <v>49680.0</v>
      </c>
      <c r="E116" s="136" t="s">
        <v>1356</v>
      </c>
      <c r="F116" s="317" t="b">
        <v>0</v>
      </c>
      <c r="G116" s="317" t="b">
        <v>0</v>
      </c>
      <c r="H116" s="317" t="b">
        <v>1</v>
      </c>
      <c r="I116" s="317" t="b">
        <v>0</v>
      </c>
      <c r="J116" s="136" t="s">
        <v>38</v>
      </c>
      <c r="K116" s="136" t="s">
        <v>1300</v>
      </c>
      <c r="L116" s="299">
        <v>4.3733762E7</v>
      </c>
      <c r="M116" s="317" t="b">
        <v>0</v>
      </c>
      <c r="N116" s="317" t="b">
        <v>0</v>
      </c>
      <c r="O116" s="317" t="b">
        <v>0</v>
      </c>
      <c r="P116" s="317" t="b">
        <v>0</v>
      </c>
      <c r="Q116" s="317" t="b">
        <v>0</v>
      </c>
      <c r="R116" s="317" t="b">
        <v>0</v>
      </c>
      <c r="S116" s="317" t="b">
        <v>1</v>
      </c>
      <c r="T116" s="317" t="b">
        <v>1</v>
      </c>
      <c r="U116" s="317" t="b">
        <v>1</v>
      </c>
      <c r="V116" s="136" t="s">
        <v>1303</v>
      </c>
      <c r="W116" s="136" t="s">
        <v>1303</v>
      </c>
      <c r="X116" s="136" t="s">
        <v>1303</v>
      </c>
      <c r="Y116" s="136" t="s">
        <v>1324</v>
      </c>
      <c r="Z116" s="136" t="s">
        <v>1303</v>
      </c>
    </row>
    <row r="117">
      <c r="A117" s="136" t="s">
        <v>1006</v>
      </c>
      <c r="B117" s="316">
        <v>44835.0</v>
      </c>
      <c r="C117" s="316">
        <v>44835.0</v>
      </c>
      <c r="D117" s="299">
        <v>7.0</v>
      </c>
      <c r="E117" s="136" t="s">
        <v>1008</v>
      </c>
      <c r="F117" s="317" t="b">
        <v>1</v>
      </c>
      <c r="G117" s="317" t="b">
        <v>0</v>
      </c>
      <c r="H117" s="317" t="b">
        <v>0</v>
      </c>
      <c r="I117" s="317" t="b">
        <v>0</v>
      </c>
      <c r="J117" s="136" t="s">
        <v>38</v>
      </c>
      <c r="K117" s="136" t="s">
        <v>1301</v>
      </c>
      <c r="L117" s="299">
        <v>1.1326616E7</v>
      </c>
      <c r="M117" s="317" t="b">
        <v>0</v>
      </c>
      <c r="N117" s="317" t="b">
        <v>0</v>
      </c>
      <c r="O117" s="317" t="b">
        <v>0</v>
      </c>
      <c r="P117" s="317" t="b">
        <v>0</v>
      </c>
      <c r="Q117" s="317" t="b">
        <v>0</v>
      </c>
      <c r="R117" s="317" t="b">
        <v>0</v>
      </c>
      <c r="S117" s="317" t="b">
        <v>0</v>
      </c>
      <c r="T117" s="317" t="b">
        <v>0</v>
      </c>
      <c r="U117" s="317" t="b">
        <v>0</v>
      </c>
      <c r="V117" s="136" t="s">
        <v>1324</v>
      </c>
      <c r="W117" s="136" t="s">
        <v>1303</v>
      </c>
      <c r="X117" s="136" t="s">
        <v>1303</v>
      </c>
      <c r="Y117" s="136" t="s">
        <v>1303</v>
      </c>
      <c r="Z117" s="136" t="s">
        <v>1324</v>
      </c>
    </row>
    <row r="118">
      <c r="A118" s="136" t="s">
        <v>1006</v>
      </c>
      <c r="B118" s="316">
        <v>44834.0</v>
      </c>
      <c r="C118" s="316">
        <v>44834.0</v>
      </c>
      <c r="D118" s="299">
        <v>7.0</v>
      </c>
      <c r="E118" s="136" t="s">
        <v>1009</v>
      </c>
      <c r="F118" s="317" t="b">
        <v>1</v>
      </c>
      <c r="G118" s="317" t="b">
        <v>0</v>
      </c>
      <c r="H118" s="317" t="b">
        <v>0</v>
      </c>
      <c r="I118" s="317" t="b">
        <v>0</v>
      </c>
      <c r="J118" s="136" t="s">
        <v>38</v>
      </c>
      <c r="K118" s="136" t="s">
        <v>1301</v>
      </c>
      <c r="L118" s="299">
        <v>1.1326616E7</v>
      </c>
      <c r="M118" s="317" t="b">
        <v>0</v>
      </c>
      <c r="N118" s="317" t="b">
        <v>0</v>
      </c>
      <c r="O118" s="317" t="b">
        <v>0</v>
      </c>
      <c r="P118" s="317" t="b">
        <v>0</v>
      </c>
      <c r="Q118" s="317" t="b">
        <v>0</v>
      </c>
      <c r="R118" s="317" t="b">
        <v>0</v>
      </c>
      <c r="S118" s="317" t="b">
        <v>0</v>
      </c>
      <c r="T118" s="317" t="b">
        <v>0</v>
      </c>
      <c r="U118" s="317" t="b">
        <v>0</v>
      </c>
      <c r="V118" s="136" t="s">
        <v>1324</v>
      </c>
      <c r="W118" s="136" t="s">
        <v>1303</v>
      </c>
      <c r="X118" s="136" t="s">
        <v>1303</v>
      </c>
      <c r="Y118" s="136" t="s">
        <v>1303</v>
      </c>
      <c r="Z118" s="136" t="s">
        <v>1324</v>
      </c>
    </row>
    <row r="119">
      <c r="A119" s="136" t="s">
        <v>1006</v>
      </c>
      <c r="B119" s="316">
        <v>44757.0</v>
      </c>
      <c r="C119" s="316">
        <v>44757.0</v>
      </c>
      <c r="D119" s="299">
        <v>1.0</v>
      </c>
      <c r="E119" s="136" t="s">
        <v>1010</v>
      </c>
      <c r="F119" s="317" t="b">
        <v>1</v>
      </c>
      <c r="G119" s="317" t="b">
        <v>0</v>
      </c>
      <c r="H119" s="317" t="b">
        <v>0</v>
      </c>
      <c r="I119" s="317" t="b">
        <v>0</v>
      </c>
      <c r="J119" s="136" t="s">
        <v>38</v>
      </c>
      <c r="K119" s="136" t="s">
        <v>1301</v>
      </c>
      <c r="L119" s="299">
        <v>1.1326616E7</v>
      </c>
      <c r="M119" s="317" t="b">
        <v>0</v>
      </c>
      <c r="N119" s="317" t="b">
        <v>0</v>
      </c>
      <c r="O119" s="317" t="b">
        <v>0</v>
      </c>
      <c r="P119" s="317" t="b">
        <v>0</v>
      </c>
      <c r="Q119" s="317" t="b">
        <v>0</v>
      </c>
      <c r="R119" s="317" t="b">
        <v>0</v>
      </c>
      <c r="S119" s="317" t="b">
        <v>0</v>
      </c>
      <c r="T119" s="317" t="b">
        <v>0</v>
      </c>
      <c r="U119" s="317" t="b">
        <v>0</v>
      </c>
      <c r="V119" s="136" t="s">
        <v>1324</v>
      </c>
      <c r="W119" s="136" t="s">
        <v>1303</v>
      </c>
      <c r="X119" s="136" t="s">
        <v>1303</v>
      </c>
      <c r="Y119" s="136" t="s">
        <v>1303</v>
      </c>
      <c r="Z119" s="136" t="s">
        <v>1324</v>
      </c>
    </row>
    <row r="120">
      <c r="A120" s="136" t="s">
        <v>1058</v>
      </c>
      <c r="B120" s="316">
        <v>44638.0</v>
      </c>
      <c r="C120" s="316">
        <v>44640.0</v>
      </c>
      <c r="D120" s="299">
        <v>48.0</v>
      </c>
      <c r="E120" s="136" t="s">
        <v>1062</v>
      </c>
      <c r="F120" s="317" t="b">
        <v>0</v>
      </c>
      <c r="G120" s="317" t="b">
        <v>0</v>
      </c>
      <c r="H120" s="317" t="b">
        <v>1</v>
      </c>
      <c r="I120" s="317" t="b">
        <v>0</v>
      </c>
      <c r="J120" s="136" t="s">
        <v>38</v>
      </c>
      <c r="K120" s="136" t="s">
        <v>1302</v>
      </c>
      <c r="L120" s="299">
        <v>2.12559417E8</v>
      </c>
      <c r="M120" s="317" t="b">
        <v>0</v>
      </c>
      <c r="N120" s="317" t="b">
        <v>0</v>
      </c>
      <c r="O120" s="317" t="b">
        <v>0</v>
      </c>
      <c r="P120" s="317" t="b">
        <v>0</v>
      </c>
      <c r="Q120" s="317" t="b">
        <v>1</v>
      </c>
      <c r="R120" s="317" t="b">
        <v>0</v>
      </c>
      <c r="S120" s="317" t="b">
        <v>0</v>
      </c>
      <c r="T120" s="317" t="b">
        <v>0</v>
      </c>
      <c r="U120" s="317" t="b">
        <v>1</v>
      </c>
      <c r="V120" s="136" t="s">
        <v>1324</v>
      </c>
      <c r="W120" s="136" t="s">
        <v>1303</v>
      </c>
      <c r="X120" s="136" t="s">
        <v>1303</v>
      </c>
      <c r="Y120" s="136" t="s">
        <v>1303</v>
      </c>
      <c r="Z120" s="136" t="s">
        <v>1324</v>
      </c>
    </row>
    <row r="121">
      <c r="A121" s="136" t="s">
        <v>417</v>
      </c>
      <c r="B121" s="316">
        <v>44898.0</v>
      </c>
      <c r="C121" s="316">
        <v>44899.0</v>
      </c>
      <c r="D121" s="299">
        <v>24.0</v>
      </c>
      <c r="E121" s="136" t="s">
        <v>504</v>
      </c>
      <c r="F121" s="317" t="b">
        <v>1</v>
      </c>
      <c r="G121" s="317" t="b">
        <v>0</v>
      </c>
      <c r="H121" s="317" t="b">
        <v>0</v>
      </c>
      <c r="I121" s="317" t="b">
        <v>0</v>
      </c>
      <c r="J121" s="136" t="s">
        <v>486</v>
      </c>
      <c r="K121" s="136" t="s">
        <v>1298</v>
      </c>
      <c r="L121" s="299">
        <v>1.380004385E9</v>
      </c>
      <c r="M121" s="317" t="b">
        <v>0</v>
      </c>
      <c r="N121" s="317" t="b">
        <v>0</v>
      </c>
      <c r="O121" s="317" t="b">
        <v>0</v>
      </c>
      <c r="P121" s="317" t="b">
        <v>0</v>
      </c>
      <c r="Q121" s="317" t="b">
        <v>0</v>
      </c>
      <c r="R121" s="317" t="b">
        <v>0</v>
      </c>
      <c r="S121" s="317" t="b">
        <v>0</v>
      </c>
      <c r="T121" s="317" t="b">
        <v>0</v>
      </c>
      <c r="U121" s="317" t="b">
        <v>0</v>
      </c>
      <c r="V121" s="136" t="s">
        <v>1324</v>
      </c>
      <c r="W121" s="136" t="s">
        <v>1303</v>
      </c>
      <c r="X121" s="136" t="s">
        <v>1303</v>
      </c>
      <c r="Y121" s="136" t="s">
        <v>1303</v>
      </c>
      <c r="Z121" s="136" t="s">
        <v>1324</v>
      </c>
    </row>
    <row r="122">
      <c r="A122" s="136" t="s">
        <v>417</v>
      </c>
      <c r="B122" s="316">
        <v>44887.0</v>
      </c>
      <c r="C122" s="316">
        <v>44889.0</v>
      </c>
      <c r="D122" s="299">
        <v>48.0</v>
      </c>
      <c r="E122" s="136" t="s">
        <v>505</v>
      </c>
      <c r="F122" s="317" t="b">
        <v>0</v>
      </c>
      <c r="G122" s="317" t="b">
        <v>0</v>
      </c>
      <c r="H122" s="317" t="b">
        <v>1</v>
      </c>
      <c r="I122" s="317" t="b">
        <v>0</v>
      </c>
      <c r="J122" s="136" t="s">
        <v>486</v>
      </c>
      <c r="K122" s="136" t="s">
        <v>1298</v>
      </c>
      <c r="L122" s="299">
        <v>1.380004385E9</v>
      </c>
      <c r="M122" s="317" t="b">
        <v>0</v>
      </c>
      <c r="N122" s="317" t="b">
        <v>0</v>
      </c>
      <c r="O122" s="317" t="b">
        <v>0</v>
      </c>
      <c r="P122" s="317" t="b">
        <v>0</v>
      </c>
      <c r="Q122" s="317" t="b">
        <v>0</v>
      </c>
      <c r="R122" s="317" t="b">
        <v>0</v>
      </c>
      <c r="S122" s="317" t="b">
        <v>0</v>
      </c>
      <c r="T122" s="317" t="b">
        <v>0</v>
      </c>
      <c r="U122" s="317" t="b">
        <v>0</v>
      </c>
      <c r="V122" s="136" t="s">
        <v>1324</v>
      </c>
      <c r="W122" s="136" t="s">
        <v>1303</v>
      </c>
      <c r="X122" s="136" t="s">
        <v>1303</v>
      </c>
      <c r="Y122" s="136" t="s">
        <v>1303</v>
      </c>
      <c r="Z122" s="136" t="s">
        <v>1324</v>
      </c>
    </row>
    <row r="123">
      <c r="A123" s="136" t="s">
        <v>417</v>
      </c>
      <c r="B123" s="316">
        <v>44878.0</v>
      </c>
      <c r="C123" s="316">
        <v>44878.0</v>
      </c>
      <c r="D123" s="299">
        <v>24.0</v>
      </c>
      <c r="E123" s="136" t="s">
        <v>506</v>
      </c>
      <c r="F123" s="317" t="b">
        <v>1</v>
      </c>
      <c r="G123" s="317" t="b">
        <v>0</v>
      </c>
      <c r="H123" s="317" t="b">
        <v>0</v>
      </c>
      <c r="I123" s="317" t="b">
        <v>0</v>
      </c>
      <c r="J123" s="136" t="s">
        <v>486</v>
      </c>
      <c r="K123" s="136" t="s">
        <v>1298</v>
      </c>
      <c r="L123" s="299">
        <v>1.380004385E9</v>
      </c>
      <c r="M123" s="317" t="b">
        <v>0</v>
      </c>
      <c r="N123" s="317" t="b">
        <v>0</v>
      </c>
      <c r="O123" s="317" t="b">
        <v>0</v>
      </c>
      <c r="P123" s="317" t="b">
        <v>0</v>
      </c>
      <c r="Q123" s="317" t="b">
        <v>0</v>
      </c>
      <c r="R123" s="317" t="b">
        <v>0</v>
      </c>
      <c r="S123" s="317" t="b">
        <v>0</v>
      </c>
      <c r="T123" s="317" t="b">
        <v>0</v>
      </c>
      <c r="U123" s="317" t="b">
        <v>0</v>
      </c>
      <c r="V123" s="136" t="s">
        <v>1324</v>
      </c>
      <c r="W123" s="136" t="s">
        <v>1303</v>
      </c>
      <c r="X123" s="136" t="s">
        <v>1303</v>
      </c>
      <c r="Y123" s="136" t="s">
        <v>1303</v>
      </c>
      <c r="Z123" s="136" t="s">
        <v>1324</v>
      </c>
    </row>
    <row r="124">
      <c r="A124" s="136" t="s">
        <v>417</v>
      </c>
      <c r="B124" s="316">
        <v>44761.0</v>
      </c>
      <c r="C124" s="316">
        <v>44762.0</v>
      </c>
      <c r="D124" s="299">
        <v>24.0</v>
      </c>
      <c r="E124" s="136" t="s">
        <v>507</v>
      </c>
      <c r="F124" s="317" t="b">
        <v>1</v>
      </c>
      <c r="G124" s="317" t="b">
        <v>0</v>
      </c>
      <c r="H124" s="317" t="b">
        <v>0</v>
      </c>
      <c r="I124" s="317" t="b">
        <v>0</v>
      </c>
      <c r="J124" s="136" t="s">
        <v>486</v>
      </c>
      <c r="K124" s="136" t="s">
        <v>1298</v>
      </c>
      <c r="L124" s="299">
        <v>1.380004385E9</v>
      </c>
      <c r="M124" s="317" t="b">
        <v>0</v>
      </c>
      <c r="N124" s="317" t="b">
        <v>0</v>
      </c>
      <c r="O124" s="317" t="b">
        <v>0</v>
      </c>
      <c r="P124" s="317" t="b">
        <v>0</v>
      </c>
      <c r="Q124" s="317" t="b">
        <v>0</v>
      </c>
      <c r="R124" s="317" t="b">
        <v>0</v>
      </c>
      <c r="S124" s="317" t="b">
        <v>0</v>
      </c>
      <c r="T124" s="317" t="b">
        <v>0</v>
      </c>
      <c r="U124" s="317" t="b">
        <v>0</v>
      </c>
      <c r="V124" s="136" t="s">
        <v>1324</v>
      </c>
      <c r="W124" s="136" t="s">
        <v>1303</v>
      </c>
      <c r="X124" s="136" t="s">
        <v>1303</v>
      </c>
      <c r="Y124" s="136" t="s">
        <v>1303</v>
      </c>
      <c r="Z124" s="136" t="s">
        <v>1324</v>
      </c>
    </row>
    <row r="125">
      <c r="A125" s="136" t="s">
        <v>417</v>
      </c>
      <c r="B125" s="316">
        <v>44729.0</v>
      </c>
      <c r="C125" s="316">
        <v>44731.0</v>
      </c>
      <c r="D125" s="299">
        <v>48.0</v>
      </c>
      <c r="E125" s="136" t="s">
        <v>508</v>
      </c>
      <c r="F125" s="317" t="b">
        <v>1</v>
      </c>
      <c r="G125" s="317" t="b">
        <v>0</v>
      </c>
      <c r="H125" s="317" t="b">
        <v>0</v>
      </c>
      <c r="I125" s="317" t="b">
        <v>0</v>
      </c>
      <c r="J125" s="136" t="s">
        <v>486</v>
      </c>
      <c r="K125" s="136" t="s">
        <v>1298</v>
      </c>
      <c r="L125" s="299">
        <v>1.380004385E9</v>
      </c>
      <c r="M125" s="317" t="b">
        <v>0</v>
      </c>
      <c r="N125" s="317" t="b">
        <v>0</v>
      </c>
      <c r="O125" s="317" t="b">
        <v>0</v>
      </c>
      <c r="P125" s="317" t="b">
        <v>0</v>
      </c>
      <c r="Q125" s="317" t="b">
        <v>0</v>
      </c>
      <c r="R125" s="317" t="b">
        <v>0</v>
      </c>
      <c r="S125" s="317" t="b">
        <v>0</v>
      </c>
      <c r="T125" s="317" t="b">
        <v>0</v>
      </c>
      <c r="U125" s="317" t="b">
        <v>0</v>
      </c>
      <c r="V125" s="136" t="s">
        <v>1324</v>
      </c>
      <c r="W125" s="136" t="s">
        <v>1303</v>
      </c>
      <c r="X125" s="136" t="s">
        <v>1303</v>
      </c>
      <c r="Y125" s="136" t="s">
        <v>1303</v>
      </c>
      <c r="Z125" s="136" t="s">
        <v>1324</v>
      </c>
    </row>
    <row r="126">
      <c r="A126" s="136" t="s">
        <v>417</v>
      </c>
      <c r="B126" s="316">
        <v>44728.0</v>
      </c>
      <c r="C126" s="316">
        <v>44729.0</v>
      </c>
      <c r="D126" s="299">
        <v>24.0</v>
      </c>
      <c r="E126" s="136" t="s">
        <v>509</v>
      </c>
      <c r="F126" s="317" t="b">
        <v>1</v>
      </c>
      <c r="G126" s="317" t="b">
        <v>0</v>
      </c>
      <c r="H126" s="317" t="b">
        <v>0</v>
      </c>
      <c r="I126" s="317" t="b">
        <v>0</v>
      </c>
      <c r="J126" s="136" t="s">
        <v>486</v>
      </c>
      <c r="K126" s="136" t="s">
        <v>1298</v>
      </c>
      <c r="L126" s="299">
        <v>1.380004385E9</v>
      </c>
      <c r="M126" s="317" t="b">
        <v>0</v>
      </c>
      <c r="N126" s="317" t="b">
        <v>0</v>
      </c>
      <c r="O126" s="317" t="b">
        <v>0</v>
      </c>
      <c r="P126" s="317" t="b">
        <v>0</v>
      </c>
      <c r="Q126" s="317" t="b">
        <v>0</v>
      </c>
      <c r="R126" s="317" t="b">
        <v>0</v>
      </c>
      <c r="S126" s="317" t="b">
        <v>0</v>
      </c>
      <c r="T126" s="317" t="b">
        <v>0</v>
      </c>
      <c r="U126" s="317" t="b">
        <v>0</v>
      </c>
      <c r="V126" s="136" t="s">
        <v>1324</v>
      </c>
      <c r="W126" s="136" t="s">
        <v>1303</v>
      </c>
      <c r="X126" s="136" t="s">
        <v>1303</v>
      </c>
      <c r="Y126" s="136" t="s">
        <v>1303</v>
      </c>
      <c r="Z126" s="136" t="s">
        <v>1324</v>
      </c>
    </row>
    <row r="127">
      <c r="A127" s="136" t="s">
        <v>417</v>
      </c>
      <c r="B127" s="316">
        <v>44723.0</v>
      </c>
      <c r="C127" s="316">
        <v>44726.0</v>
      </c>
      <c r="D127" s="299">
        <v>62.0</v>
      </c>
      <c r="E127" s="136" t="s">
        <v>510</v>
      </c>
      <c r="F127" s="317" t="b">
        <v>1</v>
      </c>
      <c r="G127" s="317" t="b">
        <v>0</v>
      </c>
      <c r="H127" s="317" t="b">
        <v>0</v>
      </c>
      <c r="I127" s="317" t="b">
        <v>0</v>
      </c>
      <c r="J127" s="136" t="s">
        <v>486</v>
      </c>
      <c r="K127" s="136" t="s">
        <v>1298</v>
      </c>
      <c r="L127" s="299">
        <v>1.380004385E9</v>
      </c>
      <c r="M127" s="317" t="b">
        <v>0</v>
      </c>
      <c r="N127" s="317" t="b">
        <v>0</v>
      </c>
      <c r="O127" s="317" t="b">
        <v>0</v>
      </c>
      <c r="P127" s="317" t="b">
        <v>0</v>
      </c>
      <c r="Q127" s="317" t="b">
        <v>0</v>
      </c>
      <c r="R127" s="317" t="b">
        <v>0</v>
      </c>
      <c r="S127" s="317" t="b">
        <v>0</v>
      </c>
      <c r="T127" s="317" t="b">
        <v>0</v>
      </c>
      <c r="U127" s="317" t="b">
        <v>0</v>
      </c>
      <c r="V127" s="136" t="s">
        <v>1324</v>
      </c>
      <c r="W127" s="136" t="s">
        <v>1303</v>
      </c>
      <c r="X127" s="136" t="s">
        <v>1303</v>
      </c>
      <c r="Y127" s="136" t="s">
        <v>1303</v>
      </c>
      <c r="Z127" s="136" t="s">
        <v>1324</v>
      </c>
    </row>
    <row r="128">
      <c r="A128" s="136" t="s">
        <v>417</v>
      </c>
      <c r="B128" s="316">
        <v>44722.0</v>
      </c>
      <c r="C128" s="316">
        <v>44725.0</v>
      </c>
      <c r="D128" s="299">
        <v>59.0</v>
      </c>
      <c r="E128" s="136" t="s">
        <v>511</v>
      </c>
      <c r="F128" s="317" t="b">
        <v>1</v>
      </c>
      <c r="G128" s="317" t="b">
        <v>0</v>
      </c>
      <c r="H128" s="317" t="b">
        <v>0</v>
      </c>
      <c r="I128" s="317" t="b">
        <v>0</v>
      </c>
      <c r="J128" s="136" t="s">
        <v>486</v>
      </c>
      <c r="K128" s="136" t="s">
        <v>1298</v>
      </c>
      <c r="L128" s="299">
        <v>1.380004385E9</v>
      </c>
      <c r="M128" s="317" t="b">
        <v>0</v>
      </c>
      <c r="N128" s="317" t="b">
        <v>0</v>
      </c>
      <c r="O128" s="317" t="b">
        <v>0</v>
      </c>
      <c r="P128" s="317" t="b">
        <v>0</v>
      </c>
      <c r="Q128" s="317" t="b">
        <v>0</v>
      </c>
      <c r="R128" s="317" t="b">
        <v>0</v>
      </c>
      <c r="S128" s="317" t="b">
        <v>0</v>
      </c>
      <c r="T128" s="317" t="b">
        <v>0</v>
      </c>
      <c r="U128" s="317" t="b">
        <v>0</v>
      </c>
      <c r="V128" s="136" t="s">
        <v>1324</v>
      </c>
      <c r="W128" s="136" t="s">
        <v>1303</v>
      </c>
      <c r="X128" s="136" t="s">
        <v>1303</v>
      </c>
      <c r="Y128" s="136" t="s">
        <v>1303</v>
      </c>
      <c r="Z128" s="136" t="s">
        <v>1324</v>
      </c>
    </row>
    <row r="129">
      <c r="A129" s="136" t="s">
        <v>417</v>
      </c>
      <c r="B129" s="316">
        <v>44722.0</v>
      </c>
      <c r="C129" s="316">
        <v>44723.0</v>
      </c>
      <c r="D129" s="299">
        <v>24.0</v>
      </c>
      <c r="E129" s="136" t="s">
        <v>512</v>
      </c>
      <c r="F129" s="317" t="b">
        <v>1</v>
      </c>
      <c r="G129" s="317" t="b">
        <v>0</v>
      </c>
      <c r="H129" s="317" t="b">
        <v>0</v>
      </c>
      <c r="I129" s="317" t="b">
        <v>0</v>
      </c>
      <c r="J129" s="136" t="s">
        <v>486</v>
      </c>
      <c r="K129" s="136" t="s">
        <v>1298</v>
      </c>
      <c r="L129" s="299">
        <v>1.380004385E9</v>
      </c>
      <c r="M129" s="317" t="b">
        <v>0</v>
      </c>
      <c r="N129" s="317" t="b">
        <v>0</v>
      </c>
      <c r="O129" s="317" t="b">
        <v>0</v>
      </c>
      <c r="P129" s="317" t="b">
        <v>0</v>
      </c>
      <c r="Q129" s="317" t="b">
        <v>0</v>
      </c>
      <c r="R129" s="317" t="b">
        <v>0</v>
      </c>
      <c r="S129" s="317" t="b">
        <v>0</v>
      </c>
      <c r="T129" s="317" t="b">
        <v>0</v>
      </c>
      <c r="U129" s="317" t="b">
        <v>0</v>
      </c>
      <c r="V129" s="136" t="s">
        <v>1324</v>
      </c>
      <c r="W129" s="136" t="s">
        <v>1303</v>
      </c>
      <c r="X129" s="136" t="s">
        <v>1303</v>
      </c>
      <c r="Y129" s="136" t="s">
        <v>1303</v>
      </c>
      <c r="Z129" s="136" t="s">
        <v>1324</v>
      </c>
    </row>
    <row r="130">
      <c r="A130" s="136" t="s">
        <v>604</v>
      </c>
      <c r="B130" s="316">
        <v>44866.0</v>
      </c>
      <c r="C130" s="316">
        <v>44867.0</v>
      </c>
      <c r="D130" s="299">
        <v>23.0</v>
      </c>
      <c r="E130" s="136" t="s">
        <v>616</v>
      </c>
      <c r="F130" s="317" t="b">
        <v>0</v>
      </c>
      <c r="G130" s="317" t="b">
        <v>0</v>
      </c>
      <c r="H130" s="317" t="b">
        <v>1</v>
      </c>
      <c r="I130" s="317" t="b">
        <v>0</v>
      </c>
      <c r="J130" s="136" t="s">
        <v>603</v>
      </c>
      <c r="K130" s="136" t="s">
        <v>1298</v>
      </c>
      <c r="L130" s="299">
        <v>1.360632E7</v>
      </c>
      <c r="M130" s="317" t="b">
        <v>0</v>
      </c>
      <c r="N130" s="317" t="b">
        <v>0</v>
      </c>
      <c r="O130" s="317" t="b">
        <v>0</v>
      </c>
      <c r="P130" s="317" t="b">
        <v>0</v>
      </c>
      <c r="Q130" s="317" t="b">
        <v>0</v>
      </c>
      <c r="R130" s="317" t="b">
        <v>0</v>
      </c>
      <c r="S130" s="317" t="b">
        <v>0</v>
      </c>
      <c r="T130" s="317" t="b">
        <v>0</v>
      </c>
      <c r="U130" s="317" t="b">
        <v>0</v>
      </c>
      <c r="V130" s="136" t="s">
        <v>1324</v>
      </c>
      <c r="W130" s="136" t="s">
        <v>1303</v>
      </c>
      <c r="X130" s="136" t="s">
        <v>1303</v>
      </c>
      <c r="Y130" s="136" t="s">
        <v>1303</v>
      </c>
      <c r="Z130" s="136" t="s">
        <v>1324</v>
      </c>
    </row>
    <row r="131">
      <c r="A131" s="136" t="s">
        <v>604</v>
      </c>
      <c r="B131" s="316">
        <v>44845.0</v>
      </c>
      <c r="C131" s="316">
        <v>44845.0</v>
      </c>
      <c r="D131" s="299">
        <v>6.0</v>
      </c>
      <c r="E131" s="136" t="s">
        <v>617</v>
      </c>
      <c r="F131" s="317" t="b">
        <v>0</v>
      </c>
      <c r="G131" s="317" t="b">
        <v>0</v>
      </c>
      <c r="H131" s="317" t="b">
        <v>1</v>
      </c>
      <c r="I131" s="317" t="b">
        <v>0</v>
      </c>
      <c r="J131" s="136" t="s">
        <v>603</v>
      </c>
      <c r="K131" s="136" t="s">
        <v>1298</v>
      </c>
      <c r="L131" s="299">
        <v>1.360632E7</v>
      </c>
      <c r="M131" s="317" t="b">
        <v>0</v>
      </c>
      <c r="N131" s="317" t="b">
        <v>0</v>
      </c>
      <c r="O131" s="317" t="b">
        <v>0</v>
      </c>
      <c r="P131" s="317" t="b">
        <v>0</v>
      </c>
      <c r="Q131" s="317" t="b">
        <v>0</v>
      </c>
      <c r="R131" s="317" t="b">
        <v>0</v>
      </c>
      <c r="S131" s="317" t="b">
        <v>0</v>
      </c>
      <c r="T131" s="317" t="b">
        <v>0</v>
      </c>
      <c r="U131" s="317" t="b">
        <v>0</v>
      </c>
      <c r="V131" s="136" t="s">
        <v>1324</v>
      </c>
      <c r="W131" s="136" t="s">
        <v>1303</v>
      </c>
      <c r="X131" s="136" t="s">
        <v>1303</v>
      </c>
      <c r="Y131" s="136" t="s">
        <v>1303</v>
      </c>
      <c r="Z131" s="136" t="s">
        <v>1324</v>
      </c>
    </row>
    <row r="132">
      <c r="A132" s="136" t="s">
        <v>604</v>
      </c>
      <c r="B132" s="316">
        <v>44844.0</v>
      </c>
      <c r="C132" s="316">
        <v>44844.0</v>
      </c>
      <c r="D132" s="299">
        <v>17.0</v>
      </c>
      <c r="E132" s="136" t="s">
        <v>618</v>
      </c>
      <c r="F132" s="317" t="b">
        <v>0</v>
      </c>
      <c r="G132" s="317" t="b">
        <v>0</v>
      </c>
      <c r="H132" s="317" t="b">
        <v>1</v>
      </c>
      <c r="I132" s="317" t="b">
        <v>0</v>
      </c>
      <c r="J132" s="136" t="s">
        <v>603</v>
      </c>
      <c r="K132" s="136" t="s">
        <v>1298</v>
      </c>
      <c r="L132" s="299">
        <v>1.360632E7</v>
      </c>
      <c r="M132" s="317" t="b">
        <v>0</v>
      </c>
      <c r="N132" s="317" t="b">
        <v>0</v>
      </c>
      <c r="O132" s="317" t="b">
        <v>0</v>
      </c>
      <c r="P132" s="317" t="b">
        <v>0</v>
      </c>
      <c r="Q132" s="317" t="b">
        <v>0</v>
      </c>
      <c r="R132" s="317" t="b">
        <v>0</v>
      </c>
      <c r="S132" s="317" t="b">
        <v>0</v>
      </c>
      <c r="T132" s="317" t="b">
        <v>0</v>
      </c>
      <c r="U132" s="317" t="b">
        <v>0</v>
      </c>
      <c r="V132" s="136" t="s">
        <v>1324</v>
      </c>
      <c r="W132" s="136" t="s">
        <v>1303</v>
      </c>
      <c r="X132" s="136" t="s">
        <v>1303</v>
      </c>
      <c r="Y132" s="136" t="s">
        <v>1303</v>
      </c>
      <c r="Z132" s="136" t="s">
        <v>1324</v>
      </c>
    </row>
    <row r="133">
      <c r="A133" s="136" t="s">
        <v>604</v>
      </c>
      <c r="B133" s="316">
        <v>44837.0</v>
      </c>
      <c r="C133" s="316">
        <v>44838.0</v>
      </c>
      <c r="D133" s="299">
        <v>26.0</v>
      </c>
      <c r="E133" s="136" t="s">
        <v>619</v>
      </c>
      <c r="F133" s="317" t="b">
        <v>0</v>
      </c>
      <c r="G133" s="317" t="b">
        <v>0</v>
      </c>
      <c r="H133" s="317" t="b">
        <v>1</v>
      </c>
      <c r="I133" s="317" t="b">
        <v>0</v>
      </c>
      <c r="J133" s="136" t="s">
        <v>603</v>
      </c>
      <c r="K133" s="136" t="s">
        <v>1298</v>
      </c>
      <c r="L133" s="299">
        <v>1.360632E7</v>
      </c>
      <c r="M133" s="317" t="b">
        <v>0</v>
      </c>
      <c r="N133" s="317" t="b">
        <v>0</v>
      </c>
      <c r="O133" s="317" t="b">
        <v>0</v>
      </c>
      <c r="P133" s="317" t="b">
        <v>0</v>
      </c>
      <c r="Q133" s="317" t="b">
        <v>0</v>
      </c>
      <c r="R133" s="317" t="b">
        <v>0</v>
      </c>
      <c r="S133" s="317" t="b">
        <v>0</v>
      </c>
      <c r="T133" s="317" t="b">
        <v>0</v>
      </c>
      <c r="U133" s="317" t="b">
        <v>0</v>
      </c>
      <c r="V133" s="136" t="s">
        <v>1324</v>
      </c>
      <c r="W133" s="136" t="s">
        <v>1303</v>
      </c>
      <c r="X133" s="136" t="s">
        <v>1303</v>
      </c>
      <c r="Y133" s="136" t="s">
        <v>1303</v>
      </c>
      <c r="Z133" s="136" t="s">
        <v>1324</v>
      </c>
    </row>
    <row r="134">
      <c r="A134" s="136" t="s">
        <v>604</v>
      </c>
      <c r="B134" s="316">
        <v>44814.0</v>
      </c>
      <c r="C134" s="316">
        <v>44814.0</v>
      </c>
      <c r="D134" s="299">
        <v>7.0</v>
      </c>
      <c r="E134" s="136" t="s">
        <v>620</v>
      </c>
      <c r="F134" s="317" t="b">
        <v>0</v>
      </c>
      <c r="G134" s="317" t="b">
        <v>0</v>
      </c>
      <c r="H134" s="317" t="b">
        <v>1</v>
      </c>
      <c r="I134" s="317" t="b">
        <v>0</v>
      </c>
      <c r="J134" s="136" t="s">
        <v>603</v>
      </c>
      <c r="K134" s="136" t="s">
        <v>1298</v>
      </c>
      <c r="L134" s="299">
        <v>1.360632E7</v>
      </c>
      <c r="M134" s="317" t="b">
        <v>0</v>
      </c>
      <c r="N134" s="317" t="b">
        <v>0</v>
      </c>
      <c r="O134" s="317" t="b">
        <v>0</v>
      </c>
      <c r="P134" s="317" t="b">
        <v>0</v>
      </c>
      <c r="Q134" s="317" t="b">
        <v>0</v>
      </c>
      <c r="R134" s="317" t="b">
        <v>0</v>
      </c>
      <c r="S134" s="317" t="b">
        <v>0</v>
      </c>
      <c r="T134" s="317" t="b">
        <v>0</v>
      </c>
      <c r="U134" s="317" t="b">
        <v>0</v>
      </c>
      <c r="V134" s="136" t="s">
        <v>1324</v>
      </c>
      <c r="W134" s="136" t="s">
        <v>1303</v>
      </c>
      <c r="X134" s="136" t="s">
        <v>1303</v>
      </c>
      <c r="Y134" s="136" t="s">
        <v>1303</v>
      </c>
      <c r="Z134" s="136" t="s">
        <v>1324</v>
      </c>
    </row>
    <row r="135">
      <c r="A135" s="136" t="s">
        <v>604</v>
      </c>
      <c r="B135" s="316">
        <v>44780.0</v>
      </c>
      <c r="C135" s="316">
        <v>44780.0</v>
      </c>
      <c r="D135" s="299">
        <v>12.0</v>
      </c>
      <c r="E135" s="136" t="s">
        <v>621</v>
      </c>
      <c r="F135" s="317" t="b">
        <v>0</v>
      </c>
      <c r="G135" s="317" t="b">
        <v>0</v>
      </c>
      <c r="H135" s="317" t="b">
        <v>1</v>
      </c>
      <c r="I135" s="317" t="b">
        <v>0</v>
      </c>
      <c r="J135" s="136" t="s">
        <v>603</v>
      </c>
      <c r="K135" s="136" t="s">
        <v>1298</v>
      </c>
      <c r="L135" s="299">
        <v>1.360632E7</v>
      </c>
      <c r="M135" s="317" t="b">
        <v>0</v>
      </c>
      <c r="N135" s="317" t="b">
        <v>0</v>
      </c>
      <c r="O135" s="317" t="b">
        <v>0</v>
      </c>
      <c r="P135" s="317" t="b">
        <v>0</v>
      </c>
      <c r="Q135" s="317" t="b">
        <v>0</v>
      </c>
      <c r="R135" s="317" t="b">
        <v>0</v>
      </c>
      <c r="S135" s="317" t="b">
        <v>0</v>
      </c>
      <c r="T135" s="317" t="b">
        <v>0</v>
      </c>
      <c r="U135" s="317" t="b">
        <v>0</v>
      </c>
      <c r="V135" s="136" t="s">
        <v>1324</v>
      </c>
      <c r="W135" s="136" t="s">
        <v>1303</v>
      </c>
      <c r="X135" s="136" t="s">
        <v>1303</v>
      </c>
      <c r="Y135" s="136" t="s">
        <v>1303</v>
      </c>
      <c r="Z135" s="136" t="s">
        <v>1324</v>
      </c>
    </row>
    <row r="136">
      <c r="A136" s="136" t="s">
        <v>604</v>
      </c>
      <c r="B136" s="316">
        <v>44778.0</v>
      </c>
      <c r="C136" s="316">
        <v>44779.0</v>
      </c>
      <c r="D136" s="299">
        <v>24.0</v>
      </c>
      <c r="E136" s="136" t="s">
        <v>622</v>
      </c>
      <c r="F136" s="317" t="b">
        <v>0</v>
      </c>
      <c r="G136" s="317" t="b">
        <v>0</v>
      </c>
      <c r="H136" s="317" t="b">
        <v>1</v>
      </c>
      <c r="I136" s="317" t="b">
        <v>0</v>
      </c>
      <c r="J136" s="136" t="s">
        <v>603</v>
      </c>
      <c r="K136" s="136" t="s">
        <v>1298</v>
      </c>
      <c r="L136" s="299">
        <v>1.360632E7</v>
      </c>
      <c r="M136" s="317" t="b">
        <v>0</v>
      </c>
      <c r="N136" s="317" t="b">
        <v>0</v>
      </c>
      <c r="O136" s="317" t="b">
        <v>0</v>
      </c>
      <c r="P136" s="317" t="b">
        <v>0</v>
      </c>
      <c r="Q136" s="317" t="b">
        <v>0</v>
      </c>
      <c r="R136" s="317" t="b">
        <v>0</v>
      </c>
      <c r="S136" s="317" t="b">
        <v>0</v>
      </c>
      <c r="T136" s="317" t="b">
        <v>0</v>
      </c>
      <c r="U136" s="317" t="b">
        <v>0</v>
      </c>
      <c r="V136" s="136" t="s">
        <v>1324</v>
      </c>
      <c r="W136" s="136" t="s">
        <v>1303</v>
      </c>
      <c r="X136" s="136" t="s">
        <v>1303</v>
      </c>
      <c r="Y136" s="136" t="s">
        <v>1303</v>
      </c>
      <c r="Z136" s="136" t="s">
        <v>1324</v>
      </c>
    </row>
    <row r="137">
      <c r="A137" s="136" t="s">
        <v>604</v>
      </c>
      <c r="B137" s="316">
        <v>44728.0</v>
      </c>
      <c r="C137" s="316">
        <v>44729.0</v>
      </c>
      <c r="D137" s="299">
        <v>24.0</v>
      </c>
      <c r="E137" s="136" t="s">
        <v>623</v>
      </c>
      <c r="F137" s="317" t="b">
        <v>0</v>
      </c>
      <c r="G137" s="317" t="b">
        <v>0</v>
      </c>
      <c r="H137" s="317" t="b">
        <v>1</v>
      </c>
      <c r="I137" s="317" t="b">
        <v>0</v>
      </c>
      <c r="J137" s="136" t="s">
        <v>603</v>
      </c>
      <c r="K137" s="136" t="s">
        <v>1298</v>
      </c>
      <c r="L137" s="299">
        <v>1.360632E7</v>
      </c>
      <c r="M137" s="317" t="b">
        <v>0</v>
      </c>
      <c r="N137" s="317" t="b">
        <v>0</v>
      </c>
      <c r="O137" s="317" t="b">
        <v>0</v>
      </c>
      <c r="P137" s="317" t="b">
        <v>0</v>
      </c>
      <c r="Q137" s="317" t="b">
        <v>0</v>
      </c>
      <c r="R137" s="317" t="b">
        <v>0</v>
      </c>
      <c r="S137" s="317" t="b">
        <v>0</v>
      </c>
      <c r="T137" s="317" t="b">
        <v>0</v>
      </c>
      <c r="U137" s="317" t="b">
        <v>0</v>
      </c>
      <c r="V137" s="136" t="s">
        <v>1324</v>
      </c>
      <c r="W137" s="136" t="s">
        <v>1303</v>
      </c>
      <c r="X137" s="136" t="s">
        <v>1303</v>
      </c>
      <c r="Y137" s="136" t="s">
        <v>1303</v>
      </c>
      <c r="Z137" s="136" t="s">
        <v>1324</v>
      </c>
    </row>
    <row r="138">
      <c r="A138" s="136" t="s">
        <v>604</v>
      </c>
      <c r="B138" s="316">
        <v>44722.0</v>
      </c>
      <c r="C138" s="316">
        <v>44723.0</v>
      </c>
      <c r="D138" s="299">
        <v>24.0</v>
      </c>
      <c r="E138" s="136" t="s">
        <v>624</v>
      </c>
      <c r="F138" s="317" t="b">
        <v>0</v>
      </c>
      <c r="G138" s="317" t="b">
        <v>0</v>
      </c>
      <c r="H138" s="317" t="b">
        <v>1</v>
      </c>
      <c r="I138" s="317" t="b">
        <v>0</v>
      </c>
      <c r="J138" s="136" t="s">
        <v>603</v>
      </c>
      <c r="K138" s="136" t="s">
        <v>1298</v>
      </c>
      <c r="L138" s="299">
        <v>1.360632E7</v>
      </c>
      <c r="M138" s="317" t="b">
        <v>0</v>
      </c>
      <c r="N138" s="317" t="b">
        <v>0</v>
      </c>
      <c r="O138" s="317" t="b">
        <v>0</v>
      </c>
      <c r="P138" s="317" t="b">
        <v>0</v>
      </c>
      <c r="Q138" s="317" t="b">
        <v>0</v>
      </c>
      <c r="R138" s="317" t="b">
        <v>0</v>
      </c>
      <c r="S138" s="317" t="b">
        <v>0</v>
      </c>
      <c r="T138" s="317" t="b">
        <v>0</v>
      </c>
      <c r="U138" s="317" t="b">
        <v>0</v>
      </c>
      <c r="V138" s="136" t="s">
        <v>1324</v>
      </c>
      <c r="W138" s="136" t="s">
        <v>1303</v>
      </c>
      <c r="X138" s="136" t="s">
        <v>1303</v>
      </c>
      <c r="Y138" s="136" t="s">
        <v>1303</v>
      </c>
      <c r="Z138" s="136" t="s">
        <v>1324</v>
      </c>
    </row>
    <row r="139">
      <c r="A139" s="136" t="s">
        <v>604</v>
      </c>
      <c r="B139" s="316">
        <v>44709.0</v>
      </c>
      <c r="C139" s="316">
        <v>44710.0</v>
      </c>
      <c r="D139" s="299">
        <v>18.0</v>
      </c>
      <c r="E139" s="136" t="s">
        <v>625</v>
      </c>
      <c r="F139" s="317" t="b">
        <v>0</v>
      </c>
      <c r="G139" s="317" t="b">
        <v>0</v>
      </c>
      <c r="H139" s="317" t="b">
        <v>1</v>
      </c>
      <c r="I139" s="317" t="b">
        <v>0</v>
      </c>
      <c r="J139" s="136" t="s">
        <v>603</v>
      </c>
      <c r="K139" s="136" t="s">
        <v>1298</v>
      </c>
      <c r="L139" s="299">
        <v>1.360632E7</v>
      </c>
      <c r="M139" s="317" t="b">
        <v>0</v>
      </c>
      <c r="N139" s="317" t="b">
        <v>0</v>
      </c>
      <c r="O139" s="317" t="b">
        <v>0</v>
      </c>
      <c r="P139" s="317" t="b">
        <v>0</v>
      </c>
      <c r="Q139" s="317" t="b">
        <v>0</v>
      </c>
      <c r="R139" s="317" t="b">
        <v>0</v>
      </c>
      <c r="S139" s="317" t="b">
        <v>0</v>
      </c>
      <c r="T139" s="317" t="b">
        <v>0</v>
      </c>
      <c r="U139" s="317" t="b">
        <v>0</v>
      </c>
      <c r="V139" s="136" t="s">
        <v>1324</v>
      </c>
      <c r="W139" s="136" t="s">
        <v>1303</v>
      </c>
      <c r="X139" s="136" t="s">
        <v>1303</v>
      </c>
      <c r="Y139" s="136" t="s">
        <v>1303</v>
      </c>
      <c r="Z139" s="136" t="s">
        <v>1324</v>
      </c>
    </row>
    <row r="140">
      <c r="A140" s="136" t="s">
        <v>604</v>
      </c>
      <c r="B140" s="316">
        <v>44708.0</v>
      </c>
      <c r="C140" s="316">
        <v>44708.0</v>
      </c>
      <c r="D140" s="299">
        <v>9.0</v>
      </c>
      <c r="E140" s="136" t="s">
        <v>626</v>
      </c>
      <c r="F140" s="317" t="b">
        <v>0</v>
      </c>
      <c r="G140" s="317" t="b">
        <v>0</v>
      </c>
      <c r="H140" s="317" t="b">
        <v>1</v>
      </c>
      <c r="I140" s="317" t="b">
        <v>0</v>
      </c>
      <c r="J140" s="136" t="s">
        <v>603</v>
      </c>
      <c r="K140" s="136" t="s">
        <v>1298</v>
      </c>
      <c r="L140" s="299">
        <v>1.360632E7</v>
      </c>
      <c r="M140" s="317" t="b">
        <v>0</v>
      </c>
      <c r="N140" s="317" t="b">
        <v>0</v>
      </c>
      <c r="O140" s="317" t="b">
        <v>0</v>
      </c>
      <c r="P140" s="317" t="b">
        <v>0</v>
      </c>
      <c r="Q140" s="317" t="b">
        <v>0</v>
      </c>
      <c r="R140" s="317" t="b">
        <v>0</v>
      </c>
      <c r="S140" s="317" t="b">
        <v>0</v>
      </c>
      <c r="T140" s="317" t="b">
        <v>0</v>
      </c>
      <c r="U140" s="317" t="b">
        <v>0</v>
      </c>
      <c r="V140" s="136" t="s">
        <v>1324</v>
      </c>
      <c r="W140" s="136" t="s">
        <v>1303</v>
      </c>
      <c r="X140" s="136" t="s">
        <v>1303</v>
      </c>
      <c r="Y140" s="136" t="s">
        <v>1303</v>
      </c>
      <c r="Z140" s="136" t="s">
        <v>1324</v>
      </c>
    </row>
    <row r="141">
      <c r="A141" s="136" t="s">
        <v>604</v>
      </c>
      <c r="B141" s="316">
        <v>44707.0</v>
      </c>
      <c r="C141" s="316">
        <v>44707.0</v>
      </c>
      <c r="D141" s="299">
        <v>14.0</v>
      </c>
      <c r="E141" s="136" t="s">
        <v>626</v>
      </c>
      <c r="F141" s="317" t="b">
        <v>0</v>
      </c>
      <c r="G141" s="317" t="b">
        <v>0</v>
      </c>
      <c r="H141" s="317" t="b">
        <v>1</v>
      </c>
      <c r="I141" s="317" t="b">
        <v>0</v>
      </c>
      <c r="J141" s="136" t="s">
        <v>603</v>
      </c>
      <c r="K141" s="136" t="s">
        <v>1298</v>
      </c>
      <c r="L141" s="299">
        <v>1.360632E7</v>
      </c>
      <c r="M141" s="317" t="b">
        <v>0</v>
      </c>
      <c r="N141" s="317" t="b">
        <v>0</v>
      </c>
      <c r="O141" s="317" t="b">
        <v>0</v>
      </c>
      <c r="P141" s="317" t="b">
        <v>0</v>
      </c>
      <c r="Q141" s="317" t="b">
        <v>0</v>
      </c>
      <c r="R141" s="317" t="b">
        <v>0</v>
      </c>
      <c r="S141" s="317" t="b">
        <v>0</v>
      </c>
      <c r="T141" s="317" t="b">
        <v>0</v>
      </c>
      <c r="U141" s="317" t="b">
        <v>0</v>
      </c>
      <c r="V141" s="136" t="s">
        <v>1324</v>
      </c>
      <c r="W141" s="136" t="s">
        <v>1303</v>
      </c>
      <c r="X141" s="136" t="s">
        <v>1303</v>
      </c>
      <c r="Y141" s="136" t="s">
        <v>1303</v>
      </c>
      <c r="Z141" s="136" t="s">
        <v>1324</v>
      </c>
    </row>
    <row r="142">
      <c r="A142" s="136" t="s">
        <v>604</v>
      </c>
      <c r="B142" s="316">
        <v>44706.0</v>
      </c>
      <c r="C142" s="316">
        <v>44706.0</v>
      </c>
      <c r="D142" s="299">
        <v>5.0</v>
      </c>
      <c r="E142" s="136" t="s">
        <v>627</v>
      </c>
      <c r="F142" s="317" t="b">
        <v>0</v>
      </c>
      <c r="G142" s="317" t="b">
        <v>0</v>
      </c>
      <c r="H142" s="317" t="b">
        <v>1</v>
      </c>
      <c r="I142" s="317" t="b">
        <v>0</v>
      </c>
      <c r="J142" s="136" t="s">
        <v>603</v>
      </c>
      <c r="K142" s="136" t="s">
        <v>1298</v>
      </c>
      <c r="L142" s="299">
        <v>1.360632E7</v>
      </c>
      <c r="M142" s="317" t="b">
        <v>0</v>
      </c>
      <c r="N142" s="317" t="b">
        <v>0</v>
      </c>
      <c r="O142" s="317" t="b">
        <v>0</v>
      </c>
      <c r="P142" s="317" t="b">
        <v>0</v>
      </c>
      <c r="Q142" s="317" t="b">
        <v>0</v>
      </c>
      <c r="R142" s="317" t="b">
        <v>0</v>
      </c>
      <c r="S142" s="317" t="b">
        <v>0</v>
      </c>
      <c r="T142" s="317" t="b">
        <v>0</v>
      </c>
      <c r="U142" s="317" t="b">
        <v>0</v>
      </c>
      <c r="V142" s="136" t="s">
        <v>1324</v>
      </c>
      <c r="W142" s="136" t="s">
        <v>1303</v>
      </c>
      <c r="X142" s="136" t="s">
        <v>1303</v>
      </c>
      <c r="Y142" s="136" t="s">
        <v>1303</v>
      </c>
      <c r="Z142" s="136" t="s">
        <v>1324</v>
      </c>
    </row>
    <row r="143">
      <c r="A143" s="136" t="s">
        <v>604</v>
      </c>
      <c r="B143" s="316">
        <v>44696.0</v>
      </c>
      <c r="C143" s="316">
        <v>44697.0</v>
      </c>
      <c r="D143" s="299">
        <v>27.0</v>
      </c>
      <c r="E143" s="136" t="s">
        <v>628</v>
      </c>
      <c r="F143" s="317" t="b">
        <v>0</v>
      </c>
      <c r="G143" s="317" t="b">
        <v>0</v>
      </c>
      <c r="H143" s="317" t="b">
        <v>1</v>
      </c>
      <c r="I143" s="317" t="b">
        <v>0</v>
      </c>
      <c r="J143" s="136" t="s">
        <v>603</v>
      </c>
      <c r="K143" s="136" t="s">
        <v>1298</v>
      </c>
      <c r="L143" s="299">
        <v>1.360632E7</v>
      </c>
      <c r="M143" s="317" t="b">
        <v>0</v>
      </c>
      <c r="N143" s="317" t="b">
        <v>0</v>
      </c>
      <c r="O143" s="317" t="b">
        <v>0</v>
      </c>
      <c r="P143" s="317" t="b">
        <v>0</v>
      </c>
      <c r="Q143" s="317" t="b">
        <v>0</v>
      </c>
      <c r="R143" s="317" t="b">
        <v>0</v>
      </c>
      <c r="S143" s="317" t="b">
        <v>0</v>
      </c>
      <c r="T143" s="317" t="b">
        <v>0</v>
      </c>
      <c r="U143" s="317" t="b">
        <v>0</v>
      </c>
      <c r="V143" s="136" t="s">
        <v>1324</v>
      </c>
      <c r="W143" s="136" t="s">
        <v>1303</v>
      </c>
      <c r="X143" s="136" t="s">
        <v>1303</v>
      </c>
      <c r="Y143" s="136" t="s">
        <v>1303</v>
      </c>
      <c r="Z143" s="136" t="s">
        <v>1324</v>
      </c>
    </row>
    <row r="144">
      <c r="A144" s="136" t="s">
        <v>604</v>
      </c>
      <c r="B144" s="316">
        <v>44692.0</v>
      </c>
      <c r="C144" s="316">
        <v>44692.0</v>
      </c>
      <c r="D144" s="299">
        <v>5.0</v>
      </c>
      <c r="E144" s="136" t="s">
        <v>625</v>
      </c>
      <c r="F144" s="317" t="b">
        <v>0</v>
      </c>
      <c r="G144" s="317" t="b">
        <v>0</v>
      </c>
      <c r="H144" s="317" t="b">
        <v>1</v>
      </c>
      <c r="I144" s="317" t="b">
        <v>0</v>
      </c>
      <c r="J144" s="136" t="s">
        <v>603</v>
      </c>
      <c r="K144" s="136" t="s">
        <v>1298</v>
      </c>
      <c r="L144" s="299">
        <v>1.360632E7</v>
      </c>
      <c r="M144" s="317" t="b">
        <v>0</v>
      </c>
      <c r="N144" s="317" t="b">
        <v>0</v>
      </c>
      <c r="O144" s="317" t="b">
        <v>0</v>
      </c>
      <c r="P144" s="317" t="b">
        <v>0</v>
      </c>
      <c r="Q144" s="317" t="b">
        <v>0</v>
      </c>
      <c r="R144" s="317" t="b">
        <v>0</v>
      </c>
      <c r="S144" s="317" t="b">
        <v>0</v>
      </c>
      <c r="T144" s="317" t="b">
        <v>0</v>
      </c>
      <c r="U144" s="317" t="b">
        <v>0</v>
      </c>
      <c r="V144" s="136" t="s">
        <v>1324</v>
      </c>
      <c r="W144" s="136" t="s">
        <v>1303</v>
      </c>
      <c r="X144" s="136" t="s">
        <v>1303</v>
      </c>
      <c r="Y144" s="136" t="s">
        <v>1303</v>
      </c>
      <c r="Z144" s="136" t="s">
        <v>1324</v>
      </c>
    </row>
    <row r="145">
      <c r="A145" s="136" t="s">
        <v>604</v>
      </c>
      <c r="B145" s="316">
        <v>44691.0</v>
      </c>
      <c r="C145" s="316">
        <v>44691.0</v>
      </c>
      <c r="D145" s="299">
        <v>18.0</v>
      </c>
      <c r="E145" s="136" t="s">
        <v>628</v>
      </c>
      <c r="F145" s="317" t="b">
        <v>0</v>
      </c>
      <c r="G145" s="317" t="b">
        <v>0</v>
      </c>
      <c r="H145" s="317" t="b">
        <v>1</v>
      </c>
      <c r="I145" s="317" t="b">
        <v>0</v>
      </c>
      <c r="J145" s="136" t="s">
        <v>603</v>
      </c>
      <c r="K145" s="136" t="s">
        <v>1298</v>
      </c>
      <c r="L145" s="299">
        <v>1.360632E7</v>
      </c>
      <c r="M145" s="317" t="b">
        <v>0</v>
      </c>
      <c r="N145" s="317" t="b">
        <v>0</v>
      </c>
      <c r="O145" s="317" t="b">
        <v>0</v>
      </c>
      <c r="P145" s="317" t="b">
        <v>0</v>
      </c>
      <c r="Q145" s="317" t="b">
        <v>0</v>
      </c>
      <c r="R145" s="317" t="b">
        <v>0</v>
      </c>
      <c r="S145" s="317" t="b">
        <v>0</v>
      </c>
      <c r="T145" s="317" t="b">
        <v>0</v>
      </c>
      <c r="U145" s="317" t="b">
        <v>0</v>
      </c>
      <c r="V145" s="136" t="s">
        <v>1324</v>
      </c>
      <c r="W145" s="136" t="s">
        <v>1303</v>
      </c>
      <c r="X145" s="136" t="s">
        <v>1303</v>
      </c>
      <c r="Y145" s="136" t="s">
        <v>1303</v>
      </c>
      <c r="Z145" s="136" t="s">
        <v>1324</v>
      </c>
    </row>
    <row r="146">
      <c r="A146" s="136" t="s">
        <v>604</v>
      </c>
      <c r="B146" s="316">
        <v>44660.0</v>
      </c>
      <c r="C146" s="316">
        <v>44662.0</v>
      </c>
      <c r="D146" s="299">
        <v>58.0</v>
      </c>
      <c r="E146" s="136" t="s">
        <v>629</v>
      </c>
      <c r="F146" s="317" t="b">
        <v>0</v>
      </c>
      <c r="G146" s="317" t="b">
        <v>0</v>
      </c>
      <c r="H146" s="317" t="b">
        <v>1</v>
      </c>
      <c r="I146" s="317" t="b">
        <v>0</v>
      </c>
      <c r="J146" s="136" t="s">
        <v>603</v>
      </c>
      <c r="K146" s="136" t="s">
        <v>1298</v>
      </c>
      <c r="L146" s="299">
        <v>1.360632E7</v>
      </c>
      <c r="M146" s="317" t="b">
        <v>0</v>
      </c>
      <c r="N146" s="317" t="b">
        <v>0</v>
      </c>
      <c r="O146" s="317" t="b">
        <v>0</v>
      </c>
      <c r="P146" s="317" t="b">
        <v>0</v>
      </c>
      <c r="Q146" s="317" t="b">
        <v>0</v>
      </c>
      <c r="R146" s="317" t="b">
        <v>0</v>
      </c>
      <c r="S146" s="317" t="b">
        <v>0</v>
      </c>
      <c r="T146" s="317" t="b">
        <v>0</v>
      </c>
      <c r="U146" s="317" t="b">
        <v>0</v>
      </c>
      <c r="V146" s="136" t="s">
        <v>1324</v>
      </c>
      <c r="W146" s="136" t="s">
        <v>1303</v>
      </c>
      <c r="X146" s="136" t="s">
        <v>1303</v>
      </c>
      <c r="Y146" s="136" t="s">
        <v>1303</v>
      </c>
      <c r="Z146" s="136" t="s">
        <v>1324</v>
      </c>
    </row>
    <row r="147">
      <c r="A147" s="136" t="s">
        <v>604</v>
      </c>
      <c r="B147" s="316">
        <v>44652.0</v>
      </c>
      <c r="C147" s="316">
        <v>44652.0</v>
      </c>
      <c r="D147" s="299">
        <v>15.0</v>
      </c>
      <c r="E147" s="136" t="s">
        <v>630</v>
      </c>
      <c r="F147" s="317" t="b">
        <v>0</v>
      </c>
      <c r="G147" s="317" t="b">
        <v>0</v>
      </c>
      <c r="H147" s="317" t="b">
        <v>1</v>
      </c>
      <c r="I147" s="317" t="b">
        <v>0</v>
      </c>
      <c r="J147" s="136" t="s">
        <v>603</v>
      </c>
      <c r="K147" s="136" t="s">
        <v>1298</v>
      </c>
      <c r="L147" s="299">
        <v>1.360632E7</v>
      </c>
      <c r="M147" s="317" t="b">
        <v>0</v>
      </c>
      <c r="N147" s="317" t="b">
        <v>0</v>
      </c>
      <c r="O147" s="317" t="b">
        <v>0</v>
      </c>
      <c r="P147" s="317" t="b">
        <v>0</v>
      </c>
      <c r="Q147" s="317" t="b">
        <v>0</v>
      </c>
      <c r="R147" s="317" t="b">
        <v>0</v>
      </c>
      <c r="S147" s="317" t="b">
        <v>0</v>
      </c>
      <c r="T147" s="317" t="b">
        <v>0</v>
      </c>
      <c r="U147" s="317" t="b">
        <v>0</v>
      </c>
      <c r="V147" s="136" t="s">
        <v>1324</v>
      </c>
      <c r="W147" s="136" t="s">
        <v>1303</v>
      </c>
      <c r="X147" s="136" t="s">
        <v>1303</v>
      </c>
      <c r="Y147" s="136" t="s">
        <v>1303</v>
      </c>
      <c r="Z147" s="136" t="s">
        <v>1324</v>
      </c>
    </row>
    <row r="148">
      <c r="A148" s="136" t="s">
        <v>604</v>
      </c>
      <c r="B148" s="316">
        <v>44630.0</v>
      </c>
      <c r="C148" s="316">
        <v>44632.0</v>
      </c>
      <c r="D148" s="299">
        <v>52.0</v>
      </c>
      <c r="E148" s="136" t="s">
        <v>631</v>
      </c>
      <c r="F148" s="317" t="b">
        <v>0</v>
      </c>
      <c r="G148" s="317" t="b">
        <v>0</v>
      </c>
      <c r="H148" s="317" t="b">
        <v>1</v>
      </c>
      <c r="I148" s="317" t="b">
        <v>0</v>
      </c>
      <c r="J148" s="136" t="s">
        <v>603</v>
      </c>
      <c r="K148" s="136" t="s">
        <v>1298</v>
      </c>
      <c r="L148" s="299">
        <v>1.360632E7</v>
      </c>
      <c r="M148" s="317" t="b">
        <v>0</v>
      </c>
      <c r="N148" s="317" t="b">
        <v>0</v>
      </c>
      <c r="O148" s="317" t="b">
        <v>0</v>
      </c>
      <c r="P148" s="317" t="b">
        <v>0</v>
      </c>
      <c r="Q148" s="317" t="b">
        <v>0</v>
      </c>
      <c r="R148" s="317" t="b">
        <v>0</v>
      </c>
      <c r="S148" s="317" t="b">
        <v>0</v>
      </c>
      <c r="T148" s="317" t="b">
        <v>0</v>
      </c>
      <c r="U148" s="317" t="b">
        <v>0</v>
      </c>
      <c r="V148" s="136" t="s">
        <v>1324</v>
      </c>
      <c r="W148" s="136" t="s">
        <v>1303</v>
      </c>
      <c r="X148" s="136" t="s">
        <v>1303</v>
      </c>
      <c r="Y148" s="136" t="s">
        <v>1303</v>
      </c>
      <c r="Z148" s="136" t="s">
        <v>1324</v>
      </c>
    </row>
    <row r="149">
      <c r="A149" s="136" t="s">
        <v>604</v>
      </c>
      <c r="B149" s="316">
        <v>44617.0</v>
      </c>
      <c r="C149" s="316">
        <v>44618.0</v>
      </c>
      <c r="D149" s="299">
        <v>24.0</v>
      </c>
      <c r="E149" s="136" t="s">
        <v>632</v>
      </c>
      <c r="F149" s="317" t="b">
        <v>0</v>
      </c>
      <c r="G149" s="317" t="b">
        <v>0</v>
      </c>
      <c r="H149" s="317" t="b">
        <v>1</v>
      </c>
      <c r="I149" s="317" t="b">
        <v>0</v>
      </c>
      <c r="J149" s="136" t="s">
        <v>603</v>
      </c>
      <c r="K149" s="136" t="s">
        <v>1298</v>
      </c>
      <c r="L149" s="299">
        <v>1.360632E7</v>
      </c>
      <c r="M149" s="317" t="b">
        <v>0</v>
      </c>
      <c r="N149" s="317" t="b">
        <v>0</v>
      </c>
      <c r="O149" s="317" t="b">
        <v>0</v>
      </c>
      <c r="P149" s="317" t="b">
        <v>0</v>
      </c>
      <c r="Q149" s="317" t="b">
        <v>0</v>
      </c>
      <c r="R149" s="317" t="b">
        <v>0</v>
      </c>
      <c r="S149" s="317" t="b">
        <v>0</v>
      </c>
      <c r="T149" s="317" t="b">
        <v>0</v>
      </c>
      <c r="U149" s="317" t="b">
        <v>0</v>
      </c>
      <c r="V149" s="136" t="s">
        <v>1324</v>
      </c>
      <c r="W149" s="136" t="s">
        <v>1303</v>
      </c>
      <c r="X149" s="136" t="s">
        <v>1303</v>
      </c>
      <c r="Y149" s="136" t="s">
        <v>1303</v>
      </c>
      <c r="Z149" s="136" t="s">
        <v>1324</v>
      </c>
    </row>
    <row r="150">
      <c r="A150" s="136" t="s">
        <v>604</v>
      </c>
      <c r="B150" s="316">
        <v>44612.0</v>
      </c>
      <c r="C150" s="316">
        <v>44614.0</v>
      </c>
      <c r="D150" s="299">
        <v>12.0</v>
      </c>
      <c r="E150" s="136" t="s">
        <v>1357</v>
      </c>
      <c r="F150" s="317" t="b">
        <v>0</v>
      </c>
      <c r="G150" s="317" t="b">
        <v>0</v>
      </c>
      <c r="H150" s="317" t="b">
        <v>1</v>
      </c>
      <c r="I150" s="317" t="b">
        <v>0</v>
      </c>
      <c r="J150" s="136" t="s">
        <v>603</v>
      </c>
      <c r="K150" s="136" t="s">
        <v>1298</v>
      </c>
      <c r="L150" s="299">
        <v>1.360632E7</v>
      </c>
      <c r="M150" s="317" t="b">
        <v>0</v>
      </c>
      <c r="N150" s="317" t="b">
        <v>0</v>
      </c>
      <c r="O150" s="317" t="b">
        <v>0</v>
      </c>
      <c r="P150" s="317" t="b">
        <v>0</v>
      </c>
      <c r="Q150" s="317" t="b">
        <v>0</v>
      </c>
      <c r="R150" s="317" t="b">
        <v>0</v>
      </c>
      <c r="S150" s="317" t="b">
        <v>0</v>
      </c>
      <c r="T150" s="317" t="b">
        <v>0</v>
      </c>
      <c r="U150" s="317" t="b">
        <v>0</v>
      </c>
      <c r="V150" s="136" t="s">
        <v>1324</v>
      </c>
      <c r="W150" s="136" t="s">
        <v>1303</v>
      </c>
      <c r="X150" s="136" t="s">
        <v>1303</v>
      </c>
      <c r="Y150" s="136" t="s">
        <v>1303</v>
      </c>
      <c r="Z150" s="136" t="s">
        <v>1324</v>
      </c>
    </row>
    <row r="151">
      <c r="A151" s="136" t="s">
        <v>604</v>
      </c>
      <c r="B151" s="316">
        <v>44609.0</v>
      </c>
      <c r="C151" s="316">
        <v>44611.0</v>
      </c>
      <c r="D151" s="299">
        <v>12.0</v>
      </c>
      <c r="E151" s="136" t="s">
        <v>1357</v>
      </c>
      <c r="F151" s="317" t="b">
        <v>0</v>
      </c>
      <c r="G151" s="317" t="b">
        <v>0</v>
      </c>
      <c r="H151" s="317" t="b">
        <v>1</v>
      </c>
      <c r="I151" s="317" t="b">
        <v>0</v>
      </c>
      <c r="J151" s="136" t="s">
        <v>603</v>
      </c>
      <c r="K151" s="136" t="s">
        <v>1298</v>
      </c>
      <c r="L151" s="299">
        <v>1.360632E7</v>
      </c>
      <c r="M151" s="317" t="b">
        <v>0</v>
      </c>
      <c r="N151" s="317" t="b">
        <v>0</v>
      </c>
      <c r="O151" s="317" t="b">
        <v>0</v>
      </c>
      <c r="P151" s="317" t="b">
        <v>0</v>
      </c>
      <c r="Q151" s="317" t="b">
        <v>0</v>
      </c>
      <c r="R151" s="317" t="b">
        <v>0</v>
      </c>
      <c r="S151" s="317" t="b">
        <v>0</v>
      </c>
      <c r="T151" s="317" t="b">
        <v>0</v>
      </c>
      <c r="U151" s="317" t="b">
        <v>0</v>
      </c>
      <c r="V151" s="136" t="s">
        <v>1324</v>
      </c>
      <c r="W151" s="136" t="s">
        <v>1303</v>
      </c>
      <c r="X151" s="136" t="s">
        <v>1303</v>
      </c>
      <c r="Y151" s="136" t="s">
        <v>1303</v>
      </c>
      <c r="Z151" s="136" t="s">
        <v>1324</v>
      </c>
    </row>
    <row r="152">
      <c r="A152" s="136" t="s">
        <v>604</v>
      </c>
      <c r="B152" s="316">
        <v>44607.0</v>
      </c>
      <c r="C152" s="316">
        <v>44609.0</v>
      </c>
      <c r="D152" s="299">
        <v>12.0</v>
      </c>
      <c r="E152" s="136" t="s">
        <v>1358</v>
      </c>
      <c r="F152" s="317" t="b">
        <v>0</v>
      </c>
      <c r="G152" s="317" t="b">
        <v>0</v>
      </c>
      <c r="H152" s="317" t="b">
        <v>1</v>
      </c>
      <c r="I152" s="317" t="b">
        <v>0</v>
      </c>
      <c r="J152" s="136" t="s">
        <v>603</v>
      </c>
      <c r="K152" s="136" t="s">
        <v>1298</v>
      </c>
      <c r="L152" s="299">
        <v>1.360632E7</v>
      </c>
      <c r="M152" s="317" t="b">
        <v>0</v>
      </c>
      <c r="N152" s="317" t="b">
        <v>0</v>
      </c>
      <c r="O152" s="317" t="b">
        <v>0</v>
      </c>
      <c r="P152" s="317" t="b">
        <v>0</v>
      </c>
      <c r="Q152" s="317" t="b">
        <v>0</v>
      </c>
      <c r="R152" s="317" t="b">
        <v>0</v>
      </c>
      <c r="S152" s="317" t="b">
        <v>0</v>
      </c>
      <c r="T152" s="317" t="b">
        <v>0</v>
      </c>
      <c r="U152" s="317" t="b">
        <v>0</v>
      </c>
      <c r="V152" s="136" t="s">
        <v>1324</v>
      </c>
      <c r="W152" s="136" t="s">
        <v>1303</v>
      </c>
      <c r="X152" s="136" t="s">
        <v>1303</v>
      </c>
      <c r="Y152" s="136" t="s">
        <v>1303</v>
      </c>
      <c r="Z152" s="136" t="s">
        <v>1324</v>
      </c>
    </row>
    <row r="153">
      <c r="A153" s="136" t="s">
        <v>604</v>
      </c>
      <c r="B153" s="316">
        <v>44585.0</v>
      </c>
      <c r="C153" s="316">
        <v>44587.0</v>
      </c>
      <c r="D153" s="299">
        <v>12.0</v>
      </c>
      <c r="E153" s="136" t="s">
        <v>1358</v>
      </c>
      <c r="F153" s="317" t="b">
        <v>0</v>
      </c>
      <c r="G153" s="317" t="b">
        <v>0</v>
      </c>
      <c r="H153" s="317" t="b">
        <v>1</v>
      </c>
      <c r="I153" s="317" t="b">
        <v>0</v>
      </c>
      <c r="J153" s="136" t="s">
        <v>603</v>
      </c>
      <c r="K153" s="136" t="s">
        <v>1298</v>
      </c>
      <c r="L153" s="299">
        <v>1.360632E7</v>
      </c>
      <c r="M153" s="317" t="b">
        <v>0</v>
      </c>
      <c r="N153" s="317" t="b">
        <v>0</v>
      </c>
      <c r="O153" s="317" t="b">
        <v>0</v>
      </c>
      <c r="P153" s="317" t="b">
        <v>0</v>
      </c>
      <c r="Q153" s="317" t="b">
        <v>0</v>
      </c>
      <c r="R153" s="317" t="b">
        <v>0</v>
      </c>
      <c r="S153" s="317" t="b">
        <v>0</v>
      </c>
      <c r="T153" s="317" t="b">
        <v>0</v>
      </c>
      <c r="U153" s="317" t="b">
        <v>0</v>
      </c>
      <c r="V153" s="136" t="s">
        <v>1324</v>
      </c>
      <c r="W153" s="136" t="s">
        <v>1303</v>
      </c>
      <c r="X153" s="136" t="s">
        <v>1303</v>
      </c>
      <c r="Y153" s="136" t="s">
        <v>1303</v>
      </c>
      <c r="Z153" s="136" t="s">
        <v>1324</v>
      </c>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row>
  </sheetData>
  <mergeCells count="2">
    <mergeCell ref="A1:M1"/>
    <mergeCell ref="A40:Z4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5" t="s">
        <v>1359</v>
      </c>
      <c r="N1" s="136"/>
      <c r="O1" s="136"/>
      <c r="P1" s="136"/>
      <c r="Q1" s="136"/>
      <c r="R1" s="136"/>
      <c r="S1" s="136"/>
      <c r="T1" s="136"/>
      <c r="U1" s="136"/>
      <c r="V1" s="136"/>
      <c r="W1" s="136"/>
      <c r="X1" s="136"/>
      <c r="Y1" s="136"/>
      <c r="Z1" s="136"/>
    </row>
    <row r="2">
      <c r="A2" s="234"/>
      <c r="B2" s="234" t="s">
        <v>1360</v>
      </c>
      <c r="C2" s="234" t="s">
        <v>1361</v>
      </c>
      <c r="D2" s="100" t="s">
        <v>1344</v>
      </c>
      <c r="E2" s="234" t="s">
        <v>1287</v>
      </c>
      <c r="F2" s="234" t="s">
        <v>1288</v>
      </c>
      <c r="G2" s="234" t="s">
        <v>1289</v>
      </c>
      <c r="H2" s="234" t="s">
        <v>1290</v>
      </c>
      <c r="I2" s="234" t="s">
        <v>1291</v>
      </c>
      <c r="J2" s="234" t="s">
        <v>1292</v>
      </c>
      <c r="K2" s="234" t="s">
        <v>1293</v>
      </c>
      <c r="L2" s="234" t="s">
        <v>1294</v>
      </c>
      <c r="M2" s="234" t="s">
        <v>1295</v>
      </c>
      <c r="N2" s="234" t="s">
        <v>1296</v>
      </c>
      <c r="O2" s="234"/>
      <c r="P2" s="234"/>
      <c r="Q2" s="234"/>
      <c r="R2" s="234"/>
      <c r="S2" s="234"/>
      <c r="T2" s="234"/>
      <c r="U2" s="234"/>
      <c r="V2" s="234"/>
      <c r="W2" s="234"/>
      <c r="X2" s="234"/>
      <c r="Y2" s="234"/>
      <c r="Z2" s="234"/>
    </row>
    <row r="3">
      <c r="A3" s="136" t="s">
        <v>56</v>
      </c>
      <c r="B3" s="136" t="s">
        <v>55</v>
      </c>
      <c r="C3" s="299">
        <v>1.0</v>
      </c>
      <c r="D3" s="299">
        <v>2.0903273E7</v>
      </c>
      <c r="E3" s="299">
        <v>1.0</v>
      </c>
      <c r="F3" s="299">
        <v>0.0</v>
      </c>
      <c r="G3" s="299">
        <v>0.0</v>
      </c>
      <c r="H3" s="299">
        <v>0.0</v>
      </c>
      <c r="I3" s="299">
        <v>0.0</v>
      </c>
      <c r="J3" s="299">
        <v>0.0</v>
      </c>
      <c r="K3" s="299">
        <v>1.0</v>
      </c>
      <c r="L3" s="299">
        <v>4.0</v>
      </c>
      <c r="M3" s="136" t="s">
        <v>1303</v>
      </c>
      <c r="N3" s="136" t="s">
        <v>1297</v>
      </c>
      <c r="O3" s="136"/>
      <c r="P3" s="136"/>
      <c r="Q3" s="136"/>
      <c r="R3" s="136"/>
      <c r="S3" s="136"/>
      <c r="T3" s="136"/>
      <c r="U3" s="136"/>
      <c r="V3" s="136"/>
      <c r="W3" s="136"/>
      <c r="X3" s="136"/>
      <c r="Y3" s="136"/>
      <c r="Z3" s="136"/>
    </row>
    <row r="4">
      <c r="A4" s="136" t="s">
        <v>79</v>
      </c>
      <c r="B4" s="136" t="s">
        <v>78</v>
      </c>
      <c r="C4" s="299">
        <v>1.0</v>
      </c>
      <c r="D4" s="299">
        <v>1.6425864E7</v>
      </c>
      <c r="E4" s="299">
        <v>0.0</v>
      </c>
      <c r="F4" s="299">
        <v>0.0</v>
      </c>
      <c r="G4" s="299">
        <v>1.0</v>
      </c>
      <c r="H4" s="299">
        <v>0.0</v>
      </c>
      <c r="I4" s="299">
        <v>0.0</v>
      </c>
      <c r="J4" s="299">
        <v>0.0</v>
      </c>
      <c r="K4" s="299">
        <v>1.0</v>
      </c>
      <c r="L4" s="299">
        <v>5.0</v>
      </c>
      <c r="M4" s="136" t="s">
        <v>1303</v>
      </c>
      <c r="N4" s="136" t="s">
        <v>1297</v>
      </c>
      <c r="O4" s="136"/>
      <c r="P4" s="136"/>
      <c r="Q4" s="136"/>
      <c r="R4" s="136"/>
      <c r="S4" s="136"/>
      <c r="T4" s="136"/>
      <c r="U4" s="136"/>
      <c r="V4" s="136"/>
      <c r="W4" s="136"/>
      <c r="X4" s="136"/>
      <c r="Y4" s="136"/>
      <c r="Z4" s="136"/>
    </row>
    <row r="5">
      <c r="A5" s="136" t="s">
        <v>95</v>
      </c>
      <c r="B5" s="136" t="s">
        <v>94</v>
      </c>
      <c r="C5" s="299">
        <v>1.0</v>
      </c>
      <c r="D5" s="299">
        <v>5518087.0</v>
      </c>
      <c r="E5" s="299">
        <v>0.0</v>
      </c>
      <c r="F5" s="299">
        <v>1.0</v>
      </c>
      <c r="G5" s="299">
        <v>0.0</v>
      </c>
      <c r="H5" s="299">
        <v>0.0</v>
      </c>
      <c r="I5" s="299">
        <v>0.0</v>
      </c>
      <c r="J5" s="299">
        <v>0.0</v>
      </c>
      <c r="K5" s="299">
        <v>1.0</v>
      </c>
      <c r="L5" s="299">
        <v>3.0</v>
      </c>
      <c r="M5" s="136" t="s">
        <v>1303</v>
      </c>
      <c r="N5" s="136" t="s">
        <v>1297</v>
      </c>
      <c r="O5" s="136"/>
      <c r="P5" s="136"/>
      <c r="Q5" s="136"/>
      <c r="R5" s="136"/>
      <c r="S5" s="136"/>
      <c r="T5" s="136"/>
      <c r="U5" s="136"/>
      <c r="V5" s="136"/>
      <c r="W5" s="136"/>
      <c r="X5" s="136"/>
      <c r="Y5" s="136"/>
      <c r="Z5" s="136"/>
    </row>
    <row r="6">
      <c r="A6" s="136" t="s">
        <v>127</v>
      </c>
      <c r="B6" s="136" t="s">
        <v>126</v>
      </c>
      <c r="C6" s="299">
        <v>0.0</v>
      </c>
      <c r="D6" s="299">
        <v>3546421.0</v>
      </c>
      <c r="E6" s="299">
        <v>0.0</v>
      </c>
      <c r="F6" s="299">
        <v>0.0</v>
      </c>
      <c r="G6" s="299">
        <v>0.0</v>
      </c>
      <c r="H6" s="299">
        <v>0.0</v>
      </c>
      <c r="I6" s="299">
        <v>0.0</v>
      </c>
      <c r="J6" s="299">
        <v>0.0</v>
      </c>
      <c r="K6" s="299">
        <v>0.0</v>
      </c>
      <c r="L6" s="299">
        <v>2.0</v>
      </c>
      <c r="M6" s="136" t="s">
        <v>1324</v>
      </c>
      <c r="N6" s="136" t="s">
        <v>1297</v>
      </c>
      <c r="O6" s="136"/>
      <c r="P6" s="136"/>
      <c r="Q6" s="136"/>
      <c r="R6" s="136"/>
      <c r="S6" s="136"/>
      <c r="T6" s="136"/>
      <c r="U6" s="136"/>
      <c r="V6" s="136"/>
      <c r="W6" s="136"/>
      <c r="X6" s="136"/>
      <c r="Y6" s="136"/>
      <c r="Z6" s="136"/>
    </row>
    <row r="7">
      <c r="A7" s="136" t="s">
        <v>135</v>
      </c>
      <c r="B7" s="136" t="s">
        <v>134</v>
      </c>
      <c r="C7" s="299">
        <v>2.0</v>
      </c>
      <c r="D7" s="299">
        <v>1160164.0</v>
      </c>
      <c r="E7" s="299">
        <v>2.0</v>
      </c>
      <c r="F7" s="299">
        <v>0.0</v>
      </c>
      <c r="G7" s="299">
        <v>0.0</v>
      </c>
      <c r="H7" s="299">
        <v>0.0</v>
      </c>
      <c r="I7" s="299">
        <v>1.0</v>
      </c>
      <c r="J7" s="299">
        <v>0.0</v>
      </c>
      <c r="K7" s="299">
        <v>1.0</v>
      </c>
      <c r="L7" s="299">
        <v>2.0</v>
      </c>
      <c r="M7" s="136" t="s">
        <v>1303</v>
      </c>
      <c r="N7" s="136" t="s">
        <v>1297</v>
      </c>
      <c r="O7" s="136"/>
      <c r="P7" s="136"/>
      <c r="Q7" s="136"/>
      <c r="R7" s="136"/>
      <c r="S7" s="136"/>
      <c r="T7" s="136"/>
      <c r="U7" s="136"/>
      <c r="V7" s="136"/>
      <c r="W7" s="136"/>
      <c r="X7" s="136"/>
      <c r="Y7" s="136"/>
      <c r="Z7" s="136"/>
    </row>
    <row r="8">
      <c r="A8" s="136" t="s">
        <v>139</v>
      </c>
      <c r="B8" s="136" t="s">
        <v>138</v>
      </c>
      <c r="C8" s="299">
        <v>0.0</v>
      </c>
      <c r="D8" s="299">
        <v>5443000.0</v>
      </c>
      <c r="E8" s="299">
        <v>0.0</v>
      </c>
      <c r="F8" s="299">
        <v>0.0</v>
      </c>
      <c r="G8" s="299">
        <v>0.0</v>
      </c>
      <c r="H8" s="299">
        <v>0.0</v>
      </c>
      <c r="I8" s="299">
        <v>0.0</v>
      </c>
      <c r="J8" s="299">
        <v>0.0</v>
      </c>
      <c r="K8" s="299">
        <v>0.0</v>
      </c>
      <c r="L8" s="299">
        <v>10.0</v>
      </c>
      <c r="M8" s="136" t="s">
        <v>1324</v>
      </c>
      <c r="N8" s="136" t="s">
        <v>1297</v>
      </c>
      <c r="O8" s="136"/>
      <c r="P8" s="136"/>
      <c r="Q8" s="136"/>
      <c r="R8" s="136"/>
      <c r="S8" s="136"/>
      <c r="T8" s="136"/>
      <c r="U8" s="136"/>
      <c r="V8" s="136"/>
      <c r="W8" s="136"/>
      <c r="X8" s="136"/>
      <c r="Y8" s="136"/>
      <c r="Z8" s="136"/>
    </row>
    <row r="9">
      <c r="A9" s="136" t="s">
        <v>240</v>
      </c>
      <c r="B9" s="136" t="s">
        <v>239</v>
      </c>
      <c r="C9" s="299">
        <v>1.0</v>
      </c>
      <c r="D9" s="299">
        <v>2.4206644E7</v>
      </c>
      <c r="E9" s="299">
        <v>1.0</v>
      </c>
      <c r="F9" s="299">
        <v>0.0</v>
      </c>
      <c r="G9" s="299">
        <v>0.0</v>
      </c>
      <c r="H9" s="299">
        <v>0.0</v>
      </c>
      <c r="I9" s="299">
        <v>0.0</v>
      </c>
      <c r="J9" s="299">
        <v>0.0</v>
      </c>
      <c r="K9" s="299">
        <v>1.0</v>
      </c>
      <c r="L9" s="299">
        <v>2.0</v>
      </c>
      <c r="M9" s="136" t="s">
        <v>1303</v>
      </c>
      <c r="N9" s="136" t="s">
        <v>1297</v>
      </c>
      <c r="O9" s="136"/>
      <c r="P9" s="136"/>
      <c r="Q9" s="136"/>
      <c r="R9" s="136"/>
      <c r="S9" s="136"/>
      <c r="T9" s="136"/>
      <c r="U9" s="136"/>
      <c r="V9" s="136"/>
      <c r="W9" s="136"/>
      <c r="X9" s="136"/>
      <c r="Y9" s="136"/>
      <c r="Z9" s="136"/>
    </row>
    <row r="10">
      <c r="A10" s="136" t="s">
        <v>246</v>
      </c>
      <c r="B10" s="136" t="s">
        <v>245</v>
      </c>
      <c r="C10" s="299">
        <v>1.0</v>
      </c>
      <c r="D10" s="299">
        <v>2.06139589E8</v>
      </c>
      <c r="E10" s="299">
        <v>0.0</v>
      </c>
      <c r="F10" s="299">
        <v>0.0</v>
      </c>
      <c r="G10" s="299">
        <v>1.0</v>
      </c>
      <c r="H10" s="299">
        <v>0.0</v>
      </c>
      <c r="I10" s="299">
        <v>1.0</v>
      </c>
      <c r="J10" s="299">
        <v>0.0</v>
      </c>
      <c r="K10" s="299">
        <v>0.0</v>
      </c>
      <c r="L10" s="299">
        <v>1.0</v>
      </c>
      <c r="M10" s="136" t="s">
        <v>1324</v>
      </c>
      <c r="N10" s="136" t="s">
        <v>1297</v>
      </c>
      <c r="O10" s="136"/>
      <c r="P10" s="136"/>
      <c r="Q10" s="136"/>
      <c r="R10" s="136"/>
      <c r="S10" s="136"/>
      <c r="T10" s="136"/>
      <c r="U10" s="136"/>
      <c r="V10" s="136"/>
      <c r="W10" s="136"/>
      <c r="X10" s="136"/>
      <c r="Y10" s="136"/>
      <c r="Z10" s="136"/>
    </row>
    <row r="11">
      <c r="A11" s="136" t="s">
        <v>254</v>
      </c>
      <c r="B11" s="136" t="s">
        <v>253</v>
      </c>
      <c r="C11" s="299">
        <v>1.0</v>
      </c>
      <c r="D11" s="299">
        <v>1.1193725E7</v>
      </c>
      <c r="E11" s="299">
        <v>1.0</v>
      </c>
      <c r="F11" s="299">
        <v>0.0</v>
      </c>
      <c r="G11" s="299">
        <v>0.0</v>
      </c>
      <c r="H11" s="299">
        <v>0.0</v>
      </c>
      <c r="I11" s="299">
        <v>0.0</v>
      </c>
      <c r="J11" s="299">
        <v>0.0</v>
      </c>
      <c r="K11" s="299">
        <v>1.0</v>
      </c>
      <c r="L11" s="299">
        <v>1.0</v>
      </c>
      <c r="M11" s="136" t="s">
        <v>1303</v>
      </c>
      <c r="N11" s="136" t="s">
        <v>1297</v>
      </c>
      <c r="O11" s="136"/>
      <c r="P11" s="136"/>
      <c r="Q11" s="136"/>
      <c r="R11" s="136"/>
      <c r="S11" s="136"/>
      <c r="T11" s="136"/>
      <c r="U11" s="136"/>
      <c r="V11" s="136"/>
      <c r="W11" s="136"/>
      <c r="X11" s="136"/>
      <c r="Y11" s="136"/>
      <c r="Z11" s="136"/>
    </row>
    <row r="12">
      <c r="A12" s="136" t="s">
        <v>259</v>
      </c>
      <c r="B12" s="136" t="s">
        <v>258</v>
      </c>
      <c r="C12" s="299">
        <v>1.0</v>
      </c>
      <c r="D12" s="299">
        <v>1.6743927E7</v>
      </c>
      <c r="E12" s="299">
        <v>1.0</v>
      </c>
      <c r="F12" s="299">
        <v>0.0</v>
      </c>
      <c r="G12" s="299">
        <v>0.0</v>
      </c>
      <c r="H12" s="299">
        <v>0.0</v>
      </c>
      <c r="I12" s="299">
        <v>1.0</v>
      </c>
      <c r="J12" s="299">
        <v>0.0</v>
      </c>
      <c r="K12" s="299">
        <v>0.0</v>
      </c>
      <c r="L12" s="299">
        <v>1.0</v>
      </c>
      <c r="M12" s="136" t="s">
        <v>1303</v>
      </c>
      <c r="N12" s="136" t="s">
        <v>1297</v>
      </c>
      <c r="O12" s="136"/>
      <c r="P12" s="136"/>
      <c r="Q12" s="136"/>
      <c r="R12" s="136"/>
      <c r="S12" s="136"/>
      <c r="T12" s="136"/>
      <c r="U12" s="136"/>
      <c r="V12" s="136"/>
      <c r="W12" s="136"/>
      <c r="X12" s="136"/>
      <c r="Y12" s="136"/>
      <c r="Z12" s="136"/>
    </row>
    <row r="13">
      <c r="A13" s="136" t="s">
        <v>292</v>
      </c>
      <c r="B13" s="136" t="s">
        <v>291</v>
      </c>
      <c r="C13" s="299">
        <v>4.0</v>
      </c>
      <c r="D13" s="299">
        <v>4.384926E7</v>
      </c>
      <c r="E13" s="299">
        <v>2.0</v>
      </c>
      <c r="F13" s="299">
        <v>0.0</v>
      </c>
      <c r="G13" s="299">
        <v>2.0</v>
      </c>
      <c r="H13" s="299">
        <v>0.0</v>
      </c>
      <c r="I13" s="299">
        <v>1.0</v>
      </c>
      <c r="J13" s="299">
        <v>0.0</v>
      </c>
      <c r="K13" s="299">
        <v>3.0</v>
      </c>
      <c r="L13" s="299">
        <v>11.0</v>
      </c>
      <c r="M13" s="136" t="s">
        <v>1303</v>
      </c>
      <c r="N13" s="136" t="s">
        <v>1297</v>
      </c>
      <c r="O13" s="136"/>
      <c r="P13" s="136"/>
      <c r="Q13" s="136"/>
      <c r="R13" s="136"/>
      <c r="S13" s="136"/>
      <c r="T13" s="136"/>
      <c r="U13" s="136"/>
      <c r="V13" s="136"/>
      <c r="W13" s="136"/>
      <c r="X13" s="136"/>
      <c r="Y13" s="136"/>
      <c r="Z13" s="136"/>
    </row>
    <row r="14">
      <c r="A14" s="136" t="s">
        <v>314</v>
      </c>
      <c r="B14" s="136" t="s">
        <v>313</v>
      </c>
      <c r="C14" s="299">
        <v>3.0</v>
      </c>
      <c r="D14" s="299">
        <v>4.5741007E7</v>
      </c>
      <c r="E14" s="299">
        <v>0.0</v>
      </c>
      <c r="F14" s="299">
        <v>3.0</v>
      </c>
      <c r="G14" s="299">
        <v>0.0</v>
      </c>
      <c r="H14" s="299">
        <v>0.0</v>
      </c>
      <c r="I14" s="299">
        <v>2.0</v>
      </c>
      <c r="J14" s="299">
        <v>0.0</v>
      </c>
      <c r="K14" s="299">
        <v>1.0</v>
      </c>
      <c r="L14" s="299">
        <v>5.0</v>
      </c>
      <c r="M14" s="136" t="s">
        <v>1303</v>
      </c>
      <c r="N14" s="136" t="s">
        <v>1297</v>
      </c>
      <c r="O14" s="136"/>
      <c r="P14" s="136"/>
      <c r="Q14" s="136"/>
      <c r="R14" s="136"/>
      <c r="S14" s="136"/>
      <c r="T14" s="136"/>
      <c r="U14" s="136"/>
      <c r="V14" s="136"/>
      <c r="W14" s="136"/>
      <c r="X14" s="136"/>
      <c r="Y14" s="136"/>
      <c r="Z14" s="136"/>
    </row>
    <row r="15">
      <c r="A15" s="136" t="s">
        <v>328</v>
      </c>
      <c r="B15" s="136" t="s">
        <v>327</v>
      </c>
      <c r="C15" s="299">
        <v>1.0</v>
      </c>
      <c r="D15" s="299">
        <v>1.8383955E7</v>
      </c>
      <c r="E15" s="299">
        <v>0.0</v>
      </c>
      <c r="F15" s="299">
        <v>1.0</v>
      </c>
      <c r="G15" s="299">
        <v>0.0</v>
      </c>
      <c r="H15" s="299">
        <v>0.0</v>
      </c>
      <c r="I15" s="299">
        <v>1.0</v>
      </c>
      <c r="J15" s="299">
        <v>0.0</v>
      </c>
      <c r="K15" s="299">
        <v>0.0</v>
      </c>
      <c r="L15" s="299">
        <v>1.0</v>
      </c>
      <c r="M15" s="136" t="s">
        <v>1303</v>
      </c>
      <c r="N15" s="136" t="s">
        <v>1297</v>
      </c>
      <c r="O15" s="136"/>
      <c r="P15" s="136"/>
      <c r="Q15" s="136"/>
      <c r="R15" s="136"/>
      <c r="S15" s="136"/>
      <c r="T15" s="136"/>
      <c r="U15" s="136"/>
      <c r="V15" s="136"/>
      <c r="W15" s="136"/>
      <c r="X15" s="136"/>
      <c r="Y15" s="136"/>
      <c r="Z15" s="136"/>
    </row>
    <row r="16">
      <c r="A16" s="136" t="s">
        <v>353</v>
      </c>
      <c r="B16" s="136" t="s">
        <v>352</v>
      </c>
      <c r="C16" s="299">
        <v>1.0</v>
      </c>
      <c r="D16" s="299">
        <v>2963243.0</v>
      </c>
      <c r="E16" s="299">
        <v>0.0</v>
      </c>
      <c r="F16" s="299">
        <v>0.0</v>
      </c>
      <c r="G16" s="299">
        <v>1.0</v>
      </c>
      <c r="H16" s="299">
        <v>0.0</v>
      </c>
      <c r="I16" s="299">
        <v>0.0</v>
      </c>
      <c r="J16" s="299">
        <v>0.0</v>
      </c>
      <c r="K16" s="299">
        <v>1.0</v>
      </c>
      <c r="L16" s="299">
        <v>3.0</v>
      </c>
      <c r="M16" s="136" t="s">
        <v>1303</v>
      </c>
      <c r="N16" s="136" t="s">
        <v>1298</v>
      </c>
      <c r="O16" s="136"/>
      <c r="P16" s="136"/>
      <c r="Q16" s="136"/>
      <c r="R16" s="136"/>
      <c r="S16" s="136"/>
      <c r="T16" s="136"/>
      <c r="U16" s="136"/>
      <c r="V16" s="136"/>
      <c r="W16" s="136"/>
      <c r="X16" s="136"/>
      <c r="Y16" s="136"/>
      <c r="Z16" s="136"/>
    </row>
    <row r="17">
      <c r="A17" s="136" t="s">
        <v>367</v>
      </c>
      <c r="B17" s="136" t="s">
        <v>366</v>
      </c>
      <c r="C17" s="299">
        <v>0.0</v>
      </c>
      <c r="D17" s="299">
        <v>1701575.0</v>
      </c>
      <c r="E17" s="299">
        <v>0.0</v>
      </c>
      <c r="F17" s="299">
        <v>0.0</v>
      </c>
      <c r="G17" s="299">
        <v>0.0</v>
      </c>
      <c r="H17" s="299">
        <v>0.0</v>
      </c>
      <c r="I17" s="299">
        <v>0.0</v>
      </c>
      <c r="J17" s="299">
        <v>0.0</v>
      </c>
      <c r="K17" s="299">
        <v>0.0</v>
      </c>
      <c r="L17" s="299">
        <v>1.0</v>
      </c>
      <c r="M17" s="136" t="s">
        <v>1303</v>
      </c>
      <c r="N17" s="136" t="s">
        <v>1298</v>
      </c>
      <c r="O17" s="136"/>
      <c r="P17" s="136"/>
      <c r="Q17" s="136"/>
      <c r="R17" s="136"/>
      <c r="S17" s="136"/>
      <c r="T17" s="136"/>
      <c r="U17" s="136"/>
      <c r="V17" s="136"/>
      <c r="W17" s="136"/>
      <c r="X17" s="136"/>
      <c r="Y17" s="136"/>
      <c r="Z17" s="136"/>
    </row>
    <row r="18">
      <c r="A18" s="136" t="s">
        <v>371</v>
      </c>
      <c r="B18" s="136" t="s">
        <v>370</v>
      </c>
      <c r="C18" s="299">
        <v>1.0</v>
      </c>
      <c r="D18" s="299">
        <v>1.64689383E8</v>
      </c>
      <c r="E18" s="299">
        <v>1.0</v>
      </c>
      <c r="F18" s="299">
        <v>0.0</v>
      </c>
      <c r="G18" s="299">
        <v>0.0</v>
      </c>
      <c r="H18" s="299">
        <v>0.0</v>
      </c>
      <c r="I18" s="299">
        <v>1.0</v>
      </c>
      <c r="J18" s="299">
        <v>0.0</v>
      </c>
      <c r="K18" s="299">
        <v>0.0</v>
      </c>
      <c r="L18" s="299">
        <v>6.0</v>
      </c>
      <c r="M18" s="136" t="s">
        <v>1303</v>
      </c>
      <c r="N18" s="136" t="s">
        <v>1298</v>
      </c>
      <c r="O18" s="136"/>
      <c r="P18" s="136"/>
      <c r="Q18" s="136"/>
      <c r="R18" s="136"/>
      <c r="S18" s="136"/>
      <c r="T18" s="136"/>
      <c r="U18" s="136"/>
      <c r="V18" s="136"/>
      <c r="W18" s="136"/>
      <c r="X18" s="136"/>
      <c r="Y18" s="136"/>
      <c r="Z18" s="136"/>
    </row>
    <row r="19">
      <c r="A19" s="136" t="s">
        <v>394</v>
      </c>
      <c r="B19" s="136" t="s">
        <v>393</v>
      </c>
      <c r="C19" s="299">
        <v>0.0</v>
      </c>
      <c r="D19" s="299">
        <v>1.439323776E9</v>
      </c>
      <c r="E19" s="299">
        <v>0.0</v>
      </c>
      <c r="F19" s="299">
        <v>0.0</v>
      </c>
      <c r="G19" s="299">
        <v>0.0</v>
      </c>
      <c r="H19" s="299">
        <v>0.0</v>
      </c>
      <c r="I19" s="299">
        <v>0.0</v>
      </c>
      <c r="J19" s="299">
        <v>0.0</v>
      </c>
      <c r="K19" s="299">
        <v>0.0</v>
      </c>
      <c r="L19" s="299">
        <v>4.0</v>
      </c>
      <c r="M19" s="136" t="s">
        <v>1324</v>
      </c>
      <c r="N19" s="136" t="s">
        <v>1298</v>
      </c>
      <c r="O19" s="136"/>
      <c r="P19" s="136"/>
      <c r="Q19" s="136"/>
      <c r="R19" s="136"/>
      <c r="S19" s="136"/>
      <c r="T19" s="136"/>
      <c r="U19" s="136"/>
      <c r="V19" s="136"/>
      <c r="W19" s="136"/>
      <c r="X19" s="136"/>
      <c r="Y19" s="136"/>
      <c r="Z19" s="136"/>
    </row>
    <row r="20">
      <c r="A20" s="136" t="s">
        <v>403</v>
      </c>
      <c r="B20" s="136" t="s">
        <v>402</v>
      </c>
      <c r="C20" s="299">
        <v>0.0</v>
      </c>
      <c r="D20" s="299">
        <v>2.5778816E7</v>
      </c>
      <c r="E20" s="299">
        <v>0.0</v>
      </c>
      <c r="F20" s="299">
        <v>0.0</v>
      </c>
      <c r="G20" s="299">
        <v>0.0</v>
      </c>
      <c r="H20" s="299">
        <v>0.0</v>
      </c>
      <c r="I20" s="299">
        <v>0.0</v>
      </c>
      <c r="J20" s="299">
        <v>0.0</v>
      </c>
      <c r="K20" s="299">
        <v>0.0</v>
      </c>
      <c r="L20" s="299">
        <v>3.0</v>
      </c>
      <c r="M20" s="136" t="s">
        <v>1324</v>
      </c>
      <c r="N20" s="136" t="s">
        <v>1298</v>
      </c>
      <c r="O20" s="136"/>
      <c r="P20" s="136"/>
      <c r="Q20" s="136"/>
      <c r="R20" s="136"/>
      <c r="S20" s="136"/>
      <c r="T20" s="136"/>
      <c r="U20" s="136"/>
      <c r="V20" s="136"/>
      <c r="W20" s="136"/>
      <c r="X20" s="136"/>
      <c r="Y20" s="136"/>
      <c r="Z20" s="136"/>
    </row>
    <row r="21">
      <c r="A21" s="136" t="s">
        <v>417</v>
      </c>
      <c r="B21" s="136" t="s">
        <v>416</v>
      </c>
      <c r="C21" s="299">
        <v>7.0</v>
      </c>
      <c r="D21" s="299">
        <v>1.380004385E9</v>
      </c>
      <c r="E21" s="299">
        <v>7.0</v>
      </c>
      <c r="F21" s="299">
        <v>0.0</v>
      </c>
      <c r="G21" s="299">
        <v>0.0</v>
      </c>
      <c r="H21" s="299">
        <v>0.0</v>
      </c>
      <c r="I21" s="299">
        <v>0.0</v>
      </c>
      <c r="J21" s="299">
        <v>7.0</v>
      </c>
      <c r="K21" s="299">
        <v>0.0</v>
      </c>
      <c r="L21" s="299">
        <v>102.0</v>
      </c>
      <c r="M21" s="136" t="s">
        <v>1324</v>
      </c>
      <c r="N21" s="136" t="s">
        <v>1298</v>
      </c>
      <c r="O21" s="136"/>
      <c r="P21" s="136"/>
      <c r="Q21" s="136"/>
      <c r="R21" s="136"/>
      <c r="S21" s="136"/>
      <c r="T21" s="136"/>
      <c r="U21" s="136"/>
      <c r="V21" s="136"/>
      <c r="W21" s="136"/>
      <c r="X21" s="136"/>
      <c r="Y21" s="136"/>
      <c r="Z21" s="136"/>
    </row>
    <row r="22">
      <c r="A22" s="136" t="s">
        <v>515</v>
      </c>
      <c r="B22" s="136" t="s">
        <v>514</v>
      </c>
      <c r="C22" s="299">
        <v>1.0</v>
      </c>
      <c r="D22" s="299">
        <v>327000.0</v>
      </c>
      <c r="E22" s="299">
        <v>0.0</v>
      </c>
      <c r="F22" s="299">
        <v>0.0</v>
      </c>
      <c r="G22" s="299">
        <v>1.0</v>
      </c>
      <c r="H22" s="299">
        <v>0.0</v>
      </c>
      <c r="I22" s="299">
        <v>0.0</v>
      </c>
      <c r="J22" s="299">
        <v>1.0</v>
      </c>
      <c r="K22" s="299">
        <v>0.0</v>
      </c>
      <c r="L22" s="299">
        <v>3.0</v>
      </c>
      <c r="M22" s="136" t="s">
        <v>1303</v>
      </c>
      <c r="N22" s="136" t="s">
        <v>1298</v>
      </c>
      <c r="O22" s="136"/>
      <c r="P22" s="136"/>
      <c r="Q22" s="136"/>
      <c r="R22" s="136"/>
      <c r="S22" s="136"/>
      <c r="T22" s="136"/>
      <c r="U22" s="136"/>
      <c r="V22" s="136"/>
      <c r="W22" s="136"/>
      <c r="X22" s="136"/>
      <c r="Y22" s="136"/>
      <c r="Z22" s="136"/>
    </row>
    <row r="23">
      <c r="A23" s="136" t="s">
        <v>523</v>
      </c>
      <c r="B23" s="136" t="s">
        <v>522</v>
      </c>
      <c r="C23" s="299">
        <v>5.0</v>
      </c>
      <c r="D23" s="299">
        <v>8.3992949E7</v>
      </c>
      <c r="E23" s="299">
        <v>4.0</v>
      </c>
      <c r="F23" s="299">
        <v>1.0</v>
      </c>
      <c r="G23" s="299">
        <v>0.0</v>
      </c>
      <c r="H23" s="299">
        <v>0.0</v>
      </c>
      <c r="I23" s="299">
        <v>0.0</v>
      </c>
      <c r="J23" s="299">
        <v>5.0</v>
      </c>
      <c r="K23" s="299">
        <v>0.0</v>
      </c>
      <c r="L23" s="299">
        <v>27.0</v>
      </c>
      <c r="M23" s="136" t="s">
        <v>1324</v>
      </c>
      <c r="N23" s="136" t="s">
        <v>1298</v>
      </c>
      <c r="O23" s="136"/>
      <c r="P23" s="136"/>
      <c r="Q23" s="136"/>
      <c r="R23" s="136"/>
      <c r="S23" s="136"/>
      <c r="T23" s="136"/>
      <c r="U23" s="136"/>
      <c r="V23" s="136"/>
      <c r="W23" s="136"/>
      <c r="X23" s="136"/>
      <c r="Y23" s="136"/>
      <c r="Z23" s="136"/>
    </row>
    <row r="24">
      <c r="A24" s="136" t="s">
        <v>642</v>
      </c>
      <c r="B24" s="136" t="s">
        <v>641</v>
      </c>
      <c r="C24" s="299">
        <v>1.0</v>
      </c>
      <c r="D24" s="299">
        <v>1356046.0</v>
      </c>
      <c r="E24" s="299">
        <v>0.0</v>
      </c>
      <c r="F24" s="299">
        <v>0.0</v>
      </c>
      <c r="G24" s="299">
        <v>1.0</v>
      </c>
      <c r="H24" s="299">
        <v>0.0</v>
      </c>
      <c r="I24" s="299">
        <v>0.0</v>
      </c>
      <c r="J24" s="299">
        <v>1.0</v>
      </c>
      <c r="K24" s="299">
        <v>0.0</v>
      </c>
      <c r="L24" s="299">
        <v>5.0</v>
      </c>
      <c r="M24" s="136" t="s">
        <v>1303</v>
      </c>
      <c r="N24" s="136" t="s">
        <v>1298</v>
      </c>
      <c r="O24" s="136"/>
      <c r="P24" s="136"/>
      <c r="Q24" s="136"/>
      <c r="R24" s="136"/>
      <c r="S24" s="136"/>
      <c r="T24" s="136"/>
      <c r="U24" s="136"/>
      <c r="V24" s="136"/>
      <c r="W24" s="136"/>
      <c r="X24" s="136"/>
      <c r="Y24" s="136"/>
      <c r="Z24" s="136"/>
    </row>
    <row r="25">
      <c r="A25" s="136" t="s">
        <v>653</v>
      </c>
      <c r="B25" s="136" t="s">
        <v>652</v>
      </c>
      <c r="C25" s="299">
        <v>1.0</v>
      </c>
      <c r="D25" s="299">
        <v>2346504.0</v>
      </c>
      <c r="E25" s="299">
        <v>1.0</v>
      </c>
      <c r="F25" s="299">
        <v>0.0</v>
      </c>
      <c r="G25" s="299">
        <v>0.0</v>
      </c>
      <c r="H25" s="299">
        <v>0.0</v>
      </c>
      <c r="I25" s="299">
        <v>0.0</v>
      </c>
      <c r="J25" s="299">
        <v>1.0</v>
      </c>
      <c r="K25" s="299">
        <v>0.0</v>
      </c>
      <c r="L25" s="299">
        <v>8.0</v>
      </c>
      <c r="M25" s="136" t="s">
        <v>1303</v>
      </c>
      <c r="N25" s="136" t="s">
        <v>1298</v>
      </c>
      <c r="O25" s="136"/>
      <c r="P25" s="136"/>
      <c r="Q25" s="136"/>
      <c r="R25" s="136"/>
      <c r="S25" s="136"/>
      <c r="T25" s="136"/>
      <c r="U25" s="136"/>
      <c r="V25" s="136"/>
      <c r="W25" s="136"/>
      <c r="X25" s="136"/>
      <c r="Y25" s="136"/>
      <c r="Z25" s="136"/>
    </row>
    <row r="26">
      <c r="A26" s="136" t="s">
        <v>681</v>
      </c>
      <c r="B26" s="136" t="s">
        <v>680</v>
      </c>
      <c r="C26" s="299">
        <v>5.0</v>
      </c>
      <c r="D26" s="299">
        <v>5.44098E7</v>
      </c>
      <c r="E26" s="299">
        <v>1.0</v>
      </c>
      <c r="F26" s="299">
        <v>0.0</v>
      </c>
      <c r="G26" s="299">
        <v>4.0</v>
      </c>
      <c r="H26" s="299">
        <v>0.0</v>
      </c>
      <c r="I26" s="299">
        <v>2.0</v>
      </c>
      <c r="J26" s="299">
        <v>1.0</v>
      </c>
      <c r="K26" s="299">
        <v>2.0</v>
      </c>
      <c r="L26" s="299">
        <v>6.0</v>
      </c>
      <c r="M26" s="136" t="s">
        <v>1324</v>
      </c>
      <c r="N26" s="136" t="s">
        <v>1298</v>
      </c>
      <c r="O26" s="136"/>
      <c r="P26" s="136"/>
      <c r="Q26" s="136"/>
      <c r="R26" s="136"/>
      <c r="S26" s="136"/>
      <c r="T26" s="136"/>
      <c r="U26" s="136"/>
      <c r="V26" s="136"/>
      <c r="W26" s="136"/>
      <c r="X26" s="136"/>
      <c r="Y26" s="136"/>
      <c r="Z26" s="136"/>
    </row>
    <row r="27">
      <c r="A27" s="136" t="s">
        <v>697</v>
      </c>
      <c r="B27" s="136" t="s">
        <v>696</v>
      </c>
      <c r="C27" s="299">
        <v>1.0</v>
      </c>
      <c r="D27" s="299">
        <v>5106626.0</v>
      </c>
      <c r="E27" s="299">
        <v>0.0</v>
      </c>
      <c r="F27" s="299">
        <v>0.0</v>
      </c>
      <c r="G27" s="299">
        <v>0.0</v>
      </c>
      <c r="H27" s="299">
        <v>1.0</v>
      </c>
      <c r="I27" s="299">
        <v>1.0</v>
      </c>
      <c r="J27" s="299">
        <v>0.0</v>
      </c>
      <c r="K27" s="299">
        <v>0.0</v>
      </c>
      <c r="L27" s="299">
        <v>3.0</v>
      </c>
      <c r="M27" s="136" t="s">
        <v>1324</v>
      </c>
      <c r="N27" s="136" t="s">
        <v>1298</v>
      </c>
      <c r="O27" s="136"/>
      <c r="P27" s="136"/>
      <c r="Q27" s="136"/>
      <c r="R27" s="136"/>
      <c r="S27" s="136"/>
      <c r="T27" s="136"/>
      <c r="U27" s="136"/>
      <c r="V27" s="136"/>
      <c r="W27" s="136"/>
      <c r="X27" s="136"/>
      <c r="Y27" s="136"/>
      <c r="Z27" s="136"/>
    </row>
    <row r="28">
      <c r="A28" s="136" t="s">
        <v>704</v>
      </c>
      <c r="B28" s="136" t="s">
        <v>703</v>
      </c>
      <c r="C28" s="299">
        <v>1.0</v>
      </c>
      <c r="D28" s="299">
        <v>2.2089234E8</v>
      </c>
      <c r="E28" s="299">
        <v>1.0</v>
      </c>
      <c r="F28" s="299">
        <v>0.0</v>
      </c>
      <c r="G28" s="299">
        <v>0.0</v>
      </c>
      <c r="H28" s="299">
        <v>0.0</v>
      </c>
      <c r="I28" s="299">
        <v>1.0</v>
      </c>
      <c r="J28" s="299">
        <v>0.0</v>
      </c>
      <c r="K28" s="299">
        <v>0.0</v>
      </c>
      <c r="L28" s="299">
        <v>12.0</v>
      </c>
      <c r="M28" s="136" t="s">
        <v>1303</v>
      </c>
      <c r="N28" s="136" t="s">
        <v>1298</v>
      </c>
      <c r="O28" s="136"/>
      <c r="P28" s="136"/>
      <c r="Q28" s="136"/>
      <c r="R28" s="136"/>
      <c r="S28" s="136"/>
      <c r="T28" s="136"/>
      <c r="U28" s="136"/>
      <c r="V28" s="136"/>
      <c r="W28" s="136"/>
      <c r="X28" s="136"/>
      <c r="Y28" s="136"/>
      <c r="Z28" s="136"/>
    </row>
    <row r="29">
      <c r="A29" s="136" t="s">
        <v>755</v>
      </c>
      <c r="B29" s="136" t="s">
        <v>754</v>
      </c>
      <c r="C29" s="299">
        <v>0.0</v>
      </c>
      <c r="D29" s="299">
        <v>2881053.0</v>
      </c>
      <c r="E29" s="299">
        <v>0.0</v>
      </c>
      <c r="F29" s="299">
        <v>0.0</v>
      </c>
      <c r="G29" s="299">
        <v>0.0</v>
      </c>
      <c r="H29" s="299">
        <v>0.0</v>
      </c>
      <c r="I29" s="299">
        <v>0.0</v>
      </c>
      <c r="J29" s="299">
        <v>0.0</v>
      </c>
      <c r="K29" s="299">
        <v>0.0</v>
      </c>
      <c r="L29" s="299">
        <v>1.0</v>
      </c>
      <c r="M29" s="136" t="s">
        <v>1324</v>
      </c>
      <c r="N29" s="136" t="s">
        <v>1298</v>
      </c>
      <c r="O29" s="136"/>
      <c r="P29" s="136"/>
      <c r="Q29" s="136"/>
      <c r="R29" s="136"/>
      <c r="S29" s="136"/>
      <c r="T29" s="136"/>
      <c r="U29" s="136"/>
      <c r="V29" s="136"/>
      <c r="W29" s="136"/>
      <c r="X29" s="136"/>
      <c r="Y29" s="136"/>
      <c r="Z29" s="136"/>
    </row>
    <row r="30">
      <c r="A30" s="136" t="s">
        <v>787</v>
      </c>
      <c r="B30" s="136" t="s">
        <v>786</v>
      </c>
      <c r="C30" s="299">
        <v>1.0</v>
      </c>
      <c r="D30" s="299">
        <v>9537645.0</v>
      </c>
      <c r="E30" s="299">
        <v>0.0</v>
      </c>
      <c r="F30" s="299">
        <v>0.0</v>
      </c>
      <c r="G30" s="299">
        <v>1.0</v>
      </c>
      <c r="H30" s="299">
        <v>0.0</v>
      </c>
      <c r="I30" s="299">
        <v>1.0</v>
      </c>
      <c r="J30" s="299">
        <v>0.0</v>
      </c>
      <c r="K30" s="299">
        <v>0.0</v>
      </c>
      <c r="L30" s="299">
        <v>4.0</v>
      </c>
      <c r="M30" s="136" t="s">
        <v>1303</v>
      </c>
      <c r="N30" s="136" t="s">
        <v>1298</v>
      </c>
      <c r="O30" s="136"/>
      <c r="P30" s="136"/>
      <c r="Q30" s="136"/>
      <c r="R30" s="136"/>
      <c r="S30" s="136"/>
      <c r="T30" s="136"/>
      <c r="U30" s="136"/>
      <c r="V30" s="136"/>
      <c r="W30" s="136"/>
      <c r="X30" s="136"/>
      <c r="Y30" s="136"/>
      <c r="Z30" s="136"/>
    </row>
    <row r="31">
      <c r="A31" s="136" t="s">
        <v>794</v>
      </c>
      <c r="B31" s="136" t="s">
        <v>793</v>
      </c>
      <c r="C31" s="299">
        <v>0.0</v>
      </c>
      <c r="D31" s="299">
        <v>6.9799978E7</v>
      </c>
      <c r="E31" s="299">
        <v>0.0</v>
      </c>
      <c r="F31" s="299">
        <v>0.0</v>
      </c>
      <c r="G31" s="299">
        <v>0.0</v>
      </c>
      <c r="H31" s="299">
        <v>0.0</v>
      </c>
      <c r="I31" s="299">
        <v>0.0</v>
      </c>
      <c r="J31" s="299">
        <v>0.0</v>
      </c>
      <c r="K31" s="299">
        <v>0.0</v>
      </c>
      <c r="L31" s="299">
        <v>1.0</v>
      </c>
      <c r="M31" s="136" t="s">
        <v>1324</v>
      </c>
      <c r="N31" s="136" t="s">
        <v>1298</v>
      </c>
      <c r="O31" s="136"/>
      <c r="P31" s="136"/>
      <c r="Q31" s="136"/>
      <c r="R31" s="136"/>
      <c r="S31" s="136"/>
      <c r="T31" s="136"/>
      <c r="U31" s="136"/>
      <c r="V31" s="136"/>
      <c r="W31" s="136"/>
      <c r="X31" s="136"/>
      <c r="Y31" s="136"/>
      <c r="Z31" s="136"/>
    </row>
    <row r="32">
      <c r="A32" s="136" t="s">
        <v>825</v>
      </c>
      <c r="B32" s="136" t="s">
        <v>824</v>
      </c>
      <c r="C32" s="299">
        <v>0.0</v>
      </c>
      <c r="D32" s="299">
        <v>6031200.0</v>
      </c>
      <c r="E32" s="299">
        <v>0.0</v>
      </c>
      <c r="F32" s="299">
        <v>0.0</v>
      </c>
      <c r="G32" s="299">
        <v>0.0</v>
      </c>
      <c r="H32" s="299">
        <v>0.0</v>
      </c>
      <c r="I32" s="299">
        <v>0.0</v>
      </c>
      <c r="J32" s="299">
        <v>0.0</v>
      </c>
      <c r="K32" s="299">
        <v>0.0</v>
      </c>
      <c r="L32" s="299">
        <v>4.0</v>
      </c>
      <c r="M32" s="136" t="s">
        <v>1324</v>
      </c>
      <c r="N32" s="136" t="s">
        <v>1298</v>
      </c>
      <c r="O32" s="136"/>
      <c r="P32" s="136"/>
      <c r="Q32" s="136"/>
      <c r="R32" s="136"/>
      <c r="S32" s="136"/>
      <c r="T32" s="136"/>
      <c r="U32" s="136"/>
      <c r="V32" s="136"/>
      <c r="W32" s="136"/>
      <c r="X32" s="136"/>
      <c r="Y32" s="136"/>
      <c r="Z32" s="136"/>
    </row>
    <row r="33">
      <c r="A33" s="136" t="s">
        <v>837</v>
      </c>
      <c r="B33" s="136" t="s">
        <v>1345</v>
      </c>
      <c r="C33" s="299">
        <v>0.0</v>
      </c>
      <c r="D33" s="299">
        <v>9890402.0</v>
      </c>
      <c r="E33" s="299">
        <v>0.0</v>
      </c>
      <c r="F33" s="299">
        <v>0.0</v>
      </c>
      <c r="G33" s="299">
        <v>0.0</v>
      </c>
      <c r="H33" s="299">
        <v>0.0</v>
      </c>
      <c r="I33" s="299">
        <v>0.0</v>
      </c>
      <c r="J33" s="299">
        <v>0.0</v>
      </c>
      <c r="K33" s="299">
        <v>0.0</v>
      </c>
      <c r="L33" s="299">
        <v>2.0</v>
      </c>
      <c r="M33" s="136" t="s">
        <v>1324</v>
      </c>
      <c r="N33" s="136" t="s">
        <v>1298</v>
      </c>
      <c r="O33" s="136"/>
      <c r="P33" s="136"/>
      <c r="Q33" s="136"/>
      <c r="R33" s="136"/>
      <c r="S33" s="136"/>
      <c r="T33" s="136"/>
      <c r="U33" s="136"/>
      <c r="V33" s="136"/>
      <c r="W33" s="136"/>
      <c r="X33" s="136"/>
      <c r="Y33" s="136"/>
      <c r="Z33" s="136"/>
    </row>
    <row r="34">
      <c r="A34" s="136" t="s">
        <v>846</v>
      </c>
      <c r="B34" s="136" t="s">
        <v>845</v>
      </c>
      <c r="C34" s="299">
        <v>4.0</v>
      </c>
      <c r="D34" s="299">
        <v>3.3469203E7</v>
      </c>
      <c r="E34" s="299">
        <v>0.0</v>
      </c>
      <c r="F34" s="299">
        <v>0.0</v>
      </c>
      <c r="G34" s="299">
        <v>0.0</v>
      </c>
      <c r="H34" s="299">
        <v>4.0</v>
      </c>
      <c r="I34" s="299">
        <v>4.0</v>
      </c>
      <c r="J34" s="299">
        <v>0.0</v>
      </c>
      <c r="K34" s="299">
        <v>0.0</v>
      </c>
      <c r="L34" s="299">
        <v>6.0</v>
      </c>
      <c r="M34" s="136" t="s">
        <v>1324</v>
      </c>
      <c r="N34" s="136" t="s">
        <v>1298</v>
      </c>
      <c r="O34" s="136"/>
      <c r="P34" s="136"/>
      <c r="Q34" s="136"/>
      <c r="R34" s="136"/>
      <c r="S34" s="136"/>
      <c r="T34" s="136"/>
      <c r="U34" s="136"/>
      <c r="V34" s="136"/>
      <c r="W34" s="136"/>
      <c r="X34" s="136"/>
      <c r="Y34" s="136"/>
      <c r="Z34" s="136"/>
    </row>
    <row r="35">
      <c r="A35" s="136" t="s">
        <v>861</v>
      </c>
      <c r="B35" s="136" t="s">
        <v>860</v>
      </c>
      <c r="C35" s="299">
        <v>0.0</v>
      </c>
      <c r="D35" s="299">
        <v>2.9825964E7</v>
      </c>
      <c r="E35" s="299">
        <v>0.0</v>
      </c>
      <c r="F35" s="299">
        <v>0.0</v>
      </c>
      <c r="G35" s="299">
        <v>0.0</v>
      </c>
      <c r="H35" s="299">
        <v>0.0</v>
      </c>
      <c r="I35" s="299">
        <v>0.0</v>
      </c>
      <c r="J35" s="299">
        <v>0.0</v>
      </c>
      <c r="K35" s="299">
        <v>0.0</v>
      </c>
      <c r="L35" s="299">
        <v>3.0</v>
      </c>
      <c r="M35" s="136" t="s">
        <v>1324</v>
      </c>
      <c r="N35" s="136" t="s">
        <v>1298</v>
      </c>
      <c r="O35" s="136"/>
      <c r="P35" s="136"/>
      <c r="Q35" s="136"/>
      <c r="R35" s="136"/>
      <c r="S35" s="136"/>
      <c r="T35" s="136"/>
      <c r="U35" s="136"/>
      <c r="V35" s="136"/>
      <c r="W35" s="136"/>
      <c r="X35" s="136"/>
      <c r="Y35" s="136"/>
      <c r="Z35" s="136"/>
    </row>
    <row r="36">
      <c r="A36" s="136" t="s">
        <v>953</v>
      </c>
      <c r="B36" s="136" t="s">
        <v>952</v>
      </c>
      <c r="C36" s="299">
        <v>1.0</v>
      </c>
      <c r="D36" s="299">
        <v>1.45934462E8</v>
      </c>
      <c r="E36" s="299">
        <v>1.0</v>
      </c>
      <c r="F36" s="299">
        <v>0.0</v>
      </c>
      <c r="G36" s="299">
        <v>0.0</v>
      </c>
      <c r="H36" s="299">
        <v>0.0</v>
      </c>
      <c r="I36" s="299">
        <v>0.0</v>
      </c>
      <c r="J36" s="299">
        <v>1.0</v>
      </c>
      <c r="K36" s="299">
        <v>0.0</v>
      </c>
      <c r="L36" s="299">
        <v>9.0</v>
      </c>
      <c r="M36" s="136" t="s">
        <v>1324</v>
      </c>
      <c r="N36" s="136" t="s">
        <v>1300</v>
      </c>
      <c r="O36" s="136"/>
      <c r="P36" s="136"/>
      <c r="Q36" s="136"/>
      <c r="R36" s="136"/>
      <c r="S36" s="136"/>
      <c r="T36" s="136"/>
      <c r="U36" s="136"/>
      <c r="V36" s="136"/>
      <c r="W36" s="136"/>
      <c r="X36" s="136"/>
      <c r="Y36" s="136"/>
      <c r="Z36" s="136"/>
    </row>
    <row r="37">
      <c r="A37" s="136" t="s">
        <v>986</v>
      </c>
      <c r="B37" s="136" t="s">
        <v>985</v>
      </c>
      <c r="C37" s="299">
        <v>0.0</v>
      </c>
      <c r="D37" s="299">
        <v>4.3733762E7</v>
      </c>
      <c r="E37" s="299">
        <v>0.0</v>
      </c>
      <c r="F37" s="299">
        <v>0.0</v>
      </c>
      <c r="G37" s="299">
        <v>0.0</v>
      </c>
      <c r="H37" s="299">
        <v>0.0</v>
      </c>
      <c r="I37" s="299">
        <v>0.0</v>
      </c>
      <c r="J37" s="299">
        <v>0.0</v>
      </c>
      <c r="K37" s="299">
        <v>0.0</v>
      </c>
      <c r="L37" s="299">
        <v>1.0</v>
      </c>
      <c r="M37" s="136" t="s">
        <v>1324</v>
      </c>
      <c r="N37" s="136" t="s">
        <v>1300</v>
      </c>
      <c r="O37" s="136"/>
      <c r="P37" s="136"/>
      <c r="Q37" s="136"/>
      <c r="R37" s="136"/>
      <c r="S37" s="136"/>
      <c r="T37" s="136"/>
      <c r="U37" s="136"/>
      <c r="V37" s="136"/>
      <c r="W37" s="136"/>
      <c r="X37" s="136"/>
      <c r="Y37" s="136"/>
      <c r="Z37" s="136"/>
    </row>
    <row r="38">
      <c r="A38" s="136" t="s">
        <v>1006</v>
      </c>
      <c r="B38" s="136" t="s">
        <v>1005</v>
      </c>
      <c r="C38" s="299">
        <v>3.0</v>
      </c>
      <c r="D38" s="299">
        <v>1.1326616E7</v>
      </c>
      <c r="E38" s="299">
        <v>3.0</v>
      </c>
      <c r="F38" s="299">
        <v>0.0</v>
      </c>
      <c r="G38" s="299">
        <v>0.0</v>
      </c>
      <c r="H38" s="299">
        <v>0.0</v>
      </c>
      <c r="I38" s="299">
        <v>1.0</v>
      </c>
      <c r="J38" s="299">
        <v>0.0</v>
      </c>
      <c r="K38" s="299">
        <v>2.0</v>
      </c>
      <c r="L38" s="299">
        <v>7.0</v>
      </c>
      <c r="M38" s="136" t="s">
        <v>1303</v>
      </c>
      <c r="N38" s="136" t="s">
        <v>1301</v>
      </c>
      <c r="O38" s="136"/>
      <c r="P38" s="136"/>
      <c r="Q38" s="136"/>
      <c r="R38" s="136"/>
      <c r="S38" s="136"/>
      <c r="T38" s="136"/>
      <c r="U38" s="136"/>
      <c r="V38" s="136"/>
      <c r="W38" s="136"/>
      <c r="X38" s="136"/>
      <c r="Y38" s="136"/>
      <c r="Z38" s="136"/>
    </row>
    <row r="39">
      <c r="A39" s="136" t="s">
        <v>1073</v>
      </c>
      <c r="B39" s="136" t="s">
        <v>1072</v>
      </c>
      <c r="C39" s="299">
        <v>1.0</v>
      </c>
      <c r="D39" s="299">
        <v>2392877.0</v>
      </c>
      <c r="E39" s="299">
        <v>1.0</v>
      </c>
      <c r="F39" s="299">
        <v>0.0</v>
      </c>
      <c r="G39" s="299">
        <v>0.0</v>
      </c>
      <c r="H39" s="299">
        <v>0.0</v>
      </c>
      <c r="I39" s="299">
        <v>0.0</v>
      </c>
      <c r="J39" s="299">
        <v>1.0</v>
      </c>
      <c r="K39" s="299">
        <v>0.0</v>
      </c>
      <c r="L39" s="299">
        <v>1.0</v>
      </c>
      <c r="M39" s="136" t="s">
        <v>1303</v>
      </c>
      <c r="N39" s="136" t="s">
        <v>1302</v>
      </c>
      <c r="O39" s="136"/>
      <c r="P39" s="136"/>
      <c r="Q39" s="136"/>
      <c r="R39" s="136"/>
      <c r="S39" s="136"/>
      <c r="T39" s="136"/>
      <c r="U39" s="136"/>
      <c r="V39" s="136"/>
      <c r="W39" s="136"/>
      <c r="X39" s="136"/>
      <c r="Y39" s="136"/>
      <c r="Z39" s="136"/>
    </row>
    <row r="40">
      <c r="A40" s="136" t="s">
        <v>604</v>
      </c>
      <c r="B40" s="136" t="s">
        <v>603</v>
      </c>
      <c r="C40" s="299">
        <v>80.0</v>
      </c>
      <c r="D40" s="299">
        <v>1.360632E7</v>
      </c>
      <c r="E40" s="299">
        <v>2.0</v>
      </c>
      <c r="F40" s="299">
        <v>0.0</v>
      </c>
      <c r="G40" s="299">
        <v>78.0</v>
      </c>
      <c r="H40" s="299">
        <v>0.0</v>
      </c>
      <c r="I40" s="299">
        <v>0.0</v>
      </c>
      <c r="J40" s="299">
        <v>80.0</v>
      </c>
      <c r="K40" s="299">
        <v>0.0</v>
      </c>
      <c r="L40" s="299">
        <v>306.0</v>
      </c>
      <c r="M40" s="136" t="s">
        <v>1303</v>
      </c>
      <c r="N40" s="136" t="s">
        <v>1298</v>
      </c>
      <c r="O40" s="136"/>
      <c r="P40" s="136"/>
      <c r="Q40" s="136"/>
      <c r="R40" s="136"/>
      <c r="S40" s="136"/>
      <c r="T40" s="136"/>
      <c r="U40" s="136"/>
      <c r="V40" s="136"/>
      <c r="W40" s="136"/>
      <c r="X40" s="136"/>
      <c r="Y40" s="136"/>
      <c r="Z40" s="136"/>
    </row>
    <row r="41">
      <c r="A41" s="136"/>
      <c r="B41" s="136"/>
      <c r="C41" s="136"/>
      <c r="D41" s="136"/>
      <c r="E41" s="136"/>
      <c r="F41" s="136"/>
      <c r="G41" s="136"/>
      <c r="H41" s="136"/>
      <c r="I41" s="136"/>
      <c r="J41" s="136"/>
      <c r="K41" s="136"/>
      <c r="L41" s="136" t="s">
        <v>1303</v>
      </c>
      <c r="M41" s="136"/>
      <c r="N41" s="136"/>
      <c r="O41" s="136"/>
      <c r="P41" s="136"/>
      <c r="Q41" s="136"/>
      <c r="R41" s="136"/>
      <c r="S41" s="136"/>
      <c r="T41" s="136"/>
      <c r="U41" s="136"/>
      <c r="V41" s="136"/>
      <c r="W41" s="136"/>
      <c r="X41" s="136"/>
      <c r="Y41" s="136"/>
      <c r="Z41" s="136"/>
    </row>
    <row r="42">
      <c r="A42" s="136"/>
      <c r="B42" s="136"/>
      <c r="C42" s="136"/>
      <c r="D42" s="136"/>
      <c r="E42" s="136"/>
      <c r="F42" s="136"/>
      <c r="G42" s="136"/>
      <c r="H42" s="136"/>
      <c r="I42" s="136"/>
      <c r="J42" s="136"/>
      <c r="K42" s="136"/>
      <c r="L42" s="136" t="s">
        <v>1303</v>
      </c>
      <c r="M42" s="136"/>
      <c r="N42" s="136"/>
      <c r="O42" s="136"/>
      <c r="P42" s="136"/>
      <c r="Q42" s="136"/>
      <c r="R42" s="136"/>
      <c r="S42" s="136"/>
      <c r="T42" s="136"/>
      <c r="U42" s="136"/>
      <c r="V42" s="136"/>
      <c r="W42" s="136"/>
      <c r="X42" s="136"/>
      <c r="Y42" s="136"/>
      <c r="Z42" s="136"/>
    </row>
    <row r="43">
      <c r="A43" s="136"/>
      <c r="B43" s="136"/>
      <c r="C43" s="136"/>
      <c r="D43" s="136"/>
      <c r="E43" s="136"/>
      <c r="F43" s="136"/>
      <c r="G43" s="136"/>
      <c r="H43" s="136"/>
      <c r="I43" s="136"/>
      <c r="J43" s="136"/>
      <c r="K43" s="136"/>
      <c r="L43" s="136" t="s">
        <v>1303</v>
      </c>
      <c r="M43" s="136"/>
      <c r="N43" s="136"/>
      <c r="O43" s="136"/>
      <c r="P43" s="136"/>
      <c r="Q43" s="136"/>
      <c r="R43" s="136"/>
      <c r="S43" s="136"/>
      <c r="T43" s="136"/>
      <c r="U43" s="136"/>
      <c r="V43" s="136"/>
      <c r="W43" s="136"/>
      <c r="X43" s="136"/>
      <c r="Y43" s="136"/>
      <c r="Z43" s="136"/>
    </row>
    <row r="44">
      <c r="A44" s="136"/>
      <c r="B44" s="136"/>
      <c r="C44" s="136"/>
      <c r="D44" s="136"/>
      <c r="E44" s="136"/>
      <c r="F44" s="136"/>
      <c r="G44" s="136"/>
      <c r="H44" s="136"/>
      <c r="I44" s="136"/>
      <c r="J44" s="136"/>
      <c r="K44" s="136"/>
      <c r="L44" s="136" t="s">
        <v>1303</v>
      </c>
      <c r="M44" s="136"/>
      <c r="N44" s="136"/>
      <c r="O44" s="136"/>
      <c r="P44" s="136"/>
      <c r="Q44" s="136"/>
      <c r="R44" s="136"/>
      <c r="S44" s="136"/>
      <c r="T44" s="136"/>
      <c r="U44" s="136"/>
      <c r="V44" s="136"/>
      <c r="W44" s="136"/>
      <c r="X44" s="136"/>
      <c r="Y44" s="136"/>
      <c r="Z44" s="136"/>
    </row>
    <row r="45">
      <c r="A45" s="315" t="s">
        <v>1362</v>
      </c>
      <c r="X45" s="136"/>
      <c r="Y45" s="136"/>
      <c r="Z45" s="136"/>
    </row>
    <row r="46">
      <c r="A46" s="136" t="s">
        <v>1305</v>
      </c>
      <c r="B46" s="136" t="s">
        <v>1306</v>
      </c>
      <c r="C46" s="136" t="s">
        <v>1307</v>
      </c>
      <c r="D46" s="136" t="s">
        <v>1363</v>
      </c>
      <c r="E46" s="136" t="s">
        <v>1347</v>
      </c>
      <c r="F46" s="136" t="s">
        <v>1287</v>
      </c>
      <c r="G46" s="136" t="s">
        <v>1288</v>
      </c>
      <c r="H46" s="136" t="s">
        <v>1289</v>
      </c>
      <c r="I46" s="136" t="s">
        <v>1290</v>
      </c>
      <c r="J46" s="136" t="s">
        <v>1348</v>
      </c>
      <c r="K46" s="136" t="s">
        <v>1364</v>
      </c>
      <c r="L46" s="278" t="s">
        <v>1365</v>
      </c>
      <c r="M46" s="136" t="s">
        <v>1311</v>
      </c>
      <c r="N46" s="136" t="s">
        <v>1312</v>
      </c>
      <c r="O46" s="136" t="s">
        <v>1313</v>
      </c>
      <c r="P46" s="136" t="s">
        <v>1314</v>
      </c>
      <c r="Q46" s="136" t="s">
        <v>1315</v>
      </c>
      <c r="R46" s="136" t="s">
        <v>1316</v>
      </c>
      <c r="S46" s="136" t="s">
        <v>1317</v>
      </c>
      <c r="T46" s="136" t="s">
        <v>1318</v>
      </c>
      <c r="U46" s="136" t="s">
        <v>1336</v>
      </c>
      <c r="V46" s="136" t="s">
        <v>1319</v>
      </c>
      <c r="W46" s="136" t="s">
        <v>1320</v>
      </c>
      <c r="X46" s="136" t="s">
        <v>1321</v>
      </c>
      <c r="Y46" s="136" t="s">
        <v>1322</v>
      </c>
      <c r="Z46" s="318" t="s">
        <v>1323</v>
      </c>
    </row>
    <row r="47">
      <c r="A47" s="136" t="s">
        <v>56</v>
      </c>
      <c r="B47" s="316">
        <v>44520.0</v>
      </c>
      <c r="C47" s="316">
        <v>44528.0</v>
      </c>
      <c r="D47" s="299">
        <v>193.0</v>
      </c>
      <c r="E47" s="136" t="s">
        <v>61</v>
      </c>
      <c r="F47" s="317" t="b">
        <v>1</v>
      </c>
      <c r="G47" s="317" t="b">
        <v>0</v>
      </c>
      <c r="H47" s="317" t="b">
        <v>0</v>
      </c>
      <c r="I47" s="317" t="b">
        <v>0</v>
      </c>
      <c r="J47" s="136" t="s">
        <v>38</v>
      </c>
      <c r="K47" s="136" t="s">
        <v>1297</v>
      </c>
      <c r="L47" s="299">
        <v>2.0903273E7</v>
      </c>
      <c r="M47" s="317" t="b">
        <v>0</v>
      </c>
      <c r="N47" s="317" t="b">
        <v>0</v>
      </c>
      <c r="O47" s="317" t="b">
        <v>0</v>
      </c>
      <c r="P47" s="317" t="b">
        <v>0</v>
      </c>
      <c r="Q47" s="317" t="b">
        <v>0</v>
      </c>
      <c r="R47" s="317" t="b">
        <v>0</v>
      </c>
      <c r="S47" s="317" t="b">
        <v>0</v>
      </c>
      <c r="T47" s="317" t="b">
        <v>0</v>
      </c>
      <c r="U47" s="317" t="b">
        <v>0</v>
      </c>
      <c r="V47" s="136" t="s">
        <v>1324</v>
      </c>
      <c r="W47" s="136" t="s">
        <v>1303</v>
      </c>
      <c r="X47" s="136" t="s">
        <v>1303</v>
      </c>
      <c r="Y47" s="136" t="s">
        <v>1303</v>
      </c>
      <c r="Z47" s="136" t="s">
        <v>1324</v>
      </c>
    </row>
    <row r="48">
      <c r="A48" s="136" t="s">
        <v>79</v>
      </c>
      <c r="B48" s="316">
        <v>44255.0</v>
      </c>
      <c r="C48" s="316">
        <v>44256.0</v>
      </c>
      <c r="D48" s="299">
        <v>32.0</v>
      </c>
      <c r="E48" s="136" t="s">
        <v>82</v>
      </c>
      <c r="F48" s="317" t="b">
        <v>0</v>
      </c>
      <c r="G48" s="317" t="b">
        <v>0</v>
      </c>
      <c r="H48" s="317" t="b">
        <v>1</v>
      </c>
      <c r="I48" s="317" t="b">
        <v>0</v>
      </c>
      <c r="J48" s="136" t="s">
        <v>38</v>
      </c>
      <c r="K48" s="136" t="s">
        <v>1297</v>
      </c>
      <c r="L48" s="299">
        <v>1.6425864E7</v>
      </c>
      <c r="M48" s="317" t="b">
        <v>0</v>
      </c>
      <c r="N48" s="317" t="b">
        <v>0</v>
      </c>
      <c r="O48" s="317" t="b">
        <v>0</v>
      </c>
      <c r="P48" s="317" t="b">
        <v>0</v>
      </c>
      <c r="Q48" s="317" t="b">
        <v>0</v>
      </c>
      <c r="R48" s="317" t="b">
        <v>0</v>
      </c>
      <c r="S48" s="317" t="b">
        <v>0</v>
      </c>
      <c r="T48" s="317" t="b">
        <v>0</v>
      </c>
      <c r="U48" s="317" t="b">
        <v>0</v>
      </c>
      <c r="V48" s="136" t="s">
        <v>1324</v>
      </c>
      <c r="W48" s="136" t="s">
        <v>1303</v>
      </c>
      <c r="X48" s="136" t="s">
        <v>1303</v>
      </c>
      <c r="Y48" s="136" t="s">
        <v>1303</v>
      </c>
      <c r="Z48" s="136" t="s">
        <v>1324</v>
      </c>
    </row>
    <row r="49">
      <c r="A49" s="136" t="s">
        <v>95</v>
      </c>
      <c r="B49" s="316">
        <v>44276.0</v>
      </c>
      <c r="C49" s="316">
        <v>44278.0</v>
      </c>
      <c r="D49" s="299">
        <v>72.0</v>
      </c>
      <c r="E49" s="136" t="s">
        <v>96</v>
      </c>
      <c r="F49" s="317" t="b">
        <v>0</v>
      </c>
      <c r="G49" s="317" t="b">
        <v>1</v>
      </c>
      <c r="H49" s="317" t="b">
        <v>0</v>
      </c>
      <c r="I49" s="317" t="b">
        <v>0</v>
      </c>
      <c r="J49" s="136" t="s">
        <v>38</v>
      </c>
      <c r="K49" s="136" t="s">
        <v>1297</v>
      </c>
      <c r="L49" s="299">
        <v>5518087.0</v>
      </c>
      <c r="M49" s="317" t="b">
        <v>0</v>
      </c>
      <c r="N49" s="317" t="b">
        <v>0</v>
      </c>
      <c r="O49" s="317" t="b">
        <v>0</v>
      </c>
      <c r="P49" s="317" t="b">
        <v>0</v>
      </c>
      <c r="Q49" s="317" t="b">
        <v>0</v>
      </c>
      <c r="R49" s="317" t="b">
        <v>0</v>
      </c>
      <c r="S49" s="317" t="b">
        <v>0</v>
      </c>
      <c r="T49" s="317" t="b">
        <v>0</v>
      </c>
      <c r="U49" s="317" t="b">
        <v>0</v>
      </c>
      <c r="V49" s="136" t="s">
        <v>1324</v>
      </c>
      <c r="W49" s="136" t="s">
        <v>1303</v>
      </c>
      <c r="X49" s="136" t="s">
        <v>1303</v>
      </c>
      <c r="Y49" s="136" t="s">
        <v>1303</v>
      </c>
      <c r="Z49" s="136" t="s">
        <v>1324</v>
      </c>
    </row>
    <row r="50">
      <c r="A50" s="136" t="s">
        <v>127</v>
      </c>
      <c r="B50" s="316">
        <v>40544.0</v>
      </c>
      <c r="C50" s="96"/>
      <c r="D50" s="299">
        <v>96408.0</v>
      </c>
      <c r="E50" s="136" t="s">
        <v>132</v>
      </c>
      <c r="F50" s="317" t="b">
        <v>0</v>
      </c>
      <c r="G50" s="317" t="b">
        <v>0</v>
      </c>
      <c r="H50" s="317" t="b">
        <v>1</v>
      </c>
      <c r="I50" s="317" t="b">
        <v>0</v>
      </c>
      <c r="J50" s="136" t="s">
        <v>38</v>
      </c>
      <c r="K50" s="136" t="s">
        <v>1297</v>
      </c>
      <c r="L50" s="299">
        <v>3546421.0</v>
      </c>
      <c r="M50" s="317" t="b">
        <v>0</v>
      </c>
      <c r="N50" s="317" t="b">
        <v>0</v>
      </c>
      <c r="O50" s="317" t="b">
        <v>1</v>
      </c>
      <c r="P50" s="317" t="b">
        <v>0</v>
      </c>
      <c r="Q50" s="317" t="b">
        <v>0</v>
      </c>
      <c r="R50" s="317" t="b">
        <v>0</v>
      </c>
      <c r="S50" s="317" t="b">
        <v>0</v>
      </c>
      <c r="T50" s="317" t="b">
        <v>0</v>
      </c>
      <c r="U50" s="317" t="b">
        <v>1</v>
      </c>
      <c r="V50" s="136" t="s">
        <v>1303</v>
      </c>
      <c r="W50" s="136" t="s">
        <v>1303</v>
      </c>
      <c r="X50" s="136" t="s">
        <v>1303</v>
      </c>
      <c r="Y50" s="136" t="s">
        <v>1324</v>
      </c>
      <c r="Z50" s="136" t="s">
        <v>1303</v>
      </c>
    </row>
    <row r="51">
      <c r="A51" s="136" t="s">
        <v>135</v>
      </c>
      <c r="B51" s="316">
        <v>44484.0</v>
      </c>
      <c r="C51" s="316">
        <v>44484.0</v>
      </c>
      <c r="D51" s="299">
        <v>2.0</v>
      </c>
      <c r="E51" s="136" t="s">
        <v>1366</v>
      </c>
      <c r="F51" s="317" t="b">
        <v>1</v>
      </c>
      <c r="G51" s="317" t="b">
        <v>0</v>
      </c>
      <c r="H51" s="317" t="b">
        <v>0</v>
      </c>
      <c r="I51" s="317" t="b">
        <v>0</v>
      </c>
      <c r="J51" s="136" t="s">
        <v>38</v>
      </c>
      <c r="K51" s="136" t="s">
        <v>1297</v>
      </c>
      <c r="L51" s="299">
        <v>1160164.0</v>
      </c>
      <c r="M51" s="317" t="b">
        <v>1</v>
      </c>
      <c r="N51" s="317" t="b">
        <v>1</v>
      </c>
      <c r="O51" s="317" t="b">
        <v>0</v>
      </c>
      <c r="P51" s="317" t="b">
        <v>0</v>
      </c>
      <c r="Q51" s="317" t="b">
        <v>0</v>
      </c>
      <c r="R51" s="317" t="b">
        <v>1</v>
      </c>
      <c r="S51" s="317" t="b">
        <v>0</v>
      </c>
      <c r="T51" s="317" t="b">
        <v>0</v>
      </c>
      <c r="U51" s="317" t="b">
        <v>1</v>
      </c>
      <c r="V51" s="136" t="s">
        <v>1324</v>
      </c>
      <c r="W51" s="136" t="s">
        <v>1303</v>
      </c>
      <c r="X51" s="136" t="s">
        <v>1303</v>
      </c>
      <c r="Y51" s="136" t="s">
        <v>1303</v>
      </c>
      <c r="Z51" s="136" t="s">
        <v>1324</v>
      </c>
    </row>
    <row r="52">
      <c r="A52" s="136" t="s">
        <v>135</v>
      </c>
      <c r="B52" s="316">
        <v>44376.0</v>
      </c>
      <c r="C52" s="316">
        <v>44380.0</v>
      </c>
      <c r="D52" s="299">
        <v>89.0</v>
      </c>
      <c r="E52" s="136" t="s">
        <v>137</v>
      </c>
      <c r="F52" s="317" t="b">
        <v>1</v>
      </c>
      <c r="G52" s="317" t="b">
        <v>0</v>
      </c>
      <c r="H52" s="317" t="b">
        <v>0</v>
      </c>
      <c r="I52" s="317" t="b">
        <v>0</v>
      </c>
      <c r="J52" s="136" t="s">
        <v>38</v>
      </c>
      <c r="K52" s="136" t="s">
        <v>1297</v>
      </c>
      <c r="L52" s="299">
        <v>1160164.0</v>
      </c>
      <c r="M52" s="317" t="b">
        <v>0</v>
      </c>
      <c r="N52" s="317" t="b">
        <v>0</v>
      </c>
      <c r="O52" s="317" t="b">
        <v>0</v>
      </c>
      <c r="P52" s="317" t="b">
        <v>0</v>
      </c>
      <c r="Q52" s="317" t="b">
        <v>0</v>
      </c>
      <c r="R52" s="317" t="b">
        <v>0</v>
      </c>
      <c r="S52" s="317" t="b">
        <v>0</v>
      </c>
      <c r="T52" s="317" t="b">
        <v>0</v>
      </c>
      <c r="U52" s="317" t="b">
        <v>0</v>
      </c>
      <c r="V52" s="136" t="s">
        <v>1324</v>
      </c>
      <c r="W52" s="136" t="s">
        <v>1303</v>
      </c>
      <c r="X52" s="136" t="s">
        <v>1303</v>
      </c>
      <c r="Y52" s="136" t="s">
        <v>1303</v>
      </c>
      <c r="Z52" s="136" t="s">
        <v>1324</v>
      </c>
    </row>
    <row r="53">
      <c r="A53" s="136" t="s">
        <v>139</v>
      </c>
      <c r="B53" s="316">
        <v>44139.0</v>
      </c>
      <c r="C53" s="96"/>
      <c r="D53" s="299">
        <v>10128.0</v>
      </c>
      <c r="E53" s="136" t="s">
        <v>144</v>
      </c>
      <c r="F53" s="317" t="b">
        <v>0</v>
      </c>
      <c r="G53" s="317" t="b">
        <v>0</v>
      </c>
      <c r="H53" s="317" t="b">
        <v>1</v>
      </c>
      <c r="I53" s="317" t="b">
        <v>0</v>
      </c>
      <c r="J53" s="136" t="s">
        <v>145</v>
      </c>
      <c r="K53" s="136" t="s">
        <v>1297</v>
      </c>
      <c r="L53" s="299">
        <v>5443000.0</v>
      </c>
      <c r="M53" s="317" t="b">
        <v>0</v>
      </c>
      <c r="N53" s="317" t="b">
        <v>0</v>
      </c>
      <c r="O53" s="317" t="b">
        <v>0</v>
      </c>
      <c r="P53" s="317" t="b">
        <v>0</v>
      </c>
      <c r="Q53" s="317" t="b">
        <v>0</v>
      </c>
      <c r="R53" s="317" t="b">
        <v>0</v>
      </c>
      <c r="S53" s="317" t="b">
        <v>0</v>
      </c>
      <c r="T53" s="317" t="b">
        <v>0</v>
      </c>
      <c r="U53" s="317" t="b">
        <v>0</v>
      </c>
      <c r="V53" s="136" t="s">
        <v>1303</v>
      </c>
      <c r="W53" s="136" t="s">
        <v>1303</v>
      </c>
      <c r="X53" s="136" t="s">
        <v>1303</v>
      </c>
      <c r="Y53" s="136" t="s">
        <v>1324</v>
      </c>
      <c r="Z53" s="136" t="s">
        <v>1303</v>
      </c>
    </row>
    <row r="54">
      <c r="A54" s="136" t="s">
        <v>240</v>
      </c>
      <c r="B54" s="316">
        <v>44251.0</v>
      </c>
      <c r="C54" s="316">
        <v>44260.0</v>
      </c>
      <c r="D54" s="299">
        <v>240.0</v>
      </c>
      <c r="E54" s="136" t="s">
        <v>241</v>
      </c>
      <c r="F54" s="317" t="b">
        <v>1</v>
      </c>
      <c r="G54" s="317" t="b">
        <v>0</v>
      </c>
      <c r="H54" s="317" t="b">
        <v>0</v>
      </c>
      <c r="I54" s="317" t="b">
        <v>0</v>
      </c>
      <c r="J54" s="136" t="s">
        <v>38</v>
      </c>
      <c r="K54" s="136" t="s">
        <v>1297</v>
      </c>
      <c r="L54" s="299">
        <v>2.4206644E7</v>
      </c>
      <c r="M54" s="317" t="b">
        <v>0</v>
      </c>
      <c r="N54" s="317" t="b">
        <v>0</v>
      </c>
      <c r="O54" s="317" t="b">
        <v>0</v>
      </c>
      <c r="P54" s="317" t="b">
        <v>0</v>
      </c>
      <c r="Q54" s="317" t="b">
        <v>0</v>
      </c>
      <c r="R54" s="317" t="b">
        <v>0</v>
      </c>
      <c r="S54" s="317" t="b">
        <v>0</v>
      </c>
      <c r="T54" s="317" t="b">
        <v>0</v>
      </c>
      <c r="U54" s="317" t="b">
        <v>0</v>
      </c>
      <c r="V54" s="136" t="s">
        <v>1324</v>
      </c>
      <c r="W54" s="136" t="s">
        <v>1303</v>
      </c>
      <c r="X54" s="136" t="s">
        <v>1303</v>
      </c>
      <c r="Y54" s="136" t="s">
        <v>1303</v>
      </c>
      <c r="Z54" s="136" t="s">
        <v>1324</v>
      </c>
    </row>
    <row r="55">
      <c r="A55" s="136" t="s">
        <v>246</v>
      </c>
      <c r="B55" s="316">
        <v>44352.0</v>
      </c>
      <c r="C55" s="316">
        <v>44574.0</v>
      </c>
      <c r="D55" s="299">
        <v>5016.0</v>
      </c>
      <c r="E55" s="136" t="s">
        <v>248</v>
      </c>
      <c r="F55" s="317" t="b">
        <v>0</v>
      </c>
      <c r="G55" s="317" t="b">
        <v>0</v>
      </c>
      <c r="H55" s="317" t="b">
        <v>1</v>
      </c>
      <c r="I55" s="317" t="b">
        <v>0</v>
      </c>
      <c r="J55" s="136" t="s">
        <v>38</v>
      </c>
      <c r="K55" s="136" t="s">
        <v>1297</v>
      </c>
      <c r="L55" s="299">
        <v>2.06139589E8</v>
      </c>
      <c r="M55" s="317" t="b">
        <v>0</v>
      </c>
      <c r="N55" s="317" t="b">
        <v>1</v>
      </c>
      <c r="O55" s="317" t="b">
        <v>0</v>
      </c>
      <c r="P55" s="317" t="b">
        <v>0</v>
      </c>
      <c r="Q55" s="317" t="b">
        <v>0</v>
      </c>
      <c r="R55" s="317" t="b">
        <v>0</v>
      </c>
      <c r="S55" s="317" t="b">
        <v>0</v>
      </c>
      <c r="T55" s="317" t="b">
        <v>0</v>
      </c>
      <c r="U55" s="317" t="b">
        <v>1</v>
      </c>
      <c r="V55" s="136" t="s">
        <v>1303</v>
      </c>
      <c r="W55" s="136" t="s">
        <v>1324</v>
      </c>
      <c r="X55" s="136" t="s">
        <v>1303</v>
      </c>
      <c r="Y55" s="136" t="s">
        <v>1303</v>
      </c>
      <c r="Z55" s="136" t="s">
        <v>1324</v>
      </c>
    </row>
    <row r="56">
      <c r="A56" s="136" t="s">
        <v>254</v>
      </c>
      <c r="B56" s="316">
        <v>44437.0</v>
      </c>
      <c r="C56" s="316">
        <v>44438.0</v>
      </c>
      <c r="D56" s="299">
        <v>12.0</v>
      </c>
      <c r="E56" s="136" t="s">
        <v>255</v>
      </c>
      <c r="F56" s="317" t="b">
        <v>1</v>
      </c>
      <c r="G56" s="317" t="b">
        <v>0</v>
      </c>
      <c r="H56" s="317" t="b">
        <v>0</v>
      </c>
      <c r="I56" s="317" t="b">
        <v>0</v>
      </c>
      <c r="J56" s="136" t="s">
        <v>38</v>
      </c>
      <c r="K56" s="136" t="s">
        <v>1297</v>
      </c>
      <c r="L56" s="299">
        <v>1.1193725E7</v>
      </c>
      <c r="M56" s="317" t="b">
        <v>0</v>
      </c>
      <c r="N56" s="317" t="b">
        <v>0</v>
      </c>
      <c r="O56" s="317" t="b">
        <v>0</v>
      </c>
      <c r="P56" s="317" t="b">
        <v>0</v>
      </c>
      <c r="Q56" s="317" t="b">
        <v>0</v>
      </c>
      <c r="R56" s="317" t="b">
        <v>0</v>
      </c>
      <c r="S56" s="317" t="b">
        <v>0</v>
      </c>
      <c r="T56" s="317" t="b">
        <v>0</v>
      </c>
      <c r="U56" s="317" t="b">
        <v>0</v>
      </c>
      <c r="V56" s="136" t="s">
        <v>1324</v>
      </c>
      <c r="W56" s="136" t="s">
        <v>1303</v>
      </c>
      <c r="X56" s="136" t="s">
        <v>1303</v>
      </c>
      <c r="Y56" s="136" t="s">
        <v>1303</v>
      </c>
      <c r="Z56" s="136" t="s">
        <v>1324</v>
      </c>
    </row>
    <row r="57">
      <c r="A57" s="136" t="s">
        <v>259</v>
      </c>
      <c r="B57" s="316">
        <v>44260.0</v>
      </c>
      <c r="C57" s="316">
        <v>44260.0</v>
      </c>
      <c r="D57" s="299">
        <v>8.0</v>
      </c>
      <c r="E57" s="136" t="s">
        <v>271</v>
      </c>
      <c r="F57" s="317" t="b">
        <v>1</v>
      </c>
      <c r="G57" s="317" t="b">
        <v>0</v>
      </c>
      <c r="H57" s="317" t="b">
        <v>0</v>
      </c>
      <c r="I57" s="317" t="b">
        <v>0</v>
      </c>
      <c r="J57" s="136" t="s">
        <v>38</v>
      </c>
      <c r="K57" s="136" t="s">
        <v>1297</v>
      </c>
      <c r="L57" s="299">
        <v>1.6743927E7</v>
      </c>
      <c r="M57" s="317" t="b">
        <v>1</v>
      </c>
      <c r="N57" s="317" t="b">
        <v>0</v>
      </c>
      <c r="O57" s="317" t="b">
        <v>1</v>
      </c>
      <c r="P57" s="317" t="b">
        <v>0</v>
      </c>
      <c r="Q57" s="317" t="b">
        <v>1</v>
      </c>
      <c r="R57" s="317" t="b">
        <v>1</v>
      </c>
      <c r="S57" s="317" t="b">
        <v>0</v>
      </c>
      <c r="T57" s="317" t="b">
        <v>0</v>
      </c>
      <c r="U57" s="317" t="b">
        <v>1</v>
      </c>
      <c r="V57" s="136" t="s">
        <v>1324</v>
      </c>
      <c r="W57" s="136" t="s">
        <v>1303</v>
      </c>
      <c r="X57" s="136" t="s">
        <v>1303</v>
      </c>
      <c r="Y57" s="136" t="s">
        <v>1303</v>
      </c>
      <c r="Z57" s="136" t="s">
        <v>1324</v>
      </c>
    </row>
    <row r="58">
      <c r="A58" s="136" t="s">
        <v>292</v>
      </c>
      <c r="B58" s="316">
        <v>44560.0</v>
      </c>
      <c r="C58" s="316">
        <v>44560.0</v>
      </c>
      <c r="D58" s="299">
        <v>10.0</v>
      </c>
      <c r="E58" s="136" t="s">
        <v>299</v>
      </c>
      <c r="F58" s="317" t="b">
        <v>1</v>
      </c>
      <c r="G58" s="317" t="b">
        <v>0</v>
      </c>
      <c r="H58" s="317" t="b">
        <v>0</v>
      </c>
      <c r="I58" s="317" t="b">
        <v>0</v>
      </c>
      <c r="J58" s="136" t="s">
        <v>38</v>
      </c>
      <c r="K58" s="136" t="s">
        <v>1297</v>
      </c>
      <c r="L58" s="299">
        <v>4.384926E7</v>
      </c>
      <c r="M58" s="317" t="b">
        <v>0</v>
      </c>
      <c r="N58" s="317" t="b">
        <v>0</v>
      </c>
      <c r="O58" s="317" t="b">
        <v>0</v>
      </c>
      <c r="P58" s="317" t="b">
        <v>0</v>
      </c>
      <c r="Q58" s="317" t="b">
        <v>0</v>
      </c>
      <c r="R58" s="317" t="b">
        <v>0</v>
      </c>
      <c r="S58" s="317" t="b">
        <v>0</v>
      </c>
      <c r="T58" s="317" t="b">
        <v>0</v>
      </c>
      <c r="U58" s="317" t="b">
        <v>0</v>
      </c>
      <c r="V58" s="136" t="s">
        <v>1324</v>
      </c>
      <c r="W58" s="136" t="s">
        <v>1303</v>
      </c>
      <c r="X58" s="136" t="s">
        <v>1303</v>
      </c>
      <c r="Y58" s="136" t="s">
        <v>1303</v>
      </c>
      <c r="Z58" s="136" t="s">
        <v>1324</v>
      </c>
    </row>
    <row r="59">
      <c r="A59" s="136" t="s">
        <v>292</v>
      </c>
      <c r="B59" s="316">
        <v>44555.0</v>
      </c>
      <c r="C59" s="316">
        <v>44555.0</v>
      </c>
      <c r="D59" s="299">
        <v>16.0</v>
      </c>
      <c r="E59" s="136" t="s">
        <v>300</v>
      </c>
      <c r="F59" s="317" t="b">
        <v>1</v>
      </c>
      <c r="G59" s="317" t="b">
        <v>0</v>
      </c>
      <c r="H59" s="317" t="b">
        <v>0</v>
      </c>
      <c r="I59" s="317" t="b">
        <v>0</v>
      </c>
      <c r="J59" s="136" t="s">
        <v>38</v>
      </c>
      <c r="K59" s="136" t="s">
        <v>1297</v>
      </c>
      <c r="L59" s="299">
        <v>4.384926E7</v>
      </c>
      <c r="M59" s="317" t="b">
        <v>0</v>
      </c>
      <c r="N59" s="317" t="b">
        <v>0</v>
      </c>
      <c r="O59" s="317" t="b">
        <v>0</v>
      </c>
      <c r="P59" s="317" t="b">
        <v>0</v>
      </c>
      <c r="Q59" s="317" t="b">
        <v>0</v>
      </c>
      <c r="R59" s="317" t="b">
        <v>0</v>
      </c>
      <c r="S59" s="317" t="b">
        <v>0</v>
      </c>
      <c r="T59" s="317" t="b">
        <v>0</v>
      </c>
      <c r="U59" s="317" t="b">
        <v>0</v>
      </c>
      <c r="V59" s="136" t="s">
        <v>1324</v>
      </c>
      <c r="W59" s="136" t="s">
        <v>1303</v>
      </c>
      <c r="X59" s="136" t="s">
        <v>1303</v>
      </c>
      <c r="Y59" s="136" t="s">
        <v>1303</v>
      </c>
      <c r="Z59" s="136" t="s">
        <v>1324</v>
      </c>
    </row>
    <row r="60">
      <c r="A60" s="136" t="s">
        <v>292</v>
      </c>
      <c r="B60" s="316">
        <v>44494.0</v>
      </c>
      <c r="C60" s="316">
        <v>44524.0</v>
      </c>
      <c r="D60" s="299">
        <v>720.0</v>
      </c>
      <c r="E60" s="136" t="s">
        <v>301</v>
      </c>
      <c r="F60" s="317" t="b">
        <v>0</v>
      </c>
      <c r="G60" s="317" t="b">
        <v>0</v>
      </c>
      <c r="H60" s="317" t="b">
        <v>1</v>
      </c>
      <c r="I60" s="317" t="b">
        <v>0</v>
      </c>
      <c r="J60" s="136" t="s">
        <v>38</v>
      </c>
      <c r="K60" s="136" t="s">
        <v>1297</v>
      </c>
      <c r="L60" s="299">
        <v>4.384926E7</v>
      </c>
      <c r="M60" s="317" t="b">
        <v>1</v>
      </c>
      <c r="N60" s="317" t="b">
        <v>1</v>
      </c>
      <c r="O60" s="317" t="b">
        <v>0</v>
      </c>
      <c r="P60" s="317" t="b">
        <v>1</v>
      </c>
      <c r="Q60" s="317" t="b">
        <v>1</v>
      </c>
      <c r="R60" s="317" t="b">
        <v>1</v>
      </c>
      <c r="S60" s="317" t="b">
        <v>0</v>
      </c>
      <c r="T60" s="317" t="b">
        <v>0</v>
      </c>
      <c r="U60" s="317" t="b">
        <v>1</v>
      </c>
      <c r="V60" s="136" t="s">
        <v>1324</v>
      </c>
      <c r="W60" s="136" t="s">
        <v>1303</v>
      </c>
      <c r="X60" s="136" t="s">
        <v>1303</v>
      </c>
      <c r="Y60" s="136" t="s">
        <v>1303</v>
      </c>
      <c r="Z60" s="136" t="s">
        <v>1324</v>
      </c>
    </row>
    <row r="61">
      <c r="A61" s="136" t="s">
        <v>292</v>
      </c>
      <c r="B61" s="316">
        <v>44494.0</v>
      </c>
      <c r="C61" s="316">
        <v>44518.0</v>
      </c>
      <c r="D61" s="299">
        <v>576.0</v>
      </c>
      <c r="E61" s="136" t="s">
        <v>302</v>
      </c>
      <c r="F61" s="317" t="b">
        <v>0</v>
      </c>
      <c r="G61" s="317" t="b">
        <v>0</v>
      </c>
      <c r="H61" s="317" t="b">
        <v>1</v>
      </c>
      <c r="I61" s="317" t="b">
        <v>0</v>
      </c>
      <c r="J61" s="136" t="s">
        <v>38</v>
      </c>
      <c r="K61" s="136" t="s">
        <v>1297</v>
      </c>
      <c r="L61" s="299">
        <v>4.384926E7</v>
      </c>
      <c r="M61" s="317" t="b">
        <v>0</v>
      </c>
      <c r="N61" s="317" t="b">
        <v>0</v>
      </c>
      <c r="O61" s="317" t="b">
        <v>0</v>
      </c>
      <c r="P61" s="317" t="b">
        <v>0</v>
      </c>
      <c r="Q61" s="317" t="b">
        <v>0</v>
      </c>
      <c r="R61" s="317" t="b">
        <v>0</v>
      </c>
      <c r="S61" s="317" t="b">
        <v>0</v>
      </c>
      <c r="T61" s="317" t="b">
        <v>0</v>
      </c>
      <c r="U61" s="317" t="b">
        <v>0</v>
      </c>
      <c r="V61" s="136" t="s">
        <v>1324</v>
      </c>
      <c r="W61" s="136" t="s">
        <v>1303</v>
      </c>
      <c r="X61" s="136" t="s">
        <v>1303</v>
      </c>
      <c r="Y61" s="136" t="s">
        <v>1303</v>
      </c>
      <c r="Z61" s="136" t="s">
        <v>1324</v>
      </c>
    </row>
    <row r="62">
      <c r="A62" s="136" t="s">
        <v>314</v>
      </c>
      <c r="B62" s="316">
        <v>44209.0</v>
      </c>
      <c r="C62" s="316">
        <v>44214.0</v>
      </c>
      <c r="D62" s="299">
        <v>120.0</v>
      </c>
      <c r="E62" s="136" t="s">
        <v>315</v>
      </c>
      <c r="F62" s="317" t="b">
        <v>0</v>
      </c>
      <c r="G62" s="317" t="b">
        <v>1</v>
      </c>
      <c r="H62" s="317" t="b">
        <v>0</v>
      </c>
      <c r="I62" s="317" t="b">
        <v>0</v>
      </c>
      <c r="J62" s="136" t="s">
        <v>38</v>
      </c>
      <c r="K62" s="136" t="s">
        <v>1297</v>
      </c>
      <c r="L62" s="299">
        <v>4.5741007E7</v>
      </c>
      <c r="M62" s="317" t="b">
        <v>0</v>
      </c>
      <c r="N62" s="317" t="b">
        <v>0</v>
      </c>
      <c r="O62" s="317" t="b">
        <v>0</v>
      </c>
      <c r="P62" s="317" t="b">
        <v>0</v>
      </c>
      <c r="Q62" s="317" t="b">
        <v>0</v>
      </c>
      <c r="R62" s="317" t="b">
        <v>0</v>
      </c>
      <c r="S62" s="317" t="b">
        <v>0</v>
      </c>
      <c r="T62" s="317" t="b">
        <v>0</v>
      </c>
      <c r="U62" s="317" t="b">
        <v>0</v>
      </c>
      <c r="V62" s="136" t="s">
        <v>1324</v>
      </c>
      <c r="W62" s="136" t="s">
        <v>1303</v>
      </c>
      <c r="X62" s="136" t="s">
        <v>1303</v>
      </c>
      <c r="Y62" s="136" t="s">
        <v>1303</v>
      </c>
      <c r="Z62" s="136" t="s">
        <v>1324</v>
      </c>
    </row>
    <row r="63">
      <c r="A63" s="136" t="s">
        <v>314</v>
      </c>
      <c r="B63" s="316">
        <v>44208.0</v>
      </c>
      <c r="C63" s="316">
        <v>44369.0</v>
      </c>
      <c r="D63" s="299">
        <v>3864.0</v>
      </c>
      <c r="E63" s="136" t="s">
        <v>317</v>
      </c>
      <c r="F63" s="317" t="b">
        <v>0</v>
      </c>
      <c r="G63" s="317" t="b">
        <v>1</v>
      </c>
      <c r="H63" s="317" t="b">
        <v>0</v>
      </c>
      <c r="I63" s="317" t="b">
        <v>0</v>
      </c>
      <c r="J63" s="136" t="s">
        <v>38</v>
      </c>
      <c r="K63" s="136" t="s">
        <v>1297</v>
      </c>
      <c r="L63" s="299">
        <v>4.5741007E7</v>
      </c>
      <c r="M63" s="317" t="b">
        <v>1</v>
      </c>
      <c r="N63" s="317" t="b">
        <v>0</v>
      </c>
      <c r="O63" s="317" t="b">
        <v>0</v>
      </c>
      <c r="P63" s="317" t="b">
        <v>0</v>
      </c>
      <c r="Q63" s="317" t="b">
        <v>0</v>
      </c>
      <c r="R63" s="317" t="b">
        <v>0</v>
      </c>
      <c r="S63" s="317" t="b">
        <v>0</v>
      </c>
      <c r="T63" s="317" t="b">
        <v>0</v>
      </c>
      <c r="U63" s="317" t="b">
        <v>1</v>
      </c>
      <c r="V63" s="136" t="s">
        <v>1324</v>
      </c>
      <c r="W63" s="136" t="s">
        <v>1303</v>
      </c>
      <c r="X63" s="136" t="s">
        <v>1303</v>
      </c>
      <c r="Y63" s="136" t="s">
        <v>1303</v>
      </c>
      <c r="Z63" s="136" t="s">
        <v>1324</v>
      </c>
    </row>
    <row r="64">
      <c r="A64" s="136" t="s">
        <v>314</v>
      </c>
      <c r="B64" s="316">
        <v>44208.0</v>
      </c>
      <c r="C64" s="316">
        <v>44237.0</v>
      </c>
      <c r="D64" s="299">
        <v>696.0</v>
      </c>
      <c r="E64" s="136" t="s">
        <v>317</v>
      </c>
      <c r="F64" s="317" t="b">
        <v>0</v>
      </c>
      <c r="G64" s="317" t="b">
        <v>1</v>
      </c>
      <c r="H64" s="317" t="b">
        <v>0</v>
      </c>
      <c r="I64" s="317" t="b">
        <v>0</v>
      </c>
      <c r="J64" s="136" t="s">
        <v>38</v>
      </c>
      <c r="K64" s="136" t="s">
        <v>1297</v>
      </c>
      <c r="L64" s="299">
        <v>4.5741007E7</v>
      </c>
      <c r="M64" s="317" t="b">
        <v>0</v>
      </c>
      <c r="N64" s="317" t="b">
        <v>1</v>
      </c>
      <c r="O64" s="317" t="b">
        <v>0</v>
      </c>
      <c r="P64" s="317" t="b">
        <v>1</v>
      </c>
      <c r="Q64" s="317" t="b">
        <v>1</v>
      </c>
      <c r="R64" s="317" t="b">
        <v>1</v>
      </c>
      <c r="S64" s="317" t="b">
        <v>1</v>
      </c>
      <c r="T64" s="317" t="b">
        <v>1</v>
      </c>
      <c r="U64" s="317" t="b">
        <v>1</v>
      </c>
      <c r="V64" s="136" t="s">
        <v>1324</v>
      </c>
      <c r="W64" s="136" t="s">
        <v>1303</v>
      </c>
      <c r="X64" s="136" t="s">
        <v>1303</v>
      </c>
      <c r="Y64" s="136" t="s">
        <v>1303</v>
      </c>
      <c r="Z64" s="136" t="s">
        <v>1324</v>
      </c>
    </row>
    <row r="65">
      <c r="A65" s="136" t="s">
        <v>328</v>
      </c>
      <c r="B65" s="316">
        <v>44420.0</v>
      </c>
      <c r="C65" s="316">
        <v>44421.0</v>
      </c>
      <c r="D65" s="299">
        <v>48.0</v>
      </c>
      <c r="E65" s="136" t="s">
        <v>329</v>
      </c>
      <c r="F65" s="317" t="b">
        <v>0</v>
      </c>
      <c r="G65" s="317" t="b">
        <v>1</v>
      </c>
      <c r="H65" s="317" t="b">
        <v>0</v>
      </c>
      <c r="I65" s="317" t="b">
        <v>0</v>
      </c>
      <c r="J65" s="136" t="s">
        <v>38</v>
      </c>
      <c r="K65" s="136" t="s">
        <v>1297</v>
      </c>
      <c r="L65" s="299">
        <v>1.8383955E7</v>
      </c>
      <c r="M65" s="317" t="b">
        <v>1</v>
      </c>
      <c r="N65" s="317" t="b">
        <v>1</v>
      </c>
      <c r="O65" s="317" t="b">
        <v>0</v>
      </c>
      <c r="P65" s="317" t="b">
        <v>1</v>
      </c>
      <c r="Q65" s="317" t="b">
        <v>0</v>
      </c>
      <c r="R65" s="317" t="b">
        <v>1</v>
      </c>
      <c r="S65" s="317" t="b">
        <v>0</v>
      </c>
      <c r="T65" s="317" t="b">
        <v>0</v>
      </c>
      <c r="U65" s="317" t="b">
        <v>1</v>
      </c>
      <c r="V65" s="136" t="s">
        <v>1324</v>
      </c>
      <c r="W65" s="136" t="s">
        <v>1303</v>
      </c>
      <c r="X65" s="136" t="s">
        <v>1303</v>
      </c>
      <c r="Y65" s="136" t="s">
        <v>1303</v>
      </c>
      <c r="Z65" s="136" t="s">
        <v>1324</v>
      </c>
    </row>
    <row r="66">
      <c r="A66" s="136" t="s">
        <v>353</v>
      </c>
      <c r="B66" s="316">
        <v>44252.0</v>
      </c>
      <c r="C66" s="316">
        <v>44252.0</v>
      </c>
      <c r="D66" s="299">
        <v>7.0</v>
      </c>
      <c r="E66" s="136" t="s">
        <v>355</v>
      </c>
      <c r="F66" s="317" t="b">
        <v>0</v>
      </c>
      <c r="G66" s="317" t="b">
        <v>0</v>
      </c>
      <c r="H66" s="317" t="b">
        <v>1</v>
      </c>
      <c r="I66" s="317" t="b">
        <v>0</v>
      </c>
      <c r="J66" s="136" t="s">
        <v>38</v>
      </c>
      <c r="K66" s="136" t="s">
        <v>1298</v>
      </c>
      <c r="L66" s="299">
        <v>2963243.0</v>
      </c>
      <c r="M66" s="317" t="b">
        <v>0</v>
      </c>
      <c r="N66" s="317" t="b">
        <v>0</v>
      </c>
      <c r="O66" s="317" t="b">
        <v>0</v>
      </c>
      <c r="P66" s="317" t="b">
        <v>0</v>
      </c>
      <c r="Q66" s="317" t="b">
        <v>0</v>
      </c>
      <c r="R66" s="317" t="b">
        <v>0</v>
      </c>
      <c r="S66" s="317" t="b">
        <v>0</v>
      </c>
      <c r="T66" s="317" t="b">
        <v>0</v>
      </c>
      <c r="U66" s="317" t="b">
        <v>0</v>
      </c>
      <c r="V66" s="136" t="s">
        <v>1324</v>
      </c>
      <c r="W66" s="136" t="s">
        <v>1303</v>
      </c>
      <c r="X66" s="136" t="s">
        <v>1303</v>
      </c>
      <c r="Y66" s="136" t="s">
        <v>1303</v>
      </c>
      <c r="Z66" s="136" t="s">
        <v>1324</v>
      </c>
    </row>
    <row r="67">
      <c r="A67" s="136" t="s">
        <v>367</v>
      </c>
      <c r="B67" s="316">
        <v>42522.0</v>
      </c>
      <c r="C67" s="316">
        <v>44348.0</v>
      </c>
      <c r="D67" s="299">
        <v>48936.0</v>
      </c>
      <c r="E67" s="136" t="s">
        <v>368</v>
      </c>
      <c r="F67" s="317" t="b">
        <v>0</v>
      </c>
      <c r="G67" s="317" t="b">
        <v>0</v>
      </c>
      <c r="H67" s="317" t="b">
        <v>1</v>
      </c>
      <c r="I67" s="317" t="b">
        <v>0</v>
      </c>
      <c r="J67" s="136" t="s">
        <v>38</v>
      </c>
      <c r="K67" s="136" t="s">
        <v>1298</v>
      </c>
      <c r="L67" s="299">
        <v>1701575.0</v>
      </c>
      <c r="M67" s="317" t="b">
        <v>0</v>
      </c>
      <c r="N67" s="317" t="b">
        <v>0</v>
      </c>
      <c r="O67" s="317" t="b">
        <v>0</v>
      </c>
      <c r="P67" s="317" t="b">
        <v>0</v>
      </c>
      <c r="Q67" s="317" t="b">
        <v>1</v>
      </c>
      <c r="R67" s="317" t="b">
        <v>0</v>
      </c>
      <c r="S67" s="317" t="b">
        <v>0</v>
      </c>
      <c r="T67" s="317" t="b">
        <v>0</v>
      </c>
      <c r="U67" s="317" t="b">
        <v>1</v>
      </c>
      <c r="V67" s="136" t="s">
        <v>1303</v>
      </c>
      <c r="W67" s="136" t="s">
        <v>1303</v>
      </c>
      <c r="X67" s="136" t="s">
        <v>1324</v>
      </c>
      <c r="Y67" s="136" t="s">
        <v>1303</v>
      </c>
      <c r="Z67" s="136" t="s">
        <v>1303</v>
      </c>
    </row>
    <row r="68">
      <c r="A68" s="136" t="s">
        <v>371</v>
      </c>
      <c r="B68" s="316">
        <v>44281.0</v>
      </c>
      <c r="C68" s="316">
        <v>44284.0</v>
      </c>
      <c r="D68" s="299">
        <v>72.0</v>
      </c>
      <c r="E68" s="136" t="s">
        <v>379</v>
      </c>
      <c r="F68" s="317" t="b">
        <v>1</v>
      </c>
      <c r="G68" s="317" t="b">
        <v>0</v>
      </c>
      <c r="H68" s="317" t="b">
        <v>0</v>
      </c>
      <c r="I68" s="317" t="b">
        <v>0</v>
      </c>
      <c r="J68" s="136" t="s">
        <v>38</v>
      </c>
      <c r="K68" s="136" t="s">
        <v>1298</v>
      </c>
      <c r="L68" s="299">
        <v>1.64689383E8</v>
      </c>
      <c r="M68" s="317" t="b">
        <v>1</v>
      </c>
      <c r="N68" s="317" t="b">
        <v>0</v>
      </c>
      <c r="O68" s="317" t="b">
        <v>0</v>
      </c>
      <c r="P68" s="317" t="b">
        <v>0</v>
      </c>
      <c r="Q68" s="317" t="b">
        <v>0</v>
      </c>
      <c r="R68" s="317" t="b">
        <v>0</v>
      </c>
      <c r="S68" s="317" t="b">
        <v>0</v>
      </c>
      <c r="T68" s="317" t="b">
        <v>0</v>
      </c>
      <c r="U68" s="317" t="b">
        <v>1</v>
      </c>
      <c r="V68" s="136" t="s">
        <v>1324</v>
      </c>
      <c r="W68" s="136" t="s">
        <v>1303</v>
      </c>
      <c r="X68" s="136" t="s">
        <v>1303</v>
      </c>
      <c r="Y68" s="136" t="s">
        <v>1303</v>
      </c>
      <c r="Z68" s="136" t="s">
        <v>1324</v>
      </c>
    </row>
    <row r="69">
      <c r="A69" s="136" t="s">
        <v>394</v>
      </c>
      <c r="B69" s="316">
        <v>39995.0</v>
      </c>
      <c r="C69" s="96"/>
      <c r="D69" s="299">
        <v>109584.0</v>
      </c>
      <c r="E69" s="136" t="s">
        <v>1351</v>
      </c>
      <c r="F69" s="317" t="b">
        <v>0</v>
      </c>
      <c r="G69" s="317" t="b">
        <v>0</v>
      </c>
      <c r="H69" s="317" t="b">
        <v>1</v>
      </c>
      <c r="I69" s="317" t="b">
        <v>0</v>
      </c>
      <c r="J69" s="136" t="s">
        <v>38</v>
      </c>
      <c r="K69" s="136" t="s">
        <v>1298</v>
      </c>
      <c r="L69" s="299">
        <v>1.439323776E9</v>
      </c>
      <c r="M69" s="317" t="b">
        <v>1</v>
      </c>
      <c r="N69" s="317" t="b">
        <v>1</v>
      </c>
      <c r="O69" s="317" t="b">
        <v>1</v>
      </c>
      <c r="P69" s="317" t="b">
        <v>0</v>
      </c>
      <c r="Q69" s="317" t="b">
        <v>0</v>
      </c>
      <c r="R69" s="317" t="b">
        <v>0</v>
      </c>
      <c r="S69" s="317" t="b">
        <v>0</v>
      </c>
      <c r="T69" s="317" t="b">
        <v>0</v>
      </c>
      <c r="U69" s="317" t="b">
        <v>1</v>
      </c>
      <c r="V69" s="136" t="s">
        <v>1303</v>
      </c>
      <c r="W69" s="136" t="s">
        <v>1303</v>
      </c>
      <c r="X69" s="136" t="s">
        <v>1303</v>
      </c>
      <c r="Y69" s="136" t="s">
        <v>1324</v>
      </c>
      <c r="Z69" s="136" t="s">
        <v>1303</v>
      </c>
    </row>
    <row r="70">
      <c r="A70" s="136" t="s">
        <v>394</v>
      </c>
      <c r="B70" s="316">
        <v>42642.0</v>
      </c>
      <c r="C70" s="96"/>
      <c r="D70" s="299">
        <v>46056.0</v>
      </c>
      <c r="E70" s="136" t="s">
        <v>397</v>
      </c>
      <c r="F70" s="317" t="b">
        <v>1</v>
      </c>
      <c r="G70" s="317" t="b">
        <v>0</v>
      </c>
      <c r="H70" s="317" t="b">
        <v>0</v>
      </c>
      <c r="I70" s="317" t="b">
        <v>0</v>
      </c>
      <c r="J70" s="136" t="s">
        <v>38</v>
      </c>
      <c r="K70" s="136" t="s">
        <v>1298</v>
      </c>
      <c r="L70" s="299">
        <v>1.439323776E9</v>
      </c>
      <c r="M70" s="317" t="b">
        <v>0</v>
      </c>
      <c r="N70" s="317" t="b">
        <v>0</v>
      </c>
      <c r="O70" s="317" t="b">
        <v>0</v>
      </c>
      <c r="P70" s="317" t="b">
        <v>1</v>
      </c>
      <c r="Q70" s="317" t="b">
        <v>0</v>
      </c>
      <c r="R70" s="317" t="b">
        <v>0</v>
      </c>
      <c r="S70" s="317" t="b">
        <v>0</v>
      </c>
      <c r="T70" s="317" t="b">
        <v>0</v>
      </c>
      <c r="U70" s="317" t="b">
        <v>1</v>
      </c>
      <c r="V70" s="136" t="s">
        <v>1303</v>
      </c>
      <c r="W70" s="136" t="s">
        <v>1303</v>
      </c>
      <c r="X70" s="136" t="s">
        <v>1303</v>
      </c>
      <c r="Y70" s="136" t="s">
        <v>1324</v>
      </c>
      <c r="Z70" s="136" t="s">
        <v>1303</v>
      </c>
    </row>
    <row r="71">
      <c r="A71" s="136" t="s">
        <v>394</v>
      </c>
      <c r="B71" s="316">
        <v>42564.0</v>
      </c>
      <c r="C71" s="96"/>
      <c r="D71" s="299">
        <v>47928.0</v>
      </c>
      <c r="E71" s="136" t="s">
        <v>398</v>
      </c>
      <c r="F71" s="317" t="b">
        <v>0</v>
      </c>
      <c r="G71" s="317" t="b">
        <v>0</v>
      </c>
      <c r="H71" s="317" t="b">
        <v>1</v>
      </c>
      <c r="I71" s="317" t="b">
        <v>0</v>
      </c>
      <c r="J71" s="136" t="s">
        <v>38</v>
      </c>
      <c r="K71" s="136" t="s">
        <v>1298</v>
      </c>
      <c r="L71" s="299">
        <v>1.439323776E9</v>
      </c>
      <c r="M71" s="317" t="b">
        <v>0</v>
      </c>
      <c r="N71" s="317" t="b">
        <v>0</v>
      </c>
      <c r="O71" s="317" t="b">
        <v>0</v>
      </c>
      <c r="P71" s="317" t="b">
        <v>0</v>
      </c>
      <c r="Q71" s="317" t="b">
        <v>1</v>
      </c>
      <c r="R71" s="317" t="b">
        <v>0</v>
      </c>
      <c r="S71" s="317" t="b">
        <v>0</v>
      </c>
      <c r="T71" s="317" t="b">
        <v>0</v>
      </c>
      <c r="U71" s="317" t="b">
        <v>1</v>
      </c>
      <c r="V71" s="136" t="s">
        <v>1303</v>
      </c>
      <c r="W71" s="136" t="s">
        <v>1303</v>
      </c>
      <c r="X71" s="136" t="s">
        <v>1303</v>
      </c>
      <c r="Y71" s="136" t="s">
        <v>1324</v>
      </c>
      <c r="Z71" s="136" t="s">
        <v>1303</v>
      </c>
    </row>
    <row r="72">
      <c r="A72" s="136" t="s">
        <v>394</v>
      </c>
      <c r="B72" s="316">
        <v>42979.0</v>
      </c>
      <c r="C72" s="96"/>
      <c r="D72" s="299">
        <v>37968.0</v>
      </c>
      <c r="E72" s="136" t="s">
        <v>400</v>
      </c>
      <c r="F72" s="317" t="b">
        <v>0</v>
      </c>
      <c r="G72" s="317" t="b">
        <v>0</v>
      </c>
      <c r="H72" s="317" t="b">
        <v>1</v>
      </c>
      <c r="I72" s="317" t="b">
        <v>0</v>
      </c>
      <c r="J72" s="136" t="s">
        <v>38</v>
      </c>
      <c r="K72" s="136" t="s">
        <v>1298</v>
      </c>
      <c r="L72" s="299">
        <v>1.439323776E9</v>
      </c>
      <c r="M72" s="317" t="b">
        <v>0</v>
      </c>
      <c r="N72" s="317" t="b">
        <v>0</v>
      </c>
      <c r="O72" s="317" t="b">
        <v>0</v>
      </c>
      <c r="P72" s="317" t="b">
        <v>0</v>
      </c>
      <c r="Q72" s="317" t="b">
        <v>0</v>
      </c>
      <c r="R72" s="317" t="b">
        <v>1</v>
      </c>
      <c r="S72" s="317" t="b">
        <v>0</v>
      </c>
      <c r="T72" s="317" t="b">
        <v>0</v>
      </c>
      <c r="U72" s="317" t="b">
        <v>1</v>
      </c>
      <c r="V72" s="136" t="s">
        <v>1303</v>
      </c>
      <c r="W72" s="136" t="s">
        <v>1303</v>
      </c>
      <c r="X72" s="136" t="s">
        <v>1303</v>
      </c>
      <c r="Y72" s="136" t="s">
        <v>1324</v>
      </c>
      <c r="Z72" s="136" t="s">
        <v>1303</v>
      </c>
    </row>
    <row r="73">
      <c r="A73" s="136" t="s">
        <v>403</v>
      </c>
      <c r="B73" s="316">
        <v>43084.0</v>
      </c>
      <c r="C73" s="96"/>
      <c r="D73" s="299">
        <v>35448.0</v>
      </c>
      <c r="E73" s="136" t="s">
        <v>404</v>
      </c>
      <c r="F73" s="317" t="b">
        <v>0</v>
      </c>
      <c r="G73" s="317" t="b">
        <v>0</v>
      </c>
      <c r="H73" s="317" t="b">
        <v>1</v>
      </c>
      <c r="I73" s="317" t="b">
        <v>0</v>
      </c>
      <c r="J73" s="136" t="s">
        <v>38</v>
      </c>
      <c r="K73" s="136" t="s">
        <v>1298</v>
      </c>
      <c r="L73" s="299">
        <v>2.5778816E7</v>
      </c>
      <c r="M73" s="317" t="b">
        <v>0</v>
      </c>
      <c r="N73" s="317" t="b">
        <v>0</v>
      </c>
      <c r="O73" s="317" t="b">
        <v>0</v>
      </c>
      <c r="P73" s="317" t="b">
        <v>0</v>
      </c>
      <c r="Q73" s="317" t="b">
        <v>0</v>
      </c>
      <c r="R73" s="317" t="b">
        <v>1</v>
      </c>
      <c r="S73" s="317" t="b">
        <v>0</v>
      </c>
      <c r="T73" s="317" t="b">
        <v>0</v>
      </c>
      <c r="U73" s="317" t="b">
        <v>1</v>
      </c>
      <c r="V73" s="136" t="s">
        <v>1303</v>
      </c>
      <c r="W73" s="136" t="s">
        <v>1303</v>
      </c>
      <c r="X73" s="136" t="s">
        <v>1303</v>
      </c>
      <c r="Y73" s="136" t="s">
        <v>1324</v>
      </c>
      <c r="Z73" s="136" t="s">
        <v>1303</v>
      </c>
    </row>
    <row r="74">
      <c r="A74" s="136" t="s">
        <v>403</v>
      </c>
      <c r="B74" s="316">
        <v>42981.0</v>
      </c>
      <c r="C74" s="96"/>
      <c r="D74" s="299">
        <v>37920.0</v>
      </c>
      <c r="E74" s="136" t="s">
        <v>406</v>
      </c>
      <c r="F74" s="317" t="b">
        <v>0</v>
      </c>
      <c r="G74" s="317" t="b">
        <v>0</v>
      </c>
      <c r="H74" s="317" t="b">
        <v>1</v>
      </c>
      <c r="I74" s="317" t="b">
        <v>0</v>
      </c>
      <c r="J74" s="136" t="s">
        <v>38</v>
      </c>
      <c r="K74" s="136" t="s">
        <v>1298</v>
      </c>
      <c r="L74" s="299">
        <v>2.5778816E7</v>
      </c>
      <c r="M74" s="317" t="b">
        <v>1</v>
      </c>
      <c r="N74" s="317" t="b">
        <v>1</v>
      </c>
      <c r="O74" s="317" t="b">
        <v>1</v>
      </c>
      <c r="P74" s="317" t="b">
        <v>0</v>
      </c>
      <c r="Q74" s="317" t="b">
        <v>0</v>
      </c>
      <c r="R74" s="317" t="b">
        <v>0</v>
      </c>
      <c r="S74" s="317" t="b">
        <v>0</v>
      </c>
      <c r="T74" s="317" t="b">
        <v>0</v>
      </c>
      <c r="U74" s="317" t="b">
        <v>1</v>
      </c>
      <c r="V74" s="136" t="s">
        <v>1303</v>
      </c>
      <c r="W74" s="136" t="s">
        <v>1303</v>
      </c>
      <c r="X74" s="136" t="s">
        <v>1303</v>
      </c>
      <c r="Y74" s="136" t="s">
        <v>1324</v>
      </c>
      <c r="Z74" s="136" t="s">
        <v>1303</v>
      </c>
    </row>
    <row r="75">
      <c r="A75" s="136" t="s">
        <v>403</v>
      </c>
      <c r="B75" s="316">
        <v>42177.0</v>
      </c>
      <c r="C75" s="96"/>
      <c r="D75" s="299">
        <v>57216.0</v>
      </c>
      <c r="E75" s="136" t="s">
        <v>408</v>
      </c>
      <c r="F75" s="317" t="b">
        <v>0</v>
      </c>
      <c r="G75" s="317" t="b">
        <v>0</v>
      </c>
      <c r="H75" s="317" t="b">
        <v>1</v>
      </c>
      <c r="I75" s="317" t="b">
        <v>0</v>
      </c>
      <c r="J75" s="136" t="s">
        <v>38</v>
      </c>
      <c r="K75" s="136" t="s">
        <v>1298</v>
      </c>
      <c r="L75" s="299">
        <v>2.5778816E7</v>
      </c>
      <c r="M75" s="317" t="b">
        <v>0</v>
      </c>
      <c r="N75" s="317" t="b">
        <v>0</v>
      </c>
      <c r="O75" s="317" t="b">
        <v>0</v>
      </c>
      <c r="P75" s="317" t="b">
        <v>1</v>
      </c>
      <c r="Q75" s="317" t="b">
        <v>0</v>
      </c>
      <c r="R75" s="317" t="b">
        <v>0</v>
      </c>
      <c r="S75" s="317" t="b">
        <v>0</v>
      </c>
      <c r="T75" s="317" t="b">
        <v>0</v>
      </c>
      <c r="U75" s="317" t="b">
        <v>1</v>
      </c>
      <c r="V75" s="136" t="s">
        <v>1303</v>
      </c>
      <c r="W75" s="136" t="s">
        <v>1303</v>
      </c>
      <c r="X75" s="136" t="s">
        <v>1303</v>
      </c>
      <c r="Y75" s="136" t="s">
        <v>1324</v>
      </c>
      <c r="Z75" s="136" t="s">
        <v>1303</v>
      </c>
    </row>
    <row r="76">
      <c r="A76" s="136" t="s">
        <v>417</v>
      </c>
      <c r="B76" s="316">
        <v>43984.0</v>
      </c>
      <c r="C76" s="96"/>
      <c r="D76" s="299">
        <v>13848.0</v>
      </c>
      <c r="E76" s="136" t="s">
        <v>484</v>
      </c>
      <c r="F76" s="317" t="b">
        <v>0</v>
      </c>
      <c r="G76" s="317" t="b">
        <v>0</v>
      </c>
      <c r="H76" s="317" t="b">
        <v>0</v>
      </c>
      <c r="I76" s="317" t="b">
        <v>1</v>
      </c>
      <c r="J76" s="136" t="s">
        <v>38</v>
      </c>
      <c r="K76" s="136" t="s">
        <v>1298</v>
      </c>
      <c r="L76" s="299">
        <v>1.380004385E9</v>
      </c>
      <c r="M76" s="317" t="b">
        <v>0</v>
      </c>
      <c r="N76" s="317" t="b">
        <v>0</v>
      </c>
      <c r="O76" s="317" t="b">
        <v>0</v>
      </c>
      <c r="P76" s="317" t="b">
        <v>0</v>
      </c>
      <c r="Q76" s="317" t="b">
        <v>0</v>
      </c>
      <c r="R76" s="317" t="b">
        <v>0</v>
      </c>
      <c r="S76" s="317" t="b">
        <v>1</v>
      </c>
      <c r="T76" s="317" t="b">
        <v>1</v>
      </c>
      <c r="U76" s="317" t="b">
        <v>1</v>
      </c>
      <c r="V76" s="136" t="s">
        <v>1303</v>
      </c>
      <c r="W76" s="136" t="s">
        <v>1303</v>
      </c>
      <c r="X76" s="136" t="s">
        <v>1303</v>
      </c>
      <c r="Y76" s="136" t="s">
        <v>1324</v>
      </c>
      <c r="Z76" s="136" t="s">
        <v>1303</v>
      </c>
    </row>
    <row r="77">
      <c r="A77" s="136" t="s">
        <v>515</v>
      </c>
      <c r="B77" s="316">
        <v>44433.0</v>
      </c>
      <c r="C77" s="316">
        <v>44433.0</v>
      </c>
      <c r="D77" s="299">
        <v>3.0</v>
      </c>
      <c r="E77" s="136" t="s">
        <v>516</v>
      </c>
      <c r="F77" s="317" t="b">
        <v>0</v>
      </c>
      <c r="G77" s="317" t="b">
        <v>0</v>
      </c>
      <c r="H77" s="317" t="b">
        <v>1</v>
      </c>
      <c r="I77" s="317" t="b">
        <v>0</v>
      </c>
      <c r="J77" s="136" t="s">
        <v>517</v>
      </c>
      <c r="K77" s="136" t="s">
        <v>1298</v>
      </c>
      <c r="L77" s="299">
        <v>327000.0</v>
      </c>
      <c r="M77" s="317" t="b">
        <v>0</v>
      </c>
      <c r="N77" s="317" t="b">
        <v>0</v>
      </c>
      <c r="O77" s="317" t="b">
        <v>0</v>
      </c>
      <c r="P77" s="317" t="b">
        <v>0</v>
      </c>
      <c r="Q77" s="317" t="b">
        <v>0</v>
      </c>
      <c r="R77" s="317" t="b">
        <v>0</v>
      </c>
      <c r="S77" s="317" t="b">
        <v>0</v>
      </c>
      <c r="T77" s="317" t="b">
        <v>0</v>
      </c>
      <c r="U77" s="317" t="b">
        <v>0</v>
      </c>
      <c r="V77" s="136" t="s">
        <v>1324</v>
      </c>
      <c r="W77" s="136" t="s">
        <v>1303</v>
      </c>
      <c r="X77" s="136" t="s">
        <v>1303</v>
      </c>
      <c r="Y77" s="136" t="s">
        <v>1303</v>
      </c>
      <c r="Z77" s="136" t="s">
        <v>1324</v>
      </c>
    </row>
    <row r="78">
      <c r="A78" s="136" t="s">
        <v>523</v>
      </c>
      <c r="B78" s="316">
        <v>44525.0</v>
      </c>
      <c r="C78" s="316">
        <v>44527.0</v>
      </c>
      <c r="D78" s="299">
        <v>48.0</v>
      </c>
      <c r="E78" s="136" t="s">
        <v>560</v>
      </c>
      <c r="F78" s="317" t="b">
        <v>1</v>
      </c>
      <c r="G78" s="317" t="b">
        <v>0</v>
      </c>
      <c r="H78" s="317" t="b">
        <v>0</v>
      </c>
      <c r="I78" s="317" t="b">
        <v>0</v>
      </c>
      <c r="J78" s="136" t="s">
        <v>561</v>
      </c>
      <c r="K78" s="136" t="s">
        <v>1298</v>
      </c>
      <c r="L78" s="299">
        <v>2388309.0</v>
      </c>
      <c r="M78" s="317" t="b">
        <v>0</v>
      </c>
      <c r="N78" s="317" t="b">
        <v>0</v>
      </c>
      <c r="O78" s="317" t="b">
        <v>0</v>
      </c>
      <c r="P78" s="317" t="b">
        <v>0</v>
      </c>
      <c r="Q78" s="317" t="b">
        <v>0</v>
      </c>
      <c r="R78" s="317" t="b">
        <v>0</v>
      </c>
      <c r="S78" s="317" t="b">
        <v>0</v>
      </c>
      <c r="T78" s="317" t="b">
        <v>0</v>
      </c>
      <c r="U78" s="317" t="b">
        <v>0</v>
      </c>
      <c r="V78" s="136" t="s">
        <v>1324</v>
      </c>
      <c r="W78" s="136" t="s">
        <v>1303</v>
      </c>
      <c r="X78" s="136" t="s">
        <v>1303</v>
      </c>
      <c r="Y78" s="136" t="s">
        <v>1303</v>
      </c>
      <c r="Z78" s="136" t="s">
        <v>1324</v>
      </c>
    </row>
    <row r="79">
      <c r="A79" s="136" t="s">
        <v>523</v>
      </c>
      <c r="B79" s="316">
        <v>44392.0</v>
      </c>
      <c r="C79" s="316">
        <v>44398.0</v>
      </c>
      <c r="D79" s="299">
        <v>144.0</v>
      </c>
      <c r="E79" s="136" t="s">
        <v>562</v>
      </c>
      <c r="F79" s="317" t="b">
        <v>1</v>
      </c>
      <c r="G79" s="317" t="b">
        <v>0</v>
      </c>
      <c r="H79" s="317" t="b">
        <v>0</v>
      </c>
      <c r="I79" s="317" t="b">
        <v>0</v>
      </c>
      <c r="J79" s="136" t="s">
        <v>563</v>
      </c>
      <c r="K79" s="136" t="s">
        <v>1298</v>
      </c>
      <c r="L79" s="299">
        <v>4710509.0</v>
      </c>
      <c r="M79" s="317" t="b">
        <v>0</v>
      </c>
      <c r="N79" s="317" t="b">
        <v>0</v>
      </c>
      <c r="O79" s="317" t="b">
        <v>0</v>
      </c>
      <c r="P79" s="317" t="b">
        <v>0</v>
      </c>
      <c r="Q79" s="317" t="b">
        <v>0</v>
      </c>
      <c r="R79" s="317" t="b">
        <v>0</v>
      </c>
      <c r="S79" s="317" t="b">
        <v>0</v>
      </c>
      <c r="T79" s="317" t="b">
        <v>0</v>
      </c>
      <c r="U79" s="317" t="b">
        <v>0</v>
      </c>
      <c r="V79" s="136" t="s">
        <v>1324</v>
      </c>
      <c r="W79" s="136" t="s">
        <v>1303</v>
      </c>
      <c r="X79" s="136" t="s">
        <v>1303</v>
      </c>
      <c r="Y79" s="136" t="s">
        <v>1303</v>
      </c>
      <c r="Z79" s="136" t="s">
        <v>1324</v>
      </c>
    </row>
    <row r="80">
      <c r="A80" s="136" t="s">
        <v>523</v>
      </c>
      <c r="B80" s="316">
        <v>44367.0</v>
      </c>
      <c r="C80" s="316">
        <v>44368.0</v>
      </c>
      <c r="D80" s="299">
        <v>24.0</v>
      </c>
      <c r="E80" s="136" t="s">
        <v>564</v>
      </c>
      <c r="F80" s="317" t="b">
        <v>0</v>
      </c>
      <c r="G80" s="317" t="b">
        <v>1</v>
      </c>
      <c r="H80" s="317" t="b">
        <v>0</v>
      </c>
      <c r="I80" s="317" t="b">
        <v>0</v>
      </c>
      <c r="J80" s="136" t="s">
        <v>565</v>
      </c>
      <c r="K80" s="136" t="s">
        <v>1298</v>
      </c>
      <c r="L80" s="299">
        <v>134532.0</v>
      </c>
      <c r="M80" s="317" t="b">
        <v>0</v>
      </c>
      <c r="N80" s="317" t="b">
        <v>0</v>
      </c>
      <c r="O80" s="317" t="b">
        <v>0</v>
      </c>
      <c r="P80" s="317" t="b">
        <v>0</v>
      </c>
      <c r="Q80" s="317" t="b">
        <v>0</v>
      </c>
      <c r="R80" s="317" t="b">
        <v>0</v>
      </c>
      <c r="S80" s="317" t="b">
        <v>0</v>
      </c>
      <c r="T80" s="317" t="b">
        <v>0</v>
      </c>
      <c r="U80" s="317" t="b">
        <v>0</v>
      </c>
      <c r="V80" s="136" t="s">
        <v>1324</v>
      </c>
      <c r="W80" s="136" t="s">
        <v>1303</v>
      </c>
      <c r="X80" s="136" t="s">
        <v>1303</v>
      </c>
      <c r="Y80" s="136" t="s">
        <v>1303</v>
      </c>
      <c r="Z80" s="136" t="s">
        <v>1324</v>
      </c>
    </row>
    <row r="81">
      <c r="A81" s="136" t="s">
        <v>523</v>
      </c>
      <c r="B81" s="316">
        <v>44254.0</v>
      </c>
      <c r="C81" s="316">
        <v>44254.0</v>
      </c>
      <c r="D81" s="299">
        <v>2.0</v>
      </c>
      <c r="E81" s="136" t="s">
        <v>566</v>
      </c>
      <c r="F81" s="317" t="b">
        <v>1</v>
      </c>
      <c r="G81" s="317" t="b">
        <v>0</v>
      </c>
      <c r="H81" s="317" t="b">
        <v>0</v>
      </c>
      <c r="I81" s="317" t="b">
        <v>0</v>
      </c>
      <c r="J81" s="136" t="s">
        <v>567</v>
      </c>
      <c r="K81" s="136" t="s">
        <v>1298</v>
      </c>
      <c r="L81" s="299">
        <v>2775014.0</v>
      </c>
      <c r="M81" s="317" t="b">
        <v>0</v>
      </c>
      <c r="N81" s="317" t="b">
        <v>0</v>
      </c>
      <c r="O81" s="317" t="b">
        <v>0</v>
      </c>
      <c r="P81" s="317" t="b">
        <v>0</v>
      </c>
      <c r="Q81" s="317" t="b">
        <v>0</v>
      </c>
      <c r="R81" s="317" t="b">
        <v>0</v>
      </c>
      <c r="S81" s="317" t="b">
        <v>0</v>
      </c>
      <c r="T81" s="317" t="b">
        <v>0</v>
      </c>
      <c r="U81" s="317" t="b">
        <v>0</v>
      </c>
      <c r="V81" s="136" t="s">
        <v>1324</v>
      </c>
      <c r="W81" s="136" t="s">
        <v>1303</v>
      </c>
      <c r="X81" s="136" t="s">
        <v>1303</v>
      </c>
      <c r="Y81" s="136" t="s">
        <v>1303</v>
      </c>
      <c r="Z81" s="136" t="s">
        <v>1324</v>
      </c>
    </row>
    <row r="82">
      <c r="A82" s="136" t="s">
        <v>523</v>
      </c>
      <c r="B82" s="316">
        <v>44251.0</v>
      </c>
      <c r="C82" s="316">
        <v>44255.0</v>
      </c>
      <c r="D82" s="299">
        <v>96.0</v>
      </c>
      <c r="E82" s="136" t="s">
        <v>568</v>
      </c>
      <c r="F82" s="317" t="b">
        <v>1</v>
      </c>
      <c r="G82" s="317" t="b">
        <v>0</v>
      </c>
      <c r="H82" s="317" t="b">
        <v>0</v>
      </c>
      <c r="I82" s="317" t="b">
        <v>0</v>
      </c>
      <c r="J82" s="136" t="s">
        <v>567</v>
      </c>
      <c r="K82" s="136" t="s">
        <v>1298</v>
      </c>
      <c r="L82" s="299">
        <v>2775014.0</v>
      </c>
      <c r="M82" s="317" t="b">
        <v>0</v>
      </c>
      <c r="N82" s="317" t="b">
        <v>0</v>
      </c>
      <c r="O82" s="317" t="b">
        <v>0</v>
      </c>
      <c r="P82" s="317" t="b">
        <v>0</v>
      </c>
      <c r="Q82" s="317" t="b">
        <v>0</v>
      </c>
      <c r="R82" s="317" t="b">
        <v>0</v>
      </c>
      <c r="S82" s="317" t="b">
        <v>0</v>
      </c>
      <c r="T82" s="317" t="b">
        <v>0</v>
      </c>
      <c r="U82" s="317" t="b">
        <v>0</v>
      </c>
      <c r="V82" s="136" t="s">
        <v>1324</v>
      </c>
      <c r="W82" s="136" t="s">
        <v>1303</v>
      </c>
      <c r="X82" s="136" t="s">
        <v>1303</v>
      </c>
      <c r="Y82" s="136" t="s">
        <v>1303</v>
      </c>
      <c r="Z82" s="136" t="s">
        <v>1324</v>
      </c>
    </row>
    <row r="83">
      <c r="A83" s="136" t="s">
        <v>523</v>
      </c>
      <c r="B83" s="316">
        <v>39957.0</v>
      </c>
      <c r="C83" s="96"/>
      <c r="D83" s="299">
        <v>110496.0</v>
      </c>
      <c r="E83" s="136" t="s">
        <v>581</v>
      </c>
      <c r="F83" s="317" t="b">
        <v>0</v>
      </c>
      <c r="G83" s="317" t="b">
        <v>1</v>
      </c>
      <c r="H83" s="317" t="b">
        <v>0</v>
      </c>
      <c r="I83" s="317" t="b">
        <v>0</v>
      </c>
      <c r="J83" s="136" t="s">
        <v>38</v>
      </c>
      <c r="K83" s="136" t="s">
        <v>1298</v>
      </c>
      <c r="L83" s="299">
        <v>8.3992949E7</v>
      </c>
      <c r="M83" s="317" t="b">
        <v>1</v>
      </c>
      <c r="N83" s="317" t="b">
        <v>1</v>
      </c>
      <c r="O83" s="317" t="b">
        <v>0</v>
      </c>
      <c r="P83" s="317" t="b">
        <v>0</v>
      </c>
      <c r="Q83" s="317" t="b">
        <v>0</v>
      </c>
      <c r="R83" s="317" t="b">
        <v>0</v>
      </c>
      <c r="S83" s="317" t="b">
        <v>0</v>
      </c>
      <c r="T83" s="317" t="b">
        <v>0</v>
      </c>
      <c r="U83" s="317" t="b">
        <v>1</v>
      </c>
      <c r="V83" s="136" t="s">
        <v>1303</v>
      </c>
      <c r="W83" s="136" t="s">
        <v>1303</v>
      </c>
      <c r="X83" s="136" t="s">
        <v>1303</v>
      </c>
      <c r="Y83" s="136" t="s">
        <v>1324</v>
      </c>
      <c r="Z83" s="136" t="s">
        <v>1303</v>
      </c>
    </row>
    <row r="84">
      <c r="A84" s="136" t="s">
        <v>523</v>
      </c>
      <c r="B84" s="316">
        <v>39977.0</v>
      </c>
      <c r="C84" s="96"/>
      <c r="D84" s="299">
        <v>110016.0</v>
      </c>
      <c r="E84" s="136" t="s">
        <v>582</v>
      </c>
      <c r="F84" s="317" t="b">
        <v>0</v>
      </c>
      <c r="G84" s="317" t="b">
        <v>1</v>
      </c>
      <c r="H84" s="317" t="b">
        <v>0</v>
      </c>
      <c r="I84" s="317" t="b">
        <v>0</v>
      </c>
      <c r="J84" s="136" t="s">
        <v>38</v>
      </c>
      <c r="K84" s="136" t="s">
        <v>1298</v>
      </c>
      <c r="L84" s="299">
        <v>8.3992949E7</v>
      </c>
      <c r="M84" s="317" t="b">
        <v>0</v>
      </c>
      <c r="N84" s="317" t="b">
        <v>0</v>
      </c>
      <c r="O84" s="317" t="b">
        <v>1</v>
      </c>
      <c r="P84" s="317" t="b">
        <v>0</v>
      </c>
      <c r="Q84" s="317" t="b">
        <v>0</v>
      </c>
      <c r="R84" s="317" t="b">
        <v>0</v>
      </c>
      <c r="S84" s="317" t="b">
        <v>0</v>
      </c>
      <c r="T84" s="317" t="b">
        <v>0</v>
      </c>
      <c r="U84" s="317" t="b">
        <v>1</v>
      </c>
      <c r="V84" s="136" t="s">
        <v>1303</v>
      </c>
      <c r="W84" s="136" t="s">
        <v>1303</v>
      </c>
      <c r="X84" s="136" t="s">
        <v>1303</v>
      </c>
      <c r="Y84" s="136" t="s">
        <v>1324</v>
      </c>
      <c r="Z84" s="136" t="s">
        <v>1303</v>
      </c>
    </row>
    <row r="85">
      <c r="A85" s="136" t="s">
        <v>523</v>
      </c>
      <c r="B85" s="316">
        <v>43220.0</v>
      </c>
      <c r="C85" s="96"/>
      <c r="D85" s="299">
        <v>32184.0</v>
      </c>
      <c r="E85" s="136" t="s">
        <v>587</v>
      </c>
      <c r="F85" s="317" t="b">
        <v>0</v>
      </c>
      <c r="G85" s="317" t="b">
        <v>0</v>
      </c>
      <c r="H85" s="317" t="b">
        <v>1</v>
      </c>
      <c r="I85" s="317" t="b">
        <v>0</v>
      </c>
      <c r="J85" s="136" t="s">
        <v>38</v>
      </c>
      <c r="K85" s="136" t="s">
        <v>1298</v>
      </c>
      <c r="L85" s="299">
        <v>8.3992949E7</v>
      </c>
      <c r="M85" s="317" t="b">
        <v>0</v>
      </c>
      <c r="N85" s="317" t="b">
        <v>0</v>
      </c>
      <c r="O85" s="317" t="b">
        <v>0</v>
      </c>
      <c r="P85" s="317" t="b">
        <v>0</v>
      </c>
      <c r="Q85" s="317" t="b">
        <v>1</v>
      </c>
      <c r="R85" s="317" t="b">
        <v>0</v>
      </c>
      <c r="S85" s="317" t="b">
        <v>0</v>
      </c>
      <c r="T85" s="317" t="b">
        <v>0</v>
      </c>
      <c r="U85" s="317" t="b">
        <v>1</v>
      </c>
      <c r="V85" s="136" t="s">
        <v>1303</v>
      </c>
      <c r="W85" s="136" t="s">
        <v>1303</v>
      </c>
      <c r="X85" s="136" t="s">
        <v>1303</v>
      </c>
      <c r="Y85" s="136" t="s">
        <v>1324</v>
      </c>
      <c r="Z85" s="136" t="s">
        <v>1303</v>
      </c>
    </row>
    <row r="86">
      <c r="A86" s="136" t="s">
        <v>642</v>
      </c>
      <c r="B86" s="316">
        <v>44289.0</v>
      </c>
      <c r="C86" s="316">
        <v>44291.0</v>
      </c>
      <c r="D86" s="299">
        <v>48.0</v>
      </c>
      <c r="E86" s="136" t="s">
        <v>647</v>
      </c>
      <c r="F86" s="317" t="b">
        <v>0</v>
      </c>
      <c r="G86" s="317" t="b">
        <v>0</v>
      </c>
      <c r="H86" s="317" t="b">
        <v>1</v>
      </c>
      <c r="I86" s="317" t="b">
        <v>0</v>
      </c>
      <c r="J86" s="136" t="s">
        <v>648</v>
      </c>
      <c r="K86" s="136" t="s">
        <v>1298</v>
      </c>
      <c r="L86" s="299">
        <v>1356046.0</v>
      </c>
      <c r="M86" s="317" t="b">
        <v>0</v>
      </c>
      <c r="N86" s="317" t="b">
        <v>0</v>
      </c>
      <c r="O86" s="317" t="b">
        <v>0</v>
      </c>
      <c r="P86" s="317" t="b">
        <v>0</v>
      </c>
      <c r="Q86" s="317" t="b">
        <v>0</v>
      </c>
      <c r="R86" s="317" t="b">
        <v>0</v>
      </c>
      <c r="S86" s="317" t="b">
        <v>0</v>
      </c>
      <c r="T86" s="317" t="b">
        <v>0</v>
      </c>
      <c r="U86" s="317" t="b">
        <v>0</v>
      </c>
      <c r="V86" s="136" t="s">
        <v>1324</v>
      </c>
      <c r="W86" s="136" t="s">
        <v>1303</v>
      </c>
      <c r="X86" s="136" t="s">
        <v>1303</v>
      </c>
      <c r="Y86" s="136" t="s">
        <v>1303</v>
      </c>
      <c r="Z86" s="136" t="s">
        <v>1324</v>
      </c>
    </row>
    <row r="87">
      <c r="A87" s="136" t="s">
        <v>653</v>
      </c>
      <c r="B87" s="316">
        <v>44283.0</v>
      </c>
      <c r="C87" s="316">
        <v>44283.0</v>
      </c>
      <c r="D87" s="299">
        <v>3.0</v>
      </c>
      <c r="E87" s="136" t="s">
        <v>657</v>
      </c>
      <c r="F87" s="317" t="b">
        <v>1</v>
      </c>
      <c r="G87" s="317" t="b">
        <v>0</v>
      </c>
      <c r="H87" s="317" t="b">
        <v>0</v>
      </c>
      <c r="I87" s="317" t="b">
        <v>0</v>
      </c>
      <c r="J87" s="136" t="s">
        <v>1367</v>
      </c>
      <c r="K87" s="136" t="s">
        <v>1298</v>
      </c>
      <c r="L87" s="299">
        <v>2346504.0</v>
      </c>
      <c r="M87" s="317" t="b">
        <v>0</v>
      </c>
      <c r="N87" s="317" t="b">
        <v>0</v>
      </c>
      <c r="O87" s="317" t="b">
        <v>0</v>
      </c>
      <c r="P87" s="317" t="b">
        <v>0</v>
      </c>
      <c r="Q87" s="317" t="b">
        <v>0</v>
      </c>
      <c r="R87" s="317" t="b">
        <v>0</v>
      </c>
      <c r="S87" s="317" t="b">
        <v>0</v>
      </c>
      <c r="T87" s="317" t="b">
        <v>0</v>
      </c>
      <c r="U87" s="317" t="b">
        <v>0</v>
      </c>
      <c r="V87" s="136" t="s">
        <v>1324</v>
      </c>
      <c r="W87" s="136" t="s">
        <v>1303</v>
      </c>
      <c r="X87" s="136" t="s">
        <v>1303</v>
      </c>
      <c r="Y87" s="136" t="s">
        <v>1303</v>
      </c>
      <c r="Z87" s="136" t="s">
        <v>1324</v>
      </c>
    </row>
    <row r="88">
      <c r="A88" s="136" t="s">
        <v>681</v>
      </c>
      <c r="B88" s="316">
        <v>44453.0</v>
      </c>
      <c r="C88" s="316">
        <v>44467.0</v>
      </c>
      <c r="D88" s="299">
        <v>336.0</v>
      </c>
      <c r="E88" s="136" t="s">
        <v>682</v>
      </c>
      <c r="F88" s="317" t="b">
        <v>1</v>
      </c>
      <c r="G88" s="317" t="b">
        <v>0</v>
      </c>
      <c r="H88" s="317" t="b">
        <v>0</v>
      </c>
      <c r="I88" s="317" t="b">
        <v>0</v>
      </c>
      <c r="J88" s="136" t="s">
        <v>683</v>
      </c>
      <c r="K88" s="136" t="s">
        <v>1298</v>
      </c>
      <c r="L88" s="299">
        <v>3552034.0</v>
      </c>
      <c r="M88" s="317" t="b">
        <v>0</v>
      </c>
      <c r="N88" s="317" t="b">
        <v>0</v>
      </c>
      <c r="O88" s="317" t="b">
        <v>0</v>
      </c>
      <c r="P88" s="317" t="b">
        <v>0</v>
      </c>
      <c r="Q88" s="317" t="b">
        <v>0</v>
      </c>
      <c r="R88" s="317" t="b">
        <v>0</v>
      </c>
      <c r="S88" s="317" t="b">
        <v>0</v>
      </c>
      <c r="T88" s="317" t="b">
        <v>0</v>
      </c>
      <c r="U88" s="317" t="b">
        <v>0</v>
      </c>
      <c r="V88" s="136" t="s">
        <v>1324</v>
      </c>
      <c r="W88" s="136" t="s">
        <v>1303</v>
      </c>
      <c r="X88" s="136" t="s">
        <v>1303</v>
      </c>
      <c r="Y88" s="136" t="s">
        <v>1303</v>
      </c>
      <c r="Z88" s="136" t="s">
        <v>1324</v>
      </c>
    </row>
    <row r="89">
      <c r="A89" s="136" t="s">
        <v>681</v>
      </c>
      <c r="B89" s="316">
        <v>44351.0</v>
      </c>
      <c r="C89" s="316">
        <v>44351.0</v>
      </c>
      <c r="D89" s="299">
        <v>1.0</v>
      </c>
      <c r="E89" s="136" t="s">
        <v>686</v>
      </c>
      <c r="F89" s="317" t="b">
        <v>0</v>
      </c>
      <c r="G89" s="317" t="b">
        <v>0</v>
      </c>
      <c r="H89" s="317" t="b">
        <v>1</v>
      </c>
      <c r="I89" s="317" t="b">
        <v>0</v>
      </c>
      <c r="J89" s="136" t="s">
        <v>38</v>
      </c>
      <c r="K89" s="136" t="s">
        <v>1298</v>
      </c>
      <c r="L89" s="299">
        <v>5.44098E7</v>
      </c>
      <c r="M89" s="317" t="b">
        <v>0</v>
      </c>
      <c r="N89" s="317" t="b">
        <v>0</v>
      </c>
      <c r="O89" s="317" t="b">
        <v>0</v>
      </c>
      <c r="P89" s="317" t="b">
        <v>0</v>
      </c>
      <c r="Q89" s="317" t="b">
        <v>0</v>
      </c>
      <c r="R89" s="317" t="b">
        <v>0</v>
      </c>
      <c r="S89" s="317" t="b">
        <v>0</v>
      </c>
      <c r="T89" s="317" t="b">
        <v>0</v>
      </c>
      <c r="U89" s="317" t="b">
        <v>0</v>
      </c>
      <c r="V89" s="136" t="s">
        <v>1324</v>
      </c>
      <c r="W89" s="136" t="s">
        <v>1303</v>
      </c>
      <c r="X89" s="136" t="s">
        <v>1303</v>
      </c>
      <c r="Y89" s="136" t="s">
        <v>1303</v>
      </c>
      <c r="Z89" s="136" t="s">
        <v>1324</v>
      </c>
    </row>
    <row r="90">
      <c r="A90" s="136" t="s">
        <v>681</v>
      </c>
      <c r="B90" s="316">
        <v>44232.0</v>
      </c>
      <c r="C90" s="96"/>
      <c r="D90" s="299">
        <v>7896.0</v>
      </c>
      <c r="E90" s="136" t="s">
        <v>687</v>
      </c>
      <c r="F90" s="317" t="b">
        <v>0</v>
      </c>
      <c r="G90" s="317" t="b">
        <v>0</v>
      </c>
      <c r="H90" s="317" t="b">
        <v>1</v>
      </c>
      <c r="I90" s="317" t="b">
        <v>0</v>
      </c>
      <c r="J90" s="136" t="s">
        <v>38</v>
      </c>
      <c r="K90" s="136" t="s">
        <v>1298</v>
      </c>
      <c r="L90" s="299">
        <v>5.44098E7</v>
      </c>
      <c r="M90" s="317" t="b">
        <v>0</v>
      </c>
      <c r="N90" s="317" t="b">
        <v>1</v>
      </c>
      <c r="O90" s="317" t="b">
        <v>0</v>
      </c>
      <c r="P90" s="317" t="b">
        <v>0</v>
      </c>
      <c r="Q90" s="317" t="b">
        <v>0</v>
      </c>
      <c r="R90" s="317" t="b">
        <v>0</v>
      </c>
      <c r="S90" s="317" t="b">
        <v>0</v>
      </c>
      <c r="T90" s="317" t="b">
        <v>0</v>
      </c>
      <c r="U90" s="317" t="b">
        <v>1</v>
      </c>
      <c r="V90" s="136" t="s">
        <v>1303</v>
      </c>
      <c r="W90" s="136" t="s">
        <v>1324</v>
      </c>
      <c r="X90" s="136" t="s">
        <v>1303</v>
      </c>
      <c r="Y90" s="136" t="s">
        <v>1303</v>
      </c>
      <c r="Z90" s="136" t="s">
        <v>1324</v>
      </c>
    </row>
    <row r="91">
      <c r="A91" s="136" t="s">
        <v>681</v>
      </c>
      <c r="B91" s="316">
        <v>44230.0</v>
      </c>
      <c r="C91" s="96"/>
      <c r="D91" s="299">
        <v>7944.0</v>
      </c>
      <c r="E91" s="136" t="s">
        <v>688</v>
      </c>
      <c r="F91" s="317" t="b">
        <v>0</v>
      </c>
      <c r="G91" s="317" t="b">
        <v>0</v>
      </c>
      <c r="H91" s="317" t="b">
        <v>1</v>
      </c>
      <c r="I91" s="317" t="b">
        <v>0</v>
      </c>
      <c r="J91" s="136" t="s">
        <v>38</v>
      </c>
      <c r="K91" s="136" t="s">
        <v>1298</v>
      </c>
      <c r="L91" s="299">
        <v>5.44098E7</v>
      </c>
      <c r="M91" s="317" t="b">
        <v>1</v>
      </c>
      <c r="N91" s="317" t="b">
        <v>0</v>
      </c>
      <c r="O91" s="317" t="b">
        <v>0</v>
      </c>
      <c r="P91" s="317" t="b">
        <v>1</v>
      </c>
      <c r="Q91" s="317" t="b">
        <v>0</v>
      </c>
      <c r="R91" s="317" t="b">
        <v>1</v>
      </c>
      <c r="S91" s="317" t="b">
        <v>0</v>
      </c>
      <c r="T91" s="317" t="b">
        <v>0</v>
      </c>
      <c r="U91" s="317" t="b">
        <v>1</v>
      </c>
      <c r="V91" s="136" t="s">
        <v>1303</v>
      </c>
      <c r="W91" s="136" t="s">
        <v>1324</v>
      </c>
      <c r="X91" s="136" t="s">
        <v>1303</v>
      </c>
      <c r="Y91" s="136" t="s">
        <v>1303</v>
      </c>
      <c r="Z91" s="136" t="s">
        <v>1324</v>
      </c>
    </row>
    <row r="92">
      <c r="A92" s="136" t="s">
        <v>681</v>
      </c>
      <c r="B92" s="316">
        <v>44228.0</v>
      </c>
      <c r="C92" s="316">
        <v>44313.0</v>
      </c>
      <c r="D92" s="299">
        <v>767.0</v>
      </c>
      <c r="E92" s="136" t="s">
        <v>689</v>
      </c>
      <c r="F92" s="317" t="b">
        <v>0</v>
      </c>
      <c r="G92" s="317" t="b">
        <v>0</v>
      </c>
      <c r="H92" s="317" t="b">
        <v>1</v>
      </c>
      <c r="I92" s="317" t="b">
        <v>0</v>
      </c>
      <c r="J92" s="136" t="s">
        <v>38</v>
      </c>
      <c r="K92" s="136" t="s">
        <v>1298</v>
      </c>
      <c r="L92" s="299">
        <v>5.44098E7</v>
      </c>
      <c r="M92" s="317" t="b">
        <v>0</v>
      </c>
      <c r="N92" s="317" t="b">
        <v>0</v>
      </c>
      <c r="O92" s="317" t="b">
        <v>0</v>
      </c>
      <c r="P92" s="317" t="b">
        <v>0</v>
      </c>
      <c r="Q92" s="317" t="b">
        <v>0</v>
      </c>
      <c r="R92" s="317" t="b">
        <v>0</v>
      </c>
      <c r="S92" s="317" t="b">
        <v>0</v>
      </c>
      <c r="T92" s="317" t="b">
        <v>0</v>
      </c>
      <c r="U92" s="317" t="b">
        <v>0</v>
      </c>
      <c r="V92" s="136" t="s">
        <v>1324</v>
      </c>
      <c r="W92" s="136" t="s">
        <v>1303</v>
      </c>
      <c r="X92" s="136" t="s">
        <v>1303</v>
      </c>
      <c r="Y92" s="136" t="s">
        <v>1303</v>
      </c>
      <c r="Z92" s="136" t="s">
        <v>1324</v>
      </c>
    </row>
    <row r="93">
      <c r="A93" s="136" t="s">
        <v>681</v>
      </c>
      <c r="B93" s="316">
        <v>44003.0</v>
      </c>
      <c r="C93" s="316">
        <v>44228.0</v>
      </c>
      <c r="D93" s="299">
        <v>13392.0</v>
      </c>
      <c r="E93" s="136" t="s">
        <v>690</v>
      </c>
      <c r="F93" s="317" t="b">
        <v>0</v>
      </c>
      <c r="G93" s="317" t="b">
        <v>0</v>
      </c>
      <c r="H93" s="317" t="b">
        <v>1</v>
      </c>
      <c r="I93" s="317" t="b">
        <v>0</v>
      </c>
      <c r="J93" s="136" t="s">
        <v>691</v>
      </c>
      <c r="K93" s="136" t="s">
        <v>1298</v>
      </c>
      <c r="L93" s="299">
        <v>3667608.0</v>
      </c>
      <c r="M93" s="317" t="b">
        <v>0</v>
      </c>
      <c r="N93" s="317" t="b">
        <v>0</v>
      </c>
      <c r="O93" s="317" t="b">
        <v>0</v>
      </c>
      <c r="P93" s="317" t="b">
        <v>0</v>
      </c>
      <c r="Q93" s="317" t="b">
        <v>0</v>
      </c>
      <c r="R93" s="317" t="b">
        <v>0</v>
      </c>
      <c r="S93" s="317" t="b">
        <v>0</v>
      </c>
      <c r="T93" s="317" t="b">
        <v>0</v>
      </c>
      <c r="U93" s="317" t="b">
        <v>0</v>
      </c>
      <c r="V93" s="136" t="s">
        <v>1303</v>
      </c>
      <c r="W93" s="136" t="s">
        <v>1303</v>
      </c>
      <c r="X93" s="136" t="s">
        <v>1324</v>
      </c>
      <c r="Y93" s="136" t="s">
        <v>1303</v>
      </c>
      <c r="Z93" s="136" t="s">
        <v>1303</v>
      </c>
    </row>
    <row r="94">
      <c r="A94" s="136" t="s">
        <v>697</v>
      </c>
      <c r="B94" s="316">
        <v>44269.0</v>
      </c>
      <c r="C94" s="96"/>
      <c r="D94" s="299">
        <v>7008.0</v>
      </c>
      <c r="E94" s="136" t="s">
        <v>698</v>
      </c>
      <c r="F94" s="317" t="b">
        <v>0</v>
      </c>
      <c r="G94" s="317" t="b">
        <v>0</v>
      </c>
      <c r="H94" s="317" t="b">
        <v>0</v>
      </c>
      <c r="I94" s="317" t="b">
        <v>1</v>
      </c>
      <c r="J94" s="136" t="s">
        <v>38</v>
      </c>
      <c r="K94" s="136" t="s">
        <v>1298</v>
      </c>
      <c r="L94" s="299">
        <v>5106626.0</v>
      </c>
      <c r="M94" s="317" t="b">
        <v>0</v>
      </c>
      <c r="N94" s="317" t="b">
        <v>0</v>
      </c>
      <c r="O94" s="317" t="b">
        <v>0</v>
      </c>
      <c r="P94" s="317" t="b">
        <v>0</v>
      </c>
      <c r="Q94" s="317" t="b">
        <v>0</v>
      </c>
      <c r="R94" s="317" t="b">
        <v>0</v>
      </c>
      <c r="S94" s="317" t="b">
        <v>0</v>
      </c>
      <c r="T94" s="317" t="b">
        <v>1</v>
      </c>
      <c r="U94" s="317" t="b">
        <v>1</v>
      </c>
      <c r="V94" s="136" t="s">
        <v>1303</v>
      </c>
      <c r="W94" s="136" t="s">
        <v>1324</v>
      </c>
      <c r="X94" s="136" t="s">
        <v>1303</v>
      </c>
      <c r="Y94" s="136" t="s">
        <v>1303</v>
      </c>
      <c r="Z94" s="136" t="s">
        <v>1324</v>
      </c>
    </row>
    <row r="95">
      <c r="A95" s="136" t="s">
        <v>697</v>
      </c>
      <c r="B95" s="316">
        <v>41500.0</v>
      </c>
      <c r="C95" s="96"/>
      <c r="D95" s="299">
        <v>73464.0</v>
      </c>
      <c r="E95" s="136" t="s">
        <v>699</v>
      </c>
      <c r="F95" s="317" t="b">
        <v>0</v>
      </c>
      <c r="G95" s="317" t="b">
        <v>0</v>
      </c>
      <c r="H95" s="317" t="b">
        <v>0</v>
      </c>
      <c r="I95" s="317" t="b">
        <v>1</v>
      </c>
      <c r="J95" s="136" t="s">
        <v>38</v>
      </c>
      <c r="K95" s="136" t="s">
        <v>1298</v>
      </c>
      <c r="L95" s="299">
        <v>5106626.0</v>
      </c>
      <c r="M95" s="317" t="b">
        <v>0</v>
      </c>
      <c r="N95" s="317" t="b">
        <v>0</v>
      </c>
      <c r="O95" s="317" t="b">
        <v>0</v>
      </c>
      <c r="P95" s="317" t="b">
        <v>0</v>
      </c>
      <c r="Q95" s="317" t="b">
        <v>1</v>
      </c>
      <c r="R95" s="317" t="b">
        <v>0</v>
      </c>
      <c r="S95" s="317" t="b">
        <v>0</v>
      </c>
      <c r="T95" s="317" t="b">
        <v>0</v>
      </c>
      <c r="U95" s="317" t="b">
        <v>1</v>
      </c>
      <c r="V95" s="136" t="s">
        <v>1303</v>
      </c>
      <c r="W95" s="136" t="s">
        <v>1303</v>
      </c>
      <c r="X95" s="136" t="s">
        <v>1303</v>
      </c>
      <c r="Y95" s="136" t="s">
        <v>1324</v>
      </c>
      <c r="Z95" s="136" t="s">
        <v>1303</v>
      </c>
    </row>
    <row r="96">
      <c r="A96" s="136" t="s">
        <v>697</v>
      </c>
      <c r="B96" s="316">
        <v>39868.0</v>
      </c>
      <c r="C96" s="96"/>
      <c r="D96" s="299">
        <v>112632.0</v>
      </c>
      <c r="E96" s="136" t="s">
        <v>701</v>
      </c>
      <c r="F96" s="317" t="b">
        <v>0</v>
      </c>
      <c r="G96" s="317" t="b">
        <v>0</v>
      </c>
      <c r="H96" s="317" t="b">
        <v>0</v>
      </c>
      <c r="I96" s="317" t="b">
        <v>1</v>
      </c>
      <c r="J96" s="136" t="s">
        <v>38</v>
      </c>
      <c r="K96" s="136" t="s">
        <v>1298</v>
      </c>
      <c r="L96" s="299">
        <v>5106626.0</v>
      </c>
      <c r="M96" s="317" t="b">
        <v>0</v>
      </c>
      <c r="N96" s="317" t="b">
        <v>0</v>
      </c>
      <c r="O96" s="317" t="b">
        <v>0</v>
      </c>
      <c r="P96" s="317" t="b">
        <v>0</v>
      </c>
      <c r="Q96" s="317" t="b">
        <v>0</v>
      </c>
      <c r="R96" s="317" t="b">
        <v>1</v>
      </c>
      <c r="S96" s="317" t="b">
        <v>0</v>
      </c>
      <c r="T96" s="317" t="b">
        <v>0</v>
      </c>
      <c r="U96" s="317" t="b">
        <v>1</v>
      </c>
      <c r="V96" s="136" t="s">
        <v>1303</v>
      </c>
      <c r="W96" s="136" t="s">
        <v>1303</v>
      </c>
      <c r="X96" s="136" t="s">
        <v>1303</v>
      </c>
      <c r="Y96" s="136" t="s">
        <v>1324</v>
      </c>
      <c r="Z96" s="136" t="s">
        <v>1303</v>
      </c>
    </row>
    <row r="97">
      <c r="A97" s="136" t="s">
        <v>704</v>
      </c>
      <c r="B97" s="316">
        <v>44302.0</v>
      </c>
      <c r="C97" s="316">
        <v>44302.0</v>
      </c>
      <c r="D97" s="299">
        <v>4.0</v>
      </c>
      <c r="E97" s="136" t="s">
        <v>723</v>
      </c>
      <c r="F97" s="317" t="b">
        <v>1</v>
      </c>
      <c r="G97" s="317" t="b">
        <v>0</v>
      </c>
      <c r="H97" s="317" t="b">
        <v>0</v>
      </c>
      <c r="I97" s="317" t="b">
        <v>0</v>
      </c>
      <c r="J97" s="136" t="s">
        <v>38</v>
      </c>
      <c r="K97" s="136" t="s">
        <v>1298</v>
      </c>
      <c r="L97" s="299">
        <v>2.2089234E8</v>
      </c>
      <c r="M97" s="317" t="b">
        <v>1</v>
      </c>
      <c r="N97" s="317" t="b">
        <v>1</v>
      </c>
      <c r="O97" s="317" t="b">
        <v>1</v>
      </c>
      <c r="P97" s="317" t="b">
        <v>0</v>
      </c>
      <c r="Q97" s="317" t="b">
        <v>1</v>
      </c>
      <c r="R97" s="317" t="b">
        <v>1</v>
      </c>
      <c r="S97" s="317" t="b">
        <v>1</v>
      </c>
      <c r="T97" s="317" t="b">
        <v>0</v>
      </c>
      <c r="U97" s="317" t="b">
        <v>1</v>
      </c>
      <c r="V97" s="136" t="s">
        <v>1324</v>
      </c>
      <c r="W97" s="136" t="s">
        <v>1303</v>
      </c>
      <c r="X97" s="136" t="s">
        <v>1303</v>
      </c>
      <c r="Y97" s="136" t="s">
        <v>1303</v>
      </c>
      <c r="Z97" s="136" t="s">
        <v>1324</v>
      </c>
    </row>
    <row r="98">
      <c r="A98" s="136" t="s">
        <v>704</v>
      </c>
      <c r="B98" s="316">
        <v>42533.0</v>
      </c>
      <c r="C98" s="316">
        <v>44558.0</v>
      </c>
      <c r="D98" s="299">
        <v>48672.0</v>
      </c>
      <c r="E98" s="136" t="s">
        <v>738</v>
      </c>
      <c r="F98" s="317" t="b">
        <v>0</v>
      </c>
      <c r="G98" s="317" t="b">
        <v>0</v>
      </c>
      <c r="H98" s="317" t="b">
        <v>1</v>
      </c>
      <c r="I98" s="317" t="b">
        <v>0</v>
      </c>
      <c r="J98" s="136" t="s">
        <v>739</v>
      </c>
      <c r="K98" s="136" t="s">
        <v>1298</v>
      </c>
      <c r="L98" s="136"/>
      <c r="M98" s="317" t="b">
        <v>0</v>
      </c>
      <c r="N98" s="317" t="b">
        <v>0</v>
      </c>
      <c r="O98" s="317" t="b">
        <v>0</v>
      </c>
      <c r="P98" s="317" t="b">
        <v>0</v>
      </c>
      <c r="Q98" s="317" t="b">
        <v>0</v>
      </c>
      <c r="R98" s="317" t="b">
        <v>0</v>
      </c>
      <c r="S98" s="317" t="b">
        <v>0</v>
      </c>
      <c r="T98" s="317" t="b">
        <v>0</v>
      </c>
      <c r="U98" s="317" t="b">
        <v>0</v>
      </c>
      <c r="V98" s="136" t="s">
        <v>1303</v>
      </c>
      <c r="W98" s="136" t="s">
        <v>1303</v>
      </c>
      <c r="X98" s="136" t="s">
        <v>1324</v>
      </c>
      <c r="Y98" s="136" t="s">
        <v>1303</v>
      </c>
      <c r="Z98" s="136" t="s">
        <v>1303</v>
      </c>
    </row>
    <row r="99">
      <c r="A99" s="136" t="s">
        <v>755</v>
      </c>
      <c r="B99" s="316">
        <v>43018.0</v>
      </c>
      <c r="C99" s="96"/>
      <c r="D99" s="299">
        <v>37032.0</v>
      </c>
      <c r="E99" s="136" t="s">
        <v>1354</v>
      </c>
      <c r="F99" s="317" t="b">
        <v>0</v>
      </c>
      <c r="G99" s="317" t="b">
        <v>0</v>
      </c>
      <c r="H99" s="317" t="b">
        <v>0</v>
      </c>
      <c r="I99" s="317" t="b">
        <v>1</v>
      </c>
      <c r="J99" s="136" t="s">
        <v>38</v>
      </c>
      <c r="K99" s="136" t="s">
        <v>1298</v>
      </c>
      <c r="L99" s="299">
        <v>2881053.0</v>
      </c>
      <c r="M99" s="317" t="b">
        <v>0</v>
      </c>
      <c r="N99" s="317" t="b">
        <v>0</v>
      </c>
      <c r="O99" s="317" t="b">
        <v>0</v>
      </c>
      <c r="P99" s="317" t="b">
        <v>0</v>
      </c>
      <c r="Q99" s="317" t="b">
        <v>0</v>
      </c>
      <c r="R99" s="317" t="b">
        <v>1</v>
      </c>
      <c r="S99" s="317" t="b">
        <v>0</v>
      </c>
      <c r="T99" s="317" t="b">
        <v>1</v>
      </c>
      <c r="U99" s="317" t="b">
        <v>1</v>
      </c>
      <c r="V99" s="136" t="s">
        <v>1303</v>
      </c>
      <c r="W99" s="136" t="s">
        <v>1303</v>
      </c>
      <c r="X99" s="136" t="s">
        <v>1303</v>
      </c>
      <c r="Y99" s="136" t="s">
        <v>1324</v>
      </c>
      <c r="Z99" s="136" t="s">
        <v>1303</v>
      </c>
    </row>
    <row r="100">
      <c r="A100" s="136" t="s">
        <v>787</v>
      </c>
      <c r="B100" s="316">
        <v>44207.0</v>
      </c>
      <c r="C100" s="316">
        <v>44208.0</v>
      </c>
      <c r="D100" s="299">
        <v>48.0</v>
      </c>
      <c r="E100" s="136" t="s">
        <v>788</v>
      </c>
      <c r="F100" s="317" t="b">
        <v>0</v>
      </c>
      <c r="G100" s="317" t="b">
        <v>0</v>
      </c>
      <c r="H100" s="317" t="b">
        <v>1</v>
      </c>
      <c r="I100" s="317" t="b">
        <v>0</v>
      </c>
      <c r="J100" s="136" t="s">
        <v>38</v>
      </c>
      <c r="K100" s="136" t="s">
        <v>1298</v>
      </c>
      <c r="L100" s="299">
        <v>9537645.0</v>
      </c>
      <c r="M100" s="317" t="b">
        <v>1</v>
      </c>
      <c r="N100" s="317" t="b">
        <v>0</v>
      </c>
      <c r="O100" s="317" t="b">
        <v>0</v>
      </c>
      <c r="P100" s="317" t="b">
        <v>1</v>
      </c>
      <c r="Q100" s="317" t="b">
        <v>0</v>
      </c>
      <c r="R100" s="317" t="b">
        <v>0</v>
      </c>
      <c r="S100" s="317" t="b">
        <v>0</v>
      </c>
      <c r="T100" s="317" t="b">
        <v>0</v>
      </c>
      <c r="U100" s="317" t="b">
        <v>1</v>
      </c>
      <c r="V100" s="136" t="s">
        <v>1324</v>
      </c>
      <c r="W100" s="136" t="s">
        <v>1303</v>
      </c>
      <c r="X100" s="136" t="s">
        <v>1303</v>
      </c>
      <c r="Y100" s="136" t="s">
        <v>1303</v>
      </c>
      <c r="Z100" s="136" t="s">
        <v>1324</v>
      </c>
    </row>
    <row r="101">
      <c r="A101" s="136" t="s">
        <v>794</v>
      </c>
      <c r="B101" s="316">
        <v>44123.0</v>
      </c>
      <c r="C101" s="96"/>
      <c r="D101" s="299">
        <v>10512.0</v>
      </c>
      <c r="E101" s="136" t="s">
        <v>795</v>
      </c>
      <c r="F101" s="317" t="b">
        <v>1</v>
      </c>
      <c r="G101" s="317" t="b">
        <v>0</v>
      </c>
      <c r="H101" s="317" t="b">
        <v>0</v>
      </c>
      <c r="I101" s="317" t="b">
        <v>0</v>
      </c>
      <c r="J101" s="136" t="s">
        <v>38</v>
      </c>
      <c r="K101" s="136" t="s">
        <v>1298</v>
      </c>
      <c r="L101" s="299">
        <v>6.9799978E7</v>
      </c>
      <c r="M101" s="317" t="b">
        <v>0</v>
      </c>
      <c r="N101" s="317" t="b">
        <v>0</v>
      </c>
      <c r="O101" s="317" t="b">
        <v>0</v>
      </c>
      <c r="P101" s="317" t="b">
        <v>0</v>
      </c>
      <c r="Q101" s="317" t="b">
        <v>1</v>
      </c>
      <c r="R101" s="317" t="b">
        <v>0</v>
      </c>
      <c r="S101" s="317" t="b">
        <v>0</v>
      </c>
      <c r="T101" s="317" t="b">
        <v>0</v>
      </c>
      <c r="U101" s="317" t="b">
        <v>1</v>
      </c>
      <c r="V101" s="136" t="s">
        <v>1303</v>
      </c>
      <c r="W101" s="136" t="s">
        <v>1303</v>
      </c>
      <c r="X101" s="136" t="s">
        <v>1303</v>
      </c>
      <c r="Y101" s="136" t="s">
        <v>1324</v>
      </c>
      <c r="Z101" s="136" t="s">
        <v>1303</v>
      </c>
    </row>
    <row r="102">
      <c r="A102" s="136" t="s">
        <v>825</v>
      </c>
      <c r="B102" s="316">
        <v>43101.0</v>
      </c>
      <c r="C102" s="96"/>
      <c r="D102" s="299">
        <v>35040.0</v>
      </c>
      <c r="E102" s="136" t="s">
        <v>826</v>
      </c>
      <c r="F102" s="317" t="b">
        <v>0</v>
      </c>
      <c r="G102" s="317" t="b">
        <v>0</v>
      </c>
      <c r="H102" s="317" t="b">
        <v>1</v>
      </c>
      <c r="I102" s="317" t="b">
        <v>0</v>
      </c>
      <c r="J102" s="136" t="s">
        <v>38</v>
      </c>
      <c r="K102" s="136" t="s">
        <v>1298</v>
      </c>
      <c r="L102" s="299">
        <v>6031200.0</v>
      </c>
      <c r="M102" s="317" t="b">
        <v>0</v>
      </c>
      <c r="N102" s="317" t="b">
        <v>1</v>
      </c>
      <c r="O102" s="317" t="b">
        <v>0</v>
      </c>
      <c r="P102" s="317" t="b">
        <v>0</v>
      </c>
      <c r="Q102" s="317" t="b">
        <v>0</v>
      </c>
      <c r="R102" s="317" t="b">
        <v>0</v>
      </c>
      <c r="S102" s="317" t="b">
        <v>0</v>
      </c>
      <c r="T102" s="317" t="b">
        <v>0</v>
      </c>
      <c r="U102" s="317" t="b">
        <v>1</v>
      </c>
      <c r="V102" s="136" t="s">
        <v>1303</v>
      </c>
      <c r="W102" s="136" t="s">
        <v>1303</v>
      </c>
      <c r="X102" s="136" t="s">
        <v>1303</v>
      </c>
      <c r="Y102" s="136" t="s">
        <v>1324</v>
      </c>
      <c r="Z102" s="136" t="s">
        <v>1303</v>
      </c>
    </row>
    <row r="103">
      <c r="A103" s="136" t="s">
        <v>825</v>
      </c>
      <c r="B103" s="316">
        <v>40422.0</v>
      </c>
      <c r="C103" s="96"/>
      <c r="D103" s="299">
        <v>99336.0</v>
      </c>
      <c r="E103" s="136" t="s">
        <v>829</v>
      </c>
      <c r="F103" s="317" t="b">
        <v>0</v>
      </c>
      <c r="G103" s="317" t="b">
        <v>0</v>
      </c>
      <c r="H103" s="317" t="b">
        <v>1</v>
      </c>
      <c r="I103" s="317" t="b">
        <v>0</v>
      </c>
      <c r="J103" s="136" t="s">
        <v>38</v>
      </c>
      <c r="K103" s="136" t="s">
        <v>1298</v>
      </c>
      <c r="L103" s="299">
        <v>6031200.0</v>
      </c>
      <c r="M103" s="317" t="b">
        <v>1</v>
      </c>
      <c r="N103" s="317" t="b">
        <v>0</v>
      </c>
      <c r="O103" s="317" t="b">
        <v>0</v>
      </c>
      <c r="P103" s="317" t="b">
        <v>1</v>
      </c>
      <c r="Q103" s="317" t="b">
        <v>0</v>
      </c>
      <c r="R103" s="317" t="b">
        <v>0</v>
      </c>
      <c r="S103" s="317" t="b">
        <v>0</v>
      </c>
      <c r="T103" s="317" t="b">
        <v>0</v>
      </c>
      <c r="U103" s="317" t="b">
        <v>1</v>
      </c>
      <c r="V103" s="136" t="s">
        <v>1303</v>
      </c>
      <c r="W103" s="136" t="s">
        <v>1303</v>
      </c>
      <c r="X103" s="136" t="s">
        <v>1303</v>
      </c>
      <c r="Y103" s="136" t="s">
        <v>1324</v>
      </c>
      <c r="Z103" s="136" t="s">
        <v>1303</v>
      </c>
    </row>
    <row r="104">
      <c r="A104" s="136" t="s">
        <v>825</v>
      </c>
      <c r="B104" s="316">
        <v>40148.0</v>
      </c>
      <c r="C104" s="96"/>
      <c r="D104" s="299">
        <v>105912.0</v>
      </c>
      <c r="E104" s="136" t="s">
        <v>831</v>
      </c>
      <c r="F104" s="317" t="b">
        <v>0</v>
      </c>
      <c r="G104" s="317" t="b">
        <v>0</v>
      </c>
      <c r="H104" s="317" t="b">
        <v>1</v>
      </c>
      <c r="I104" s="317" t="b">
        <v>0</v>
      </c>
      <c r="J104" s="136" t="s">
        <v>38</v>
      </c>
      <c r="K104" s="136" t="s">
        <v>1298</v>
      </c>
      <c r="L104" s="299">
        <v>6031200.0</v>
      </c>
      <c r="M104" s="317" t="b">
        <v>0</v>
      </c>
      <c r="N104" s="317" t="b">
        <v>0</v>
      </c>
      <c r="O104" s="317" t="b">
        <v>1</v>
      </c>
      <c r="P104" s="317" t="b">
        <v>0</v>
      </c>
      <c r="Q104" s="317" t="b">
        <v>0</v>
      </c>
      <c r="R104" s="317" t="b">
        <v>0</v>
      </c>
      <c r="S104" s="317" t="b">
        <v>0</v>
      </c>
      <c r="T104" s="317" t="b">
        <v>0</v>
      </c>
      <c r="U104" s="317" t="b">
        <v>1</v>
      </c>
      <c r="V104" s="136" t="s">
        <v>1303</v>
      </c>
      <c r="W104" s="136" t="s">
        <v>1303</v>
      </c>
      <c r="X104" s="136" t="s">
        <v>1303</v>
      </c>
      <c r="Y104" s="136" t="s">
        <v>1324</v>
      </c>
      <c r="Z104" s="136" t="s">
        <v>1303</v>
      </c>
    </row>
    <row r="105">
      <c r="A105" s="136" t="s">
        <v>825</v>
      </c>
      <c r="B105" s="316">
        <v>42005.0</v>
      </c>
      <c r="C105" s="96"/>
      <c r="D105" s="299">
        <v>61344.0</v>
      </c>
      <c r="E105" s="136" t="s">
        <v>834</v>
      </c>
      <c r="F105" s="317" t="b">
        <v>0</v>
      </c>
      <c r="G105" s="317" t="b">
        <v>0</v>
      </c>
      <c r="H105" s="317" t="b">
        <v>1</v>
      </c>
      <c r="I105" s="317" t="b">
        <v>0</v>
      </c>
      <c r="J105" s="136" t="s">
        <v>38</v>
      </c>
      <c r="K105" s="136" t="s">
        <v>1298</v>
      </c>
      <c r="L105" s="299">
        <v>6031200.0</v>
      </c>
      <c r="M105" s="317" t="b">
        <v>0</v>
      </c>
      <c r="N105" s="317" t="b">
        <v>0</v>
      </c>
      <c r="O105" s="317" t="b">
        <v>0</v>
      </c>
      <c r="P105" s="317" t="b">
        <v>0</v>
      </c>
      <c r="Q105" s="317" t="b">
        <v>1</v>
      </c>
      <c r="R105" s="317" t="b">
        <v>1</v>
      </c>
      <c r="S105" s="317" t="b">
        <v>0</v>
      </c>
      <c r="T105" s="317" t="b">
        <v>0</v>
      </c>
      <c r="U105" s="317" t="b">
        <v>1</v>
      </c>
      <c r="V105" s="136" t="s">
        <v>1303</v>
      </c>
      <c r="W105" s="136" t="s">
        <v>1303</v>
      </c>
      <c r="X105" s="136" t="s">
        <v>1303</v>
      </c>
      <c r="Y105" s="136" t="s">
        <v>1324</v>
      </c>
      <c r="Z105" s="136" t="s">
        <v>1303</v>
      </c>
    </row>
    <row r="106">
      <c r="A106" s="136" t="s">
        <v>837</v>
      </c>
      <c r="B106" s="316">
        <v>42096.0</v>
      </c>
      <c r="C106" s="96"/>
      <c r="D106" s="299">
        <v>59160.0</v>
      </c>
      <c r="E106" s="136" t="s">
        <v>1355</v>
      </c>
      <c r="F106" s="317" t="b">
        <v>0</v>
      </c>
      <c r="G106" s="317" t="b">
        <v>0</v>
      </c>
      <c r="H106" s="317" t="b">
        <v>0</v>
      </c>
      <c r="I106" s="317" t="b">
        <v>1</v>
      </c>
      <c r="J106" s="136" t="s">
        <v>38</v>
      </c>
      <c r="K106" s="136" t="s">
        <v>1298</v>
      </c>
      <c r="L106" s="299">
        <v>9890402.0</v>
      </c>
      <c r="M106" s="317" t="b">
        <v>0</v>
      </c>
      <c r="N106" s="317" t="b">
        <v>0</v>
      </c>
      <c r="O106" s="317" t="b">
        <v>0</v>
      </c>
      <c r="P106" s="317" t="b">
        <v>0</v>
      </c>
      <c r="Q106" s="317" t="b">
        <v>0</v>
      </c>
      <c r="R106" s="317" t="b">
        <v>1</v>
      </c>
      <c r="S106" s="317" t="b">
        <v>0</v>
      </c>
      <c r="T106" s="317" t="b">
        <v>1</v>
      </c>
      <c r="U106" s="317" t="b">
        <v>1</v>
      </c>
      <c r="V106" s="136" t="s">
        <v>1303</v>
      </c>
      <c r="W106" s="136" t="s">
        <v>1303</v>
      </c>
      <c r="X106" s="136" t="s">
        <v>1303</v>
      </c>
      <c r="Y106" s="136" t="s">
        <v>1324</v>
      </c>
      <c r="Z106" s="136" t="s">
        <v>1303</v>
      </c>
    </row>
    <row r="107">
      <c r="A107" s="136" t="s">
        <v>837</v>
      </c>
      <c r="B107" s="316">
        <v>43221.0</v>
      </c>
      <c r="C107" s="96"/>
      <c r="D107" s="299">
        <v>32160.0</v>
      </c>
      <c r="E107" s="136" t="s">
        <v>841</v>
      </c>
      <c r="F107" s="317" t="b">
        <v>0</v>
      </c>
      <c r="G107" s="317" t="b">
        <v>0</v>
      </c>
      <c r="H107" s="317" t="b">
        <v>0</v>
      </c>
      <c r="I107" s="317" t="b">
        <v>1</v>
      </c>
      <c r="J107" s="136" t="s">
        <v>38</v>
      </c>
      <c r="K107" s="136" t="s">
        <v>1298</v>
      </c>
      <c r="L107" s="299">
        <v>9890402.0</v>
      </c>
      <c r="M107" s="317" t="b">
        <v>0</v>
      </c>
      <c r="N107" s="317" t="b">
        <v>0</v>
      </c>
      <c r="O107" s="317" t="b">
        <v>0</v>
      </c>
      <c r="P107" s="317" t="b">
        <v>0</v>
      </c>
      <c r="Q107" s="317" t="b">
        <v>1</v>
      </c>
      <c r="R107" s="317" t="b">
        <v>0</v>
      </c>
      <c r="S107" s="317" t="b">
        <v>0</v>
      </c>
      <c r="T107" s="317" t="b">
        <v>0</v>
      </c>
      <c r="U107" s="317" t="b">
        <v>1</v>
      </c>
      <c r="V107" s="136" t="s">
        <v>1303</v>
      </c>
      <c r="W107" s="136" t="s">
        <v>1303</v>
      </c>
      <c r="X107" s="136" t="s">
        <v>1303</v>
      </c>
      <c r="Y107" s="136" t="s">
        <v>1324</v>
      </c>
      <c r="Z107" s="136" t="s">
        <v>1303</v>
      </c>
    </row>
    <row r="108">
      <c r="A108" s="136" t="s">
        <v>846</v>
      </c>
      <c r="B108" s="316">
        <v>44503.0</v>
      </c>
      <c r="C108" s="96"/>
      <c r="D108" s="299">
        <v>1392.0</v>
      </c>
      <c r="E108" s="136" t="s">
        <v>847</v>
      </c>
      <c r="F108" s="317" t="b">
        <v>0</v>
      </c>
      <c r="G108" s="317" t="b">
        <v>0</v>
      </c>
      <c r="H108" s="317" t="b">
        <v>0</v>
      </c>
      <c r="I108" s="317" t="b">
        <v>1</v>
      </c>
      <c r="J108" s="136" t="s">
        <v>38</v>
      </c>
      <c r="K108" s="136" t="s">
        <v>1298</v>
      </c>
      <c r="L108" s="299">
        <v>3.3469203E7</v>
      </c>
      <c r="M108" s="317" t="b">
        <v>1</v>
      </c>
      <c r="N108" s="317" t="b">
        <v>0</v>
      </c>
      <c r="O108" s="317" t="b">
        <v>1</v>
      </c>
      <c r="P108" s="317" t="b">
        <v>1</v>
      </c>
      <c r="Q108" s="317" t="b">
        <v>0</v>
      </c>
      <c r="R108" s="317" t="b">
        <v>0</v>
      </c>
      <c r="S108" s="317" t="b">
        <v>1</v>
      </c>
      <c r="T108" s="317" t="b">
        <v>0</v>
      </c>
      <c r="U108" s="317" t="b">
        <v>1</v>
      </c>
      <c r="V108" s="136" t="s">
        <v>1303</v>
      </c>
      <c r="W108" s="136" t="s">
        <v>1324</v>
      </c>
      <c r="X108" s="136" t="s">
        <v>1303</v>
      </c>
      <c r="Y108" s="136" t="s">
        <v>1303</v>
      </c>
      <c r="Z108" s="136" t="s">
        <v>1324</v>
      </c>
    </row>
    <row r="109">
      <c r="A109" s="136" t="s">
        <v>846</v>
      </c>
      <c r="B109" s="316">
        <v>44378.0</v>
      </c>
      <c r="C109" s="96"/>
      <c r="D109" s="299">
        <v>4392.0</v>
      </c>
      <c r="E109" s="136" t="s">
        <v>850</v>
      </c>
      <c r="F109" s="317" t="b">
        <v>0</v>
      </c>
      <c r="G109" s="317" t="b">
        <v>0</v>
      </c>
      <c r="H109" s="317" t="b">
        <v>0</v>
      </c>
      <c r="I109" s="317" t="b">
        <v>1</v>
      </c>
      <c r="J109" s="136" t="s">
        <v>38</v>
      </c>
      <c r="K109" s="136" t="s">
        <v>1298</v>
      </c>
      <c r="L109" s="299">
        <v>3.3469203E7</v>
      </c>
      <c r="M109" s="317" t="b">
        <v>0</v>
      </c>
      <c r="N109" s="317" t="b">
        <v>0</v>
      </c>
      <c r="O109" s="317" t="b">
        <v>0</v>
      </c>
      <c r="P109" s="317" t="b">
        <v>0</v>
      </c>
      <c r="Q109" s="317" t="b">
        <v>0</v>
      </c>
      <c r="R109" s="317" t="b">
        <v>0</v>
      </c>
      <c r="S109" s="317" t="b">
        <v>1</v>
      </c>
      <c r="T109" s="317" t="b">
        <v>0</v>
      </c>
      <c r="U109" s="317" t="b">
        <v>1</v>
      </c>
      <c r="V109" s="136" t="s">
        <v>1303</v>
      </c>
      <c r="W109" s="136" t="s">
        <v>1324</v>
      </c>
      <c r="X109" s="136" t="s">
        <v>1303</v>
      </c>
      <c r="Y109" s="136" t="s">
        <v>1303</v>
      </c>
      <c r="Z109" s="136" t="s">
        <v>1324</v>
      </c>
    </row>
    <row r="110">
      <c r="A110" s="136" t="s">
        <v>846</v>
      </c>
      <c r="B110" s="316">
        <v>44378.0</v>
      </c>
      <c r="C110" s="316">
        <v>44774.0</v>
      </c>
      <c r="D110" s="299">
        <v>4392.0</v>
      </c>
      <c r="E110" s="136" t="s">
        <v>851</v>
      </c>
      <c r="F110" s="317" t="b">
        <v>0</v>
      </c>
      <c r="G110" s="317" t="b">
        <v>0</v>
      </c>
      <c r="H110" s="317" t="b">
        <v>0</v>
      </c>
      <c r="I110" s="317" t="b">
        <v>1</v>
      </c>
      <c r="J110" s="136" t="s">
        <v>38</v>
      </c>
      <c r="K110" s="136" t="s">
        <v>1298</v>
      </c>
      <c r="L110" s="299">
        <v>3.3469203E7</v>
      </c>
      <c r="M110" s="317" t="b">
        <v>0</v>
      </c>
      <c r="N110" s="317" t="b">
        <v>1</v>
      </c>
      <c r="O110" s="317" t="b">
        <v>0</v>
      </c>
      <c r="P110" s="317" t="b">
        <v>0</v>
      </c>
      <c r="Q110" s="317" t="b">
        <v>0</v>
      </c>
      <c r="R110" s="317" t="b">
        <v>0</v>
      </c>
      <c r="S110" s="317" t="b">
        <v>0</v>
      </c>
      <c r="T110" s="317" t="b">
        <v>0</v>
      </c>
      <c r="U110" s="317" t="b">
        <v>1</v>
      </c>
      <c r="V110" s="136" t="s">
        <v>1303</v>
      </c>
      <c r="W110" s="136" t="s">
        <v>1324</v>
      </c>
      <c r="X110" s="136" t="s">
        <v>1303</v>
      </c>
      <c r="Y110" s="136" t="s">
        <v>1303</v>
      </c>
      <c r="Z110" s="136" t="s">
        <v>1324</v>
      </c>
    </row>
    <row r="111">
      <c r="A111" s="136" t="s">
        <v>846</v>
      </c>
      <c r="B111" s="316">
        <v>44503.0</v>
      </c>
      <c r="C111" s="96"/>
      <c r="D111" s="299">
        <v>1392.0</v>
      </c>
      <c r="E111" s="136" t="s">
        <v>852</v>
      </c>
      <c r="F111" s="317" t="b">
        <v>0</v>
      </c>
      <c r="G111" s="317" t="b">
        <v>0</v>
      </c>
      <c r="H111" s="317" t="b">
        <v>0</v>
      </c>
      <c r="I111" s="317" t="b">
        <v>1</v>
      </c>
      <c r="J111" s="136" t="s">
        <v>38</v>
      </c>
      <c r="K111" s="136" t="s">
        <v>1298</v>
      </c>
      <c r="L111" s="299">
        <v>3.3469203E7</v>
      </c>
      <c r="M111" s="317" t="b">
        <v>0</v>
      </c>
      <c r="N111" s="317" t="b">
        <v>0</v>
      </c>
      <c r="O111" s="317" t="b">
        <v>0</v>
      </c>
      <c r="P111" s="317" t="b">
        <v>0</v>
      </c>
      <c r="Q111" s="317" t="b">
        <v>1</v>
      </c>
      <c r="R111" s="317" t="b">
        <v>0</v>
      </c>
      <c r="S111" s="317" t="b">
        <v>0</v>
      </c>
      <c r="T111" s="317" t="b">
        <v>1</v>
      </c>
      <c r="U111" s="317" t="b">
        <v>1</v>
      </c>
      <c r="V111" s="136" t="s">
        <v>1303</v>
      </c>
      <c r="W111" s="136" t="s">
        <v>1324</v>
      </c>
      <c r="X111" s="136" t="s">
        <v>1303</v>
      </c>
      <c r="Y111" s="136" t="s">
        <v>1303</v>
      </c>
      <c r="Z111" s="136" t="s">
        <v>1324</v>
      </c>
    </row>
    <row r="112">
      <c r="A112" s="136" t="s">
        <v>861</v>
      </c>
      <c r="B112" s="316">
        <v>43077.0</v>
      </c>
      <c r="C112" s="96"/>
      <c r="D112" s="299">
        <v>35616.0</v>
      </c>
      <c r="E112" s="136" t="s">
        <v>870</v>
      </c>
      <c r="F112" s="317" t="b">
        <v>0</v>
      </c>
      <c r="G112" s="317" t="b">
        <v>0</v>
      </c>
      <c r="H112" s="317" t="b">
        <v>0</v>
      </c>
      <c r="I112" s="317" t="b">
        <v>1</v>
      </c>
      <c r="J112" s="136" t="s">
        <v>38</v>
      </c>
      <c r="K112" s="136" t="s">
        <v>1298</v>
      </c>
      <c r="L112" s="299">
        <v>2.9825964E7</v>
      </c>
      <c r="M112" s="317" t="b">
        <v>0</v>
      </c>
      <c r="N112" s="317" t="b">
        <v>0</v>
      </c>
      <c r="O112" s="317" t="b">
        <v>0</v>
      </c>
      <c r="P112" s="317" t="b">
        <v>0</v>
      </c>
      <c r="Q112" s="317" t="b">
        <v>0</v>
      </c>
      <c r="R112" s="317" t="b">
        <v>0</v>
      </c>
      <c r="S112" s="317" t="b">
        <v>0</v>
      </c>
      <c r="T112" s="317" t="b">
        <v>1</v>
      </c>
      <c r="U112" s="317" t="b">
        <v>1</v>
      </c>
      <c r="V112" s="136" t="s">
        <v>1303</v>
      </c>
      <c r="W112" s="136" t="s">
        <v>1303</v>
      </c>
      <c r="X112" s="136" t="s">
        <v>1303</v>
      </c>
      <c r="Y112" s="136" t="s">
        <v>1324</v>
      </c>
      <c r="Z112" s="136" t="s">
        <v>1303</v>
      </c>
    </row>
    <row r="113">
      <c r="A113" s="136" t="s">
        <v>953</v>
      </c>
      <c r="B113" s="316">
        <v>44219.0</v>
      </c>
      <c r="C113" s="316">
        <v>44219.0</v>
      </c>
      <c r="D113" s="299">
        <v>6.0</v>
      </c>
      <c r="E113" s="136" t="s">
        <v>959</v>
      </c>
      <c r="F113" s="317" t="b">
        <v>1</v>
      </c>
      <c r="G113" s="317" t="b">
        <v>0</v>
      </c>
      <c r="H113" s="317" t="b">
        <v>0</v>
      </c>
      <c r="I113" s="317" t="b">
        <v>0</v>
      </c>
      <c r="J113" s="136" t="s">
        <v>960</v>
      </c>
      <c r="K113" s="136" t="s">
        <v>1300</v>
      </c>
      <c r="L113" s="299">
        <v>1.5409222E7</v>
      </c>
      <c r="M113" s="317" t="b">
        <v>0</v>
      </c>
      <c r="N113" s="317" t="b">
        <v>0</v>
      </c>
      <c r="O113" s="317" t="b">
        <v>0</v>
      </c>
      <c r="P113" s="317" t="b">
        <v>0</v>
      </c>
      <c r="Q113" s="317" t="b">
        <v>0</v>
      </c>
      <c r="R113" s="317" t="b">
        <v>0</v>
      </c>
      <c r="S113" s="317" t="b">
        <v>0</v>
      </c>
      <c r="T113" s="317" t="b">
        <v>0</v>
      </c>
      <c r="U113" s="317" t="b">
        <v>0</v>
      </c>
      <c r="V113" s="136" t="s">
        <v>1324</v>
      </c>
      <c r="W113" s="136" t="s">
        <v>1303</v>
      </c>
      <c r="X113" s="136" t="s">
        <v>1303</v>
      </c>
      <c r="Y113" s="136" t="s">
        <v>1303</v>
      </c>
      <c r="Z113" s="136" t="s">
        <v>1324</v>
      </c>
    </row>
    <row r="114">
      <c r="A114" s="136" t="s">
        <v>953</v>
      </c>
      <c r="B114" s="316">
        <v>42691.0</v>
      </c>
      <c r="C114" s="96"/>
      <c r="D114" s="299">
        <v>44880.0</v>
      </c>
      <c r="E114" s="136" t="s">
        <v>970</v>
      </c>
      <c r="F114" s="317" t="b">
        <v>0</v>
      </c>
      <c r="G114" s="317" t="b">
        <v>0</v>
      </c>
      <c r="H114" s="317" t="b">
        <v>0</v>
      </c>
      <c r="I114" s="317" t="b">
        <v>1</v>
      </c>
      <c r="J114" s="136" t="s">
        <v>38</v>
      </c>
      <c r="K114" s="136" t="s">
        <v>1300</v>
      </c>
      <c r="L114" s="299">
        <v>1.45934462E8</v>
      </c>
      <c r="M114" s="317" t="b">
        <v>0</v>
      </c>
      <c r="N114" s="317" t="b">
        <v>0</v>
      </c>
      <c r="O114" s="317" t="b">
        <v>0</v>
      </c>
      <c r="P114" s="317" t="b">
        <v>0</v>
      </c>
      <c r="Q114" s="317" t="b">
        <v>0</v>
      </c>
      <c r="R114" s="317" t="b">
        <v>0</v>
      </c>
      <c r="S114" s="317" t="b">
        <v>1</v>
      </c>
      <c r="T114" s="317" t="b">
        <v>0</v>
      </c>
      <c r="U114" s="317" t="b">
        <v>1</v>
      </c>
      <c r="V114" s="136" t="s">
        <v>1303</v>
      </c>
      <c r="W114" s="136" t="s">
        <v>1303</v>
      </c>
      <c r="X114" s="136" t="s">
        <v>1303</v>
      </c>
      <c r="Y114" s="136" t="s">
        <v>1324</v>
      </c>
      <c r="Z114" s="136" t="s">
        <v>1303</v>
      </c>
    </row>
    <row r="115">
      <c r="A115" s="136" t="s">
        <v>986</v>
      </c>
      <c r="B115" s="316">
        <v>42856.0</v>
      </c>
      <c r="C115" s="96"/>
      <c r="D115" s="299">
        <v>40920.0</v>
      </c>
      <c r="E115" s="136" t="s">
        <v>1356</v>
      </c>
      <c r="F115" s="317" t="b">
        <v>0</v>
      </c>
      <c r="G115" s="317" t="b">
        <v>0</v>
      </c>
      <c r="H115" s="317" t="b">
        <v>1</v>
      </c>
      <c r="I115" s="317" t="b">
        <v>0</v>
      </c>
      <c r="J115" s="136" t="s">
        <v>38</v>
      </c>
      <c r="K115" s="136" t="s">
        <v>1300</v>
      </c>
      <c r="L115" s="299">
        <v>4.3733762E7</v>
      </c>
      <c r="M115" s="317" t="b">
        <v>0</v>
      </c>
      <c r="N115" s="317" t="b">
        <v>0</v>
      </c>
      <c r="O115" s="317" t="b">
        <v>0</v>
      </c>
      <c r="P115" s="317" t="b">
        <v>0</v>
      </c>
      <c r="Q115" s="317" t="b">
        <v>0</v>
      </c>
      <c r="R115" s="317" t="b">
        <v>0</v>
      </c>
      <c r="S115" s="317" t="b">
        <v>1</v>
      </c>
      <c r="T115" s="317" t="b">
        <v>1</v>
      </c>
      <c r="U115" s="317" t="b">
        <v>1</v>
      </c>
      <c r="V115" s="136" t="s">
        <v>1303</v>
      </c>
      <c r="W115" s="136" t="s">
        <v>1303</v>
      </c>
      <c r="X115" s="136" t="s">
        <v>1303</v>
      </c>
      <c r="Y115" s="136" t="s">
        <v>1324</v>
      </c>
      <c r="Z115" s="136" t="s">
        <v>1303</v>
      </c>
    </row>
    <row r="116">
      <c r="A116" s="136" t="s">
        <v>1006</v>
      </c>
      <c r="B116" s="316">
        <v>44389.0</v>
      </c>
      <c r="C116" s="316">
        <v>44395.0</v>
      </c>
      <c r="D116" s="299">
        <v>144.0</v>
      </c>
      <c r="E116" s="136" t="s">
        <v>1011</v>
      </c>
      <c r="F116" s="317" t="b">
        <v>1</v>
      </c>
      <c r="G116" s="317" t="b">
        <v>0</v>
      </c>
      <c r="H116" s="317" t="b">
        <v>0</v>
      </c>
      <c r="I116" s="317" t="b">
        <v>0</v>
      </c>
      <c r="J116" s="136" t="s">
        <v>38</v>
      </c>
      <c r="K116" s="136" t="s">
        <v>1301</v>
      </c>
      <c r="L116" s="299">
        <v>1.1326616E7</v>
      </c>
      <c r="M116" s="317" t="b">
        <v>1</v>
      </c>
      <c r="N116" s="317" t="b">
        <v>0</v>
      </c>
      <c r="O116" s="317" t="b">
        <v>0</v>
      </c>
      <c r="P116" s="317" t="b">
        <v>1</v>
      </c>
      <c r="Q116" s="317" t="b">
        <v>1</v>
      </c>
      <c r="R116" s="317" t="b">
        <v>1</v>
      </c>
      <c r="S116" s="317" t="b">
        <v>0</v>
      </c>
      <c r="T116" s="317" t="b">
        <v>0</v>
      </c>
      <c r="U116" s="317" t="b">
        <v>1</v>
      </c>
      <c r="V116" s="136" t="s">
        <v>1324</v>
      </c>
      <c r="W116" s="136" t="s">
        <v>1303</v>
      </c>
      <c r="X116" s="136" t="s">
        <v>1303</v>
      </c>
      <c r="Y116" s="136" t="s">
        <v>1303</v>
      </c>
      <c r="Z116" s="136" t="s">
        <v>1324</v>
      </c>
    </row>
    <row r="117">
      <c r="A117" s="136" t="s">
        <v>1006</v>
      </c>
      <c r="B117" s="316">
        <v>44388.0</v>
      </c>
      <c r="C117" s="316">
        <v>44388.0</v>
      </c>
      <c r="D117" s="299">
        <v>2.0</v>
      </c>
      <c r="E117" s="136" t="s">
        <v>1012</v>
      </c>
      <c r="F117" s="317" t="b">
        <v>1</v>
      </c>
      <c r="G117" s="317" t="b">
        <v>0</v>
      </c>
      <c r="H117" s="317" t="b">
        <v>0</v>
      </c>
      <c r="I117" s="317" t="b">
        <v>0</v>
      </c>
      <c r="J117" s="136" t="s">
        <v>38</v>
      </c>
      <c r="K117" s="136" t="s">
        <v>1301</v>
      </c>
      <c r="L117" s="299">
        <v>1.1326616E7</v>
      </c>
      <c r="M117" s="317" t="b">
        <v>0</v>
      </c>
      <c r="N117" s="317" t="b">
        <v>0</v>
      </c>
      <c r="O117" s="317" t="b">
        <v>0</v>
      </c>
      <c r="P117" s="317" t="b">
        <v>0</v>
      </c>
      <c r="Q117" s="317" t="b">
        <v>0</v>
      </c>
      <c r="R117" s="317" t="b">
        <v>0</v>
      </c>
      <c r="S117" s="317" t="b">
        <v>0</v>
      </c>
      <c r="T117" s="317" t="b">
        <v>0</v>
      </c>
      <c r="U117" s="317" t="b">
        <v>0</v>
      </c>
      <c r="V117" s="136" t="s">
        <v>1324</v>
      </c>
      <c r="W117" s="136" t="s">
        <v>1303</v>
      </c>
      <c r="X117" s="136" t="s">
        <v>1303</v>
      </c>
      <c r="Y117" s="136" t="s">
        <v>1303</v>
      </c>
      <c r="Z117" s="136" t="s">
        <v>1324</v>
      </c>
    </row>
    <row r="118">
      <c r="A118" s="136" t="s">
        <v>1006</v>
      </c>
      <c r="B118" s="316">
        <v>44223.0</v>
      </c>
      <c r="C118" s="316">
        <v>44223.0</v>
      </c>
      <c r="D118" s="299">
        <v>2.0</v>
      </c>
      <c r="E118" s="136" t="s">
        <v>1013</v>
      </c>
      <c r="F118" s="317" t="b">
        <v>1</v>
      </c>
      <c r="G118" s="317" t="b">
        <v>0</v>
      </c>
      <c r="H118" s="317" t="b">
        <v>0</v>
      </c>
      <c r="I118" s="317" t="b">
        <v>0</v>
      </c>
      <c r="J118" s="136" t="s">
        <v>38</v>
      </c>
      <c r="K118" s="136" t="s">
        <v>1301</v>
      </c>
      <c r="L118" s="299">
        <v>1.1326616E7</v>
      </c>
      <c r="M118" s="317" t="b">
        <v>0</v>
      </c>
      <c r="N118" s="317" t="b">
        <v>0</v>
      </c>
      <c r="O118" s="317" t="b">
        <v>0</v>
      </c>
      <c r="P118" s="317" t="b">
        <v>0</v>
      </c>
      <c r="Q118" s="317" t="b">
        <v>0</v>
      </c>
      <c r="R118" s="317" t="b">
        <v>0</v>
      </c>
      <c r="S118" s="317" t="b">
        <v>0</v>
      </c>
      <c r="T118" s="317" t="b">
        <v>0</v>
      </c>
      <c r="U118" s="317" t="b">
        <v>0</v>
      </c>
      <c r="V118" s="136" t="s">
        <v>1324</v>
      </c>
      <c r="W118" s="136" t="s">
        <v>1303</v>
      </c>
      <c r="X118" s="136" t="s">
        <v>1303</v>
      </c>
      <c r="Y118" s="136" t="s">
        <v>1303</v>
      </c>
      <c r="Z118" s="136" t="s">
        <v>1324</v>
      </c>
    </row>
    <row r="119">
      <c r="A119" s="136" t="s">
        <v>1073</v>
      </c>
      <c r="B119" s="316">
        <v>44320.0</v>
      </c>
      <c r="C119" s="316">
        <v>44321.0</v>
      </c>
      <c r="D119" s="299">
        <v>12.0</v>
      </c>
      <c r="E119" s="136" t="s">
        <v>1074</v>
      </c>
      <c r="F119" s="317" t="b">
        <v>1</v>
      </c>
      <c r="G119" s="317" t="b">
        <v>0</v>
      </c>
      <c r="H119" s="317" t="b">
        <v>0</v>
      </c>
      <c r="I119" s="317" t="b">
        <v>0</v>
      </c>
      <c r="J119" s="136" t="s">
        <v>1075</v>
      </c>
      <c r="K119" s="136" t="s">
        <v>1302</v>
      </c>
      <c r="L119" s="299">
        <v>2392877.0</v>
      </c>
      <c r="M119" s="317" t="b">
        <v>0</v>
      </c>
      <c r="N119" s="317" t="b">
        <v>0</v>
      </c>
      <c r="O119" s="317" t="b">
        <v>0</v>
      </c>
      <c r="P119" s="317" t="b">
        <v>0</v>
      </c>
      <c r="Q119" s="317" t="b">
        <v>0</v>
      </c>
      <c r="R119" s="317" t="b">
        <v>0</v>
      </c>
      <c r="S119" s="317" t="b">
        <v>0</v>
      </c>
      <c r="T119" s="317" t="b">
        <v>0</v>
      </c>
      <c r="U119" s="317" t="b">
        <v>0</v>
      </c>
      <c r="V119" s="136" t="s">
        <v>1324</v>
      </c>
      <c r="W119" s="136" t="s">
        <v>1303</v>
      </c>
      <c r="X119" s="136" t="s">
        <v>1303</v>
      </c>
      <c r="Y119" s="136" t="s">
        <v>1303</v>
      </c>
      <c r="Z119" s="136" t="s">
        <v>1324</v>
      </c>
    </row>
    <row r="120">
      <c r="A120" s="136" t="s">
        <v>417</v>
      </c>
      <c r="B120" s="316">
        <v>44535.0</v>
      </c>
      <c r="C120" s="316">
        <v>44536.0</v>
      </c>
      <c r="D120" s="299">
        <v>24.0</v>
      </c>
      <c r="E120" s="319" t="s">
        <v>1368</v>
      </c>
      <c r="F120" s="317" t="b">
        <v>1</v>
      </c>
      <c r="G120" s="317" t="b">
        <v>0</v>
      </c>
      <c r="H120" s="317" t="b">
        <v>0</v>
      </c>
      <c r="I120" s="317" t="b">
        <v>0</v>
      </c>
      <c r="J120" s="136" t="s">
        <v>486</v>
      </c>
      <c r="K120" s="136" t="s">
        <v>1298</v>
      </c>
      <c r="L120" s="299">
        <v>1.380004385E9</v>
      </c>
      <c r="M120" s="317" t="b">
        <v>0</v>
      </c>
      <c r="N120" s="317" t="b">
        <v>0</v>
      </c>
      <c r="O120" s="317" t="b">
        <v>0</v>
      </c>
      <c r="P120" s="317" t="b">
        <v>0</v>
      </c>
      <c r="Q120" s="317" t="b">
        <v>0</v>
      </c>
      <c r="R120" s="317" t="b">
        <v>0</v>
      </c>
      <c r="S120" s="317" t="b">
        <v>0</v>
      </c>
      <c r="T120" s="317" t="b">
        <v>0</v>
      </c>
      <c r="U120" s="317" t="b">
        <v>0</v>
      </c>
      <c r="V120" s="136" t="s">
        <v>1324</v>
      </c>
      <c r="W120" s="136" t="s">
        <v>1303</v>
      </c>
      <c r="X120" s="136" t="s">
        <v>1303</v>
      </c>
      <c r="Y120" s="136" t="s">
        <v>1303</v>
      </c>
      <c r="Z120" s="136" t="s">
        <v>1324</v>
      </c>
    </row>
    <row r="121">
      <c r="A121" s="136" t="s">
        <v>417</v>
      </c>
      <c r="B121" s="316">
        <v>44446.0</v>
      </c>
      <c r="C121" s="316">
        <v>44446.0</v>
      </c>
      <c r="D121" s="299">
        <v>24.0</v>
      </c>
      <c r="E121" s="319" t="s">
        <v>1369</v>
      </c>
      <c r="F121" s="317" t="b">
        <v>1</v>
      </c>
      <c r="G121" s="317" t="b">
        <v>0</v>
      </c>
      <c r="H121" s="317" t="b">
        <v>0</v>
      </c>
      <c r="I121" s="317" t="b">
        <v>0</v>
      </c>
      <c r="J121" s="136" t="s">
        <v>486</v>
      </c>
      <c r="K121" s="136" t="s">
        <v>1298</v>
      </c>
      <c r="L121" s="299">
        <v>1.380004385E9</v>
      </c>
      <c r="M121" s="317" t="b">
        <v>0</v>
      </c>
      <c r="N121" s="317" t="b">
        <v>0</v>
      </c>
      <c r="O121" s="317" t="b">
        <v>0</v>
      </c>
      <c r="P121" s="317" t="b">
        <v>0</v>
      </c>
      <c r="Q121" s="317" t="b">
        <v>0</v>
      </c>
      <c r="R121" s="317" t="b">
        <v>0</v>
      </c>
      <c r="S121" s="317" t="b">
        <v>0</v>
      </c>
      <c r="T121" s="317" t="b">
        <v>0</v>
      </c>
      <c r="U121" s="317" t="b">
        <v>0</v>
      </c>
      <c r="V121" s="136" t="s">
        <v>1324</v>
      </c>
      <c r="W121" s="136" t="s">
        <v>1303</v>
      </c>
      <c r="X121" s="136" t="s">
        <v>1303</v>
      </c>
      <c r="Y121" s="136" t="s">
        <v>1303</v>
      </c>
      <c r="Z121" s="136" t="s">
        <v>1324</v>
      </c>
    </row>
    <row r="122">
      <c r="A122" s="136" t="s">
        <v>417</v>
      </c>
      <c r="B122" s="316">
        <v>44233.0</v>
      </c>
      <c r="C122" s="316">
        <v>44233.0</v>
      </c>
      <c r="D122" s="299">
        <v>24.0</v>
      </c>
      <c r="E122" s="319" t="s">
        <v>1370</v>
      </c>
      <c r="F122" s="317" t="b">
        <v>1</v>
      </c>
      <c r="G122" s="317" t="b">
        <v>0</v>
      </c>
      <c r="H122" s="317" t="b">
        <v>0</v>
      </c>
      <c r="I122" s="317" t="b">
        <v>0</v>
      </c>
      <c r="J122" s="136" t="s">
        <v>486</v>
      </c>
      <c r="K122" s="136" t="s">
        <v>1298</v>
      </c>
      <c r="L122" s="299">
        <v>1.380004385E9</v>
      </c>
      <c r="M122" s="317" t="b">
        <v>0</v>
      </c>
      <c r="N122" s="317" t="b">
        <v>0</v>
      </c>
      <c r="O122" s="317" t="b">
        <v>0</v>
      </c>
      <c r="P122" s="317" t="b">
        <v>0</v>
      </c>
      <c r="Q122" s="317" t="b">
        <v>0</v>
      </c>
      <c r="R122" s="317" t="b">
        <v>0</v>
      </c>
      <c r="S122" s="317" t="b">
        <v>0</v>
      </c>
      <c r="T122" s="317" t="b">
        <v>0</v>
      </c>
      <c r="U122" s="317" t="b">
        <v>0</v>
      </c>
      <c r="V122" s="136" t="s">
        <v>1324</v>
      </c>
      <c r="W122" s="136" t="s">
        <v>1303</v>
      </c>
      <c r="X122" s="136" t="s">
        <v>1303</v>
      </c>
      <c r="Y122" s="136" t="s">
        <v>1303</v>
      </c>
      <c r="Z122" s="136" t="s">
        <v>1324</v>
      </c>
    </row>
    <row r="123">
      <c r="A123" s="136" t="s">
        <v>417</v>
      </c>
      <c r="B123" s="316">
        <v>44225.0</v>
      </c>
      <c r="C123" s="316">
        <v>44229.0</v>
      </c>
      <c r="D123" s="299">
        <v>96.0</v>
      </c>
      <c r="E123" s="319" t="s">
        <v>1371</v>
      </c>
      <c r="F123" s="317" t="b">
        <v>1</v>
      </c>
      <c r="G123" s="317" t="b">
        <v>0</v>
      </c>
      <c r="H123" s="317" t="b">
        <v>0</v>
      </c>
      <c r="I123" s="317" t="b">
        <v>0</v>
      </c>
      <c r="J123" s="136" t="s">
        <v>486</v>
      </c>
      <c r="K123" s="136" t="s">
        <v>1298</v>
      </c>
      <c r="L123" s="299">
        <v>1.380004385E9</v>
      </c>
      <c r="M123" s="317" t="b">
        <v>0</v>
      </c>
      <c r="N123" s="317" t="b">
        <v>0</v>
      </c>
      <c r="O123" s="317" t="b">
        <v>0</v>
      </c>
      <c r="P123" s="317" t="b">
        <v>0</v>
      </c>
      <c r="Q123" s="317" t="b">
        <v>0</v>
      </c>
      <c r="R123" s="317" t="b">
        <v>0</v>
      </c>
      <c r="S123" s="317" t="b">
        <v>0</v>
      </c>
      <c r="T123" s="317" t="b">
        <v>0</v>
      </c>
      <c r="U123" s="317" t="b">
        <v>0</v>
      </c>
      <c r="V123" s="136" t="s">
        <v>1324</v>
      </c>
      <c r="W123" s="136" t="s">
        <v>1303</v>
      </c>
      <c r="X123" s="136" t="s">
        <v>1303</v>
      </c>
      <c r="Y123" s="136" t="s">
        <v>1303</v>
      </c>
      <c r="Z123" s="136" t="s">
        <v>1324</v>
      </c>
    </row>
    <row r="124">
      <c r="A124" s="136" t="s">
        <v>417</v>
      </c>
      <c r="B124" s="316">
        <v>44225.0</v>
      </c>
      <c r="C124" s="316">
        <v>44233.0</v>
      </c>
      <c r="D124" s="299">
        <v>192.0</v>
      </c>
      <c r="E124" s="319" t="s">
        <v>1372</v>
      </c>
      <c r="F124" s="317" t="b">
        <v>1</v>
      </c>
      <c r="G124" s="317" t="b">
        <v>0</v>
      </c>
      <c r="H124" s="317" t="b">
        <v>0</v>
      </c>
      <c r="I124" s="317" t="b">
        <v>0</v>
      </c>
      <c r="J124" s="136" t="s">
        <v>486</v>
      </c>
      <c r="K124" s="136" t="s">
        <v>1298</v>
      </c>
      <c r="L124" s="299">
        <v>1.380004385E9</v>
      </c>
      <c r="M124" s="317" t="b">
        <v>0</v>
      </c>
      <c r="N124" s="317" t="b">
        <v>0</v>
      </c>
      <c r="O124" s="317" t="b">
        <v>0</v>
      </c>
      <c r="P124" s="317" t="b">
        <v>0</v>
      </c>
      <c r="Q124" s="317" t="b">
        <v>0</v>
      </c>
      <c r="R124" s="317" t="b">
        <v>0</v>
      </c>
      <c r="S124" s="317" t="b">
        <v>0</v>
      </c>
      <c r="T124" s="317" t="b">
        <v>0</v>
      </c>
      <c r="U124" s="317" t="b">
        <v>0</v>
      </c>
      <c r="V124" s="136" t="s">
        <v>1324</v>
      </c>
      <c r="W124" s="136" t="s">
        <v>1303</v>
      </c>
      <c r="X124" s="136" t="s">
        <v>1303</v>
      </c>
      <c r="Y124" s="136" t="s">
        <v>1303</v>
      </c>
      <c r="Z124" s="136" t="s">
        <v>1324</v>
      </c>
    </row>
    <row r="125">
      <c r="A125" s="136" t="s">
        <v>417</v>
      </c>
      <c r="B125" s="316">
        <v>44223.0</v>
      </c>
      <c r="C125" s="316">
        <v>44224.0</v>
      </c>
      <c r="D125" s="299">
        <v>24.0</v>
      </c>
      <c r="E125" s="319" t="s">
        <v>1373</v>
      </c>
      <c r="F125" s="317" t="b">
        <v>1</v>
      </c>
      <c r="G125" s="317" t="b">
        <v>0</v>
      </c>
      <c r="H125" s="317" t="b">
        <v>0</v>
      </c>
      <c r="I125" s="317" t="b">
        <v>0</v>
      </c>
      <c r="J125" s="136" t="s">
        <v>486</v>
      </c>
      <c r="K125" s="136" t="s">
        <v>1298</v>
      </c>
      <c r="L125" s="299">
        <v>1.380004385E9</v>
      </c>
      <c r="M125" s="317" t="b">
        <v>0</v>
      </c>
      <c r="N125" s="317" t="b">
        <v>0</v>
      </c>
      <c r="O125" s="317" t="b">
        <v>0</v>
      </c>
      <c r="P125" s="317" t="b">
        <v>0</v>
      </c>
      <c r="Q125" s="317" t="b">
        <v>0</v>
      </c>
      <c r="R125" s="317" t="b">
        <v>0</v>
      </c>
      <c r="S125" s="317" t="b">
        <v>0</v>
      </c>
      <c r="T125" s="317" t="b">
        <v>0</v>
      </c>
      <c r="U125" s="317" t="b">
        <v>0</v>
      </c>
      <c r="V125" s="136" t="s">
        <v>1324</v>
      </c>
      <c r="W125" s="136" t="s">
        <v>1303</v>
      </c>
      <c r="X125" s="136" t="s">
        <v>1303</v>
      </c>
      <c r="Y125" s="136" t="s">
        <v>1303</v>
      </c>
      <c r="Z125" s="136" t="s">
        <v>1324</v>
      </c>
    </row>
    <row r="126">
      <c r="A126" s="136" t="s">
        <v>417</v>
      </c>
      <c r="B126" s="316">
        <v>44222.0</v>
      </c>
      <c r="C126" s="316">
        <v>44222.0</v>
      </c>
      <c r="D126" s="299">
        <v>24.0</v>
      </c>
      <c r="E126" s="319" t="s">
        <v>1374</v>
      </c>
      <c r="F126" s="317" t="b">
        <v>1</v>
      </c>
      <c r="G126" s="317" t="b">
        <v>0</v>
      </c>
      <c r="H126" s="317" t="b">
        <v>0</v>
      </c>
      <c r="I126" s="317" t="b">
        <v>0</v>
      </c>
      <c r="J126" s="136" t="s">
        <v>486</v>
      </c>
      <c r="K126" s="136" t="s">
        <v>1298</v>
      </c>
      <c r="L126" s="299">
        <v>1.380004385E9</v>
      </c>
      <c r="M126" s="317" t="b">
        <v>0</v>
      </c>
      <c r="N126" s="317" t="b">
        <v>0</v>
      </c>
      <c r="O126" s="317" t="b">
        <v>0</v>
      </c>
      <c r="P126" s="317" t="b">
        <v>0</v>
      </c>
      <c r="Q126" s="317" t="b">
        <v>0</v>
      </c>
      <c r="R126" s="317" t="b">
        <v>0</v>
      </c>
      <c r="S126" s="317" t="b">
        <v>0</v>
      </c>
      <c r="T126" s="317" t="b">
        <v>0</v>
      </c>
      <c r="U126" s="317" t="b">
        <v>0</v>
      </c>
      <c r="V126" s="136" t="s">
        <v>1324</v>
      </c>
      <c r="W126" s="136" t="s">
        <v>1303</v>
      </c>
      <c r="X126" s="136" t="s">
        <v>1303</v>
      </c>
      <c r="Y126" s="136" t="s">
        <v>1303</v>
      </c>
      <c r="Z126" s="136" t="s">
        <v>1324</v>
      </c>
    </row>
    <row r="127">
      <c r="A127" s="136" t="s">
        <v>604</v>
      </c>
      <c r="B127" s="316">
        <v>44558.0</v>
      </c>
      <c r="C127" s="316">
        <v>44560.0</v>
      </c>
      <c r="D127" s="299">
        <v>48.0</v>
      </c>
      <c r="E127" s="319" t="s">
        <v>1375</v>
      </c>
      <c r="F127" s="317" t="b">
        <v>0</v>
      </c>
      <c r="G127" s="317" t="b">
        <v>0</v>
      </c>
      <c r="H127" s="317" t="b">
        <v>1</v>
      </c>
      <c r="I127" s="317" t="b">
        <v>0</v>
      </c>
      <c r="J127" s="136" t="s">
        <v>603</v>
      </c>
      <c r="K127" s="136" t="s">
        <v>1298</v>
      </c>
      <c r="L127" s="299">
        <v>1.360632E7</v>
      </c>
      <c r="M127" s="317" t="b">
        <v>0</v>
      </c>
      <c r="N127" s="317" t="b">
        <v>0</v>
      </c>
      <c r="O127" s="317" t="b">
        <v>0</v>
      </c>
      <c r="P127" s="317" t="b">
        <v>0</v>
      </c>
      <c r="Q127" s="317" t="b">
        <v>0</v>
      </c>
      <c r="R127" s="317" t="b">
        <v>0</v>
      </c>
      <c r="S127" s="317" t="b">
        <v>0</v>
      </c>
      <c r="T127" s="317" t="b">
        <v>0</v>
      </c>
      <c r="U127" s="317" t="b">
        <v>0</v>
      </c>
      <c r="V127" s="136" t="s">
        <v>1324</v>
      </c>
      <c r="W127" s="136" t="s">
        <v>1303</v>
      </c>
      <c r="X127" s="136" t="s">
        <v>1303</v>
      </c>
      <c r="Y127" s="136" t="s">
        <v>1303</v>
      </c>
      <c r="Z127" s="136" t="s">
        <v>1324</v>
      </c>
    </row>
    <row r="128">
      <c r="A128" s="136" t="s">
        <v>604</v>
      </c>
      <c r="B128" s="316">
        <v>44555.0</v>
      </c>
      <c r="C128" s="316">
        <v>44555.0</v>
      </c>
      <c r="D128" s="299">
        <v>24.0</v>
      </c>
      <c r="E128" s="319" t="s">
        <v>1376</v>
      </c>
      <c r="F128" s="317" t="b">
        <v>0</v>
      </c>
      <c r="G128" s="317" t="b">
        <v>0</v>
      </c>
      <c r="H128" s="317" t="b">
        <v>1</v>
      </c>
      <c r="I128" s="317" t="b">
        <v>0</v>
      </c>
      <c r="J128" s="136" t="s">
        <v>603</v>
      </c>
      <c r="K128" s="136" t="s">
        <v>1298</v>
      </c>
      <c r="L128" s="299">
        <v>1.360632E7</v>
      </c>
      <c r="M128" s="317" t="b">
        <v>0</v>
      </c>
      <c r="N128" s="317" t="b">
        <v>0</v>
      </c>
      <c r="O128" s="317" t="b">
        <v>0</v>
      </c>
      <c r="P128" s="317" t="b">
        <v>0</v>
      </c>
      <c r="Q128" s="317" t="b">
        <v>0</v>
      </c>
      <c r="R128" s="317" t="b">
        <v>0</v>
      </c>
      <c r="S128" s="317" t="b">
        <v>0</v>
      </c>
      <c r="T128" s="317" t="b">
        <v>0</v>
      </c>
      <c r="U128" s="317" t="b">
        <v>0</v>
      </c>
      <c r="V128" s="136" t="s">
        <v>1324</v>
      </c>
      <c r="W128" s="136" t="s">
        <v>1303</v>
      </c>
      <c r="X128" s="136" t="s">
        <v>1303</v>
      </c>
      <c r="Y128" s="136" t="s">
        <v>1303</v>
      </c>
      <c r="Z128" s="136" t="s">
        <v>1324</v>
      </c>
    </row>
    <row r="129">
      <c r="A129" s="136" t="s">
        <v>604</v>
      </c>
      <c r="B129" s="316">
        <v>44555.0</v>
      </c>
      <c r="C129" s="316">
        <v>44556.0</v>
      </c>
      <c r="D129" s="299">
        <v>24.0</v>
      </c>
      <c r="E129" s="319" t="s">
        <v>1377</v>
      </c>
      <c r="F129" s="317" t="b">
        <v>0</v>
      </c>
      <c r="G129" s="317" t="b">
        <v>0</v>
      </c>
      <c r="H129" s="317" t="b">
        <v>1</v>
      </c>
      <c r="I129" s="317" t="b">
        <v>0</v>
      </c>
      <c r="J129" s="136" t="s">
        <v>603</v>
      </c>
      <c r="K129" s="136" t="s">
        <v>1298</v>
      </c>
      <c r="L129" s="299">
        <v>1.360632E7</v>
      </c>
      <c r="M129" s="317" t="b">
        <v>0</v>
      </c>
      <c r="N129" s="317" t="b">
        <v>0</v>
      </c>
      <c r="O129" s="317" t="b">
        <v>0</v>
      </c>
      <c r="P129" s="317" t="b">
        <v>0</v>
      </c>
      <c r="Q129" s="317" t="b">
        <v>0</v>
      </c>
      <c r="R129" s="317" t="b">
        <v>0</v>
      </c>
      <c r="S129" s="317" t="b">
        <v>0</v>
      </c>
      <c r="T129" s="317" t="b">
        <v>0</v>
      </c>
      <c r="U129" s="317" t="b">
        <v>0</v>
      </c>
      <c r="V129" s="136" t="s">
        <v>1324</v>
      </c>
      <c r="W129" s="136" t="s">
        <v>1303</v>
      </c>
      <c r="X129" s="136" t="s">
        <v>1303</v>
      </c>
      <c r="Y129" s="136" t="s">
        <v>1303</v>
      </c>
      <c r="Z129" s="136" t="s">
        <v>1324</v>
      </c>
    </row>
    <row r="130">
      <c r="A130" s="136" t="s">
        <v>604</v>
      </c>
      <c r="B130" s="316">
        <v>44555.0</v>
      </c>
      <c r="C130" s="316">
        <v>44557.0</v>
      </c>
      <c r="D130" s="299">
        <v>48.0</v>
      </c>
      <c r="E130" s="319" t="s">
        <v>1378</v>
      </c>
      <c r="F130" s="317" t="b">
        <v>0</v>
      </c>
      <c r="G130" s="317" t="b">
        <v>0</v>
      </c>
      <c r="H130" s="317" t="b">
        <v>1</v>
      </c>
      <c r="I130" s="317" t="b">
        <v>0</v>
      </c>
      <c r="J130" s="136" t="s">
        <v>603</v>
      </c>
      <c r="K130" s="136" t="s">
        <v>1298</v>
      </c>
      <c r="L130" s="299">
        <v>1.360632E7</v>
      </c>
      <c r="M130" s="317" t="b">
        <v>0</v>
      </c>
      <c r="N130" s="317" t="b">
        <v>0</v>
      </c>
      <c r="O130" s="317" t="b">
        <v>0</v>
      </c>
      <c r="P130" s="317" t="b">
        <v>0</v>
      </c>
      <c r="Q130" s="317" t="b">
        <v>0</v>
      </c>
      <c r="R130" s="317" t="b">
        <v>0</v>
      </c>
      <c r="S130" s="317" t="b">
        <v>0</v>
      </c>
      <c r="T130" s="317" t="b">
        <v>0</v>
      </c>
      <c r="U130" s="317" t="b">
        <v>0</v>
      </c>
      <c r="V130" s="136" t="s">
        <v>1324</v>
      </c>
      <c r="W130" s="136" t="s">
        <v>1303</v>
      </c>
      <c r="X130" s="136" t="s">
        <v>1303</v>
      </c>
      <c r="Y130" s="136" t="s">
        <v>1303</v>
      </c>
      <c r="Z130" s="136" t="s">
        <v>1324</v>
      </c>
    </row>
    <row r="131">
      <c r="A131" s="136" t="s">
        <v>604</v>
      </c>
      <c r="B131" s="316">
        <v>44554.0</v>
      </c>
      <c r="C131" s="316">
        <v>44554.0</v>
      </c>
      <c r="D131" s="299">
        <v>24.0</v>
      </c>
      <c r="E131" s="319" t="s">
        <v>1379</v>
      </c>
      <c r="F131" s="317" t="b">
        <v>0</v>
      </c>
      <c r="G131" s="317" t="b">
        <v>0</v>
      </c>
      <c r="H131" s="317" t="b">
        <v>1</v>
      </c>
      <c r="I131" s="317" t="b">
        <v>0</v>
      </c>
      <c r="J131" s="136" t="s">
        <v>603</v>
      </c>
      <c r="K131" s="136" t="s">
        <v>1298</v>
      </c>
      <c r="L131" s="299">
        <v>1.360632E7</v>
      </c>
      <c r="M131" s="317" t="b">
        <v>0</v>
      </c>
      <c r="N131" s="317" t="b">
        <v>0</v>
      </c>
      <c r="O131" s="317" t="b">
        <v>0</v>
      </c>
      <c r="P131" s="317" t="b">
        <v>0</v>
      </c>
      <c r="Q131" s="317" t="b">
        <v>0</v>
      </c>
      <c r="R131" s="317" t="b">
        <v>0</v>
      </c>
      <c r="S131" s="317" t="b">
        <v>0</v>
      </c>
      <c r="T131" s="317" t="b">
        <v>0</v>
      </c>
      <c r="U131" s="317" t="b">
        <v>0</v>
      </c>
      <c r="V131" s="136" t="s">
        <v>1324</v>
      </c>
      <c r="W131" s="136" t="s">
        <v>1303</v>
      </c>
      <c r="X131" s="136" t="s">
        <v>1303</v>
      </c>
      <c r="Y131" s="136" t="s">
        <v>1303</v>
      </c>
      <c r="Z131" s="136" t="s">
        <v>1324</v>
      </c>
    </row>
    <row r="132">
      <c r="A132" s="136" t="s">
        <v>604</v>
      </c>
      <c r="B132" s="316">
        <v>44552.0</v>
      </c>
      <c r="C132" s="316">
        <v>44554.0</v>
      </c>
      <c r="D132" s="299">
        <v>48.0</v>
      </c>
      <c r="E132" s="319" t="s">
        <v>1380</v>
      </c>
      <c r="F132" s="317" t="b">
        <v>0</v>
      </c>
      <c r="G132" s="317" t="b">
        <v>0</v>
      </c>
      <c r="H132" s="317" t="b">
        <v>1</v>
      </c>
      <c r="I132" s="317" t="b">
        <v>0</v>
      </c>
      <c r="J132" s="136" t="s">
        <v>603</v>
      </c>
      <c r="K132" s="136" t="s">
        <v>1298</v>
      </c>
      <c r="L132" s="299">
        <v>1.360632E7</v>
      </c>
      <c r="M132" s="317" t="b">
        <v>0</v>
      </c>
      <c r="N132" s="317" t="b">
        <v>0</v>
      </c>
      <c r="O132" s="317" t="b">
        <v>0</v>
      </c>
      <c r="P132" s="317" t="b">
        <v>0</v>
      </c>
      <c r="Q132" s="317" t="b">
        <v>0</v>
      </c>
      <c r="R132" s="317" t="b">
        <v>0</v>
      </c>
      <c r="S132" s="317" t="b">
        <v>0</v>
      </c>
      <c r="T132" s="317" t="b">
        <v>0</v>
      </c>
      <c r="U132" s="317" t="b">
        <v>0</v>
      </c>
      <c r="V132" s="136" t="s">
        <v>1324</v>
      </c>
      <c r="W132" s="136" t="s">
        <v>1303</v>
      </c>
      <c r="X132" s="136" t="s">
        <v>1303</v>
      </c>
      <c r="Y132" s="136" t="s">
        <v>1303</v>
      </c>
      <c r="Z132" s="136" t="s">
        <v>1324</v>
      </c>
    </row>
    <row r="133">
      <c r="A133" s="136" t="s">
        <v>604</v>
      </c>
      <c r="B133" s="316">
        <v>44549.0</v>
      </c>
      <c r="C133" s="316">
        <v>44551.0</v>
      </c>
      <c r="D133" s="299">
        <v>48.0</v>
      </c>
      <c r="E133" s="319" t="s">
        <v>1381</v>
      </c>
      <c r="F133" s="317" t="b">
        <v>0</v>
      </c>
      <c r="G133" s="317" t="b">
        <v>0</v>
      </c>
      <c r="H133" s="317" t="b">
        <v>1</v>
      </c>
      <c r="I133" s="317" t="b">
        <v>0</v>
      </c>
      <c r="J133" s="136" t="s">
        <v>603</v>
      </c>
      <c r="K133" s="136" t="s">
        <v>1298</v>
      </c>
      <c r="L133" s="299">
        <v>1.360632E7</v>
      </c>
      <c r="M133" s="317" t="b">
        <v>0</v>
      </c>
      <c r="N133" s="317" t="b">
        <v>0</v>
      </c>
      <c r="O133" s="317" t="b">
        <v>0</v>
      </c>
      <c r="P133" s="317" t="b">
        <v>0</v>
      </c>
      <c r="Q133" s="317" t="b">
        <v>0</v>
      </c>
      <c r="R133" s="317" t="b">
        <v>0</v>
      </c>
      <c r="S133" s="317" t="b">
        <v>0</v>
      </c>
      <c r="T133" s="317" t="b">
        <v>0</v>
      </c>
      <c r="U133" s="317" t="b">
        <v>0</v>
      </c>
      <c r="V133" s="136" t="s">
        <v>1324</v>
      </c>
      <c r="W133" s="136" t="s">
        <v>1303</v>
      </c>
      <c r="X133" s="136" t="s">
        <v>1303</v>
      </c>
      <c r="Y133" s="136" t="s">
        <v>1303</v>
      </c>
      <c r="Z133" s="136" t="s">
        <v>1324</v>
      </c>
    </row>
    <row r="134">
      <c r="A134" s="136" t="s">
        <v>604</v>
      </c>
      <c r="B134" s="316">
        <v>44546.0</v>
      </c>
      <c r="C134" s="316">
        <v>44548.0</v>
      </c>
      <c r="D134" s="299">
        <v>48.0</v>
      </c>
      <c r="E134" s="319" t="s">
        <v>1382</v>
      </c>
      <c r="F134" s="317" t="b">
        <v>0</v>
      </c>
      <c r="G134" s="317" t="b">
        <v>0</v>
      </c>
      <c r="H134" s="317" t="b">
        <v>1</v>
      </c>
      <c r="I134" s="317" t="b">
        <v>0</v>
      </c>
      <c r="J134" s="136" t="s">
        <v>603</v>
      </c>
      <c r="K134" s="136" t="s">
        <v>1298</v>
      </c>
      <c r="L134" s="299">
        <v>1.360632E7</v>
      </c>
      <c r="M134" s="317" t="b">
        <v>0</v>
      </c>
      <c r="N134" s="317" t="b">
        <v>0</v>
      </c>
      <c r="O134" s="317" t="b">
        <v>0</v>
      </c>
      <c r="P134" s="317" t="b">
        <v>0</v>
      </c>
      <c r="Q134" s="317" t="b">
        <v>0</v>
      </c>
      <c r="R134" s="317" t="b">
        <v>0</v>
      </c>
      <c r="S134" s="317" t="b">
        <v>0</v>
      </c>
      <c r="T134" s="317" t="b">
        <v>0</v>
      </c>
      <c r="U134" s="317" t="b">
        <v>0</v>
      </c>
      <c r="V134" s="136" t="s">
        <v>1324</v>
      </c>
      <c r="W134" s="136" t="s">
        <v>1303</v>
      </c>
      <c r="X134" s="136" t="s">
        <v>1303</v>
      </c>
      <c r="Y134" s="136" t="s">
        <v>1303</v>
      </c>
      <c r="Z134" s="136" t="s">
        <v>1324</v>
      </c>
    </row>
    <row r="135">
      <c r="A135" s="136" t="s">
        <v>604</v>
      </c>
      <c r="B135" s="316">
        <v>44543.0</v>
      </c>
      <c r="C135" s="316">
        <v>44545.0</v>
      </c>
      <c r="D135" s="299">
        <v>48.0</v>
      </c>
      <c r="E135" s="319" t="s">
        <v>1383</v>
      </c>
      <c r="F135" s="317" t="b">
        <v>0</v>
      </c>
      <c r="G135" s="317" t="b">
        <v>0</v>
      </c>
      <c r="H135" s="317" t="b">
        <v>1</v>
      </c>
      <c r="I135" s="317" t="b">
        <v>0</v>
      </c>
      <c r="J135" s="136" t="s">
        <v>603</v>
      </c>
      <c r="K135" s="136" t="s">
        <v>1298</v>
      </c>
      <c r="L135" s="299">
        <v>1.360632E7</v>
      </c>
      <c r="M135" s="317" t="b">
        <v>0</v>
      </c>
      <c r="N135" s="317" t="b">
        <v>0</v>
      </c>
      <c r="O135" s="317" t="b">
        <v>0</v>
      </c>
      <c r="P135" s="317" t="b">
        <v>0</v>
      </c>
      <c r="Q135" s="317" t="b">
        <v>0</v>
      </c>
      <c r="R135" s="317" t="b">
        <v>0</v>
      </c>
      <c r="S135" s="317" t="b">
        <v>0</v>
      </c>
      <c r="T135" s="317" t="b">
        <v>0</v>
      </c>
      <c r="U135" s="317" t="b">
        <v>0</v>
      </c>
      <c r="V135" s="136" t="s">
        <v>1324</v>
      </c>
      <c r="W135" s="136" t="s">
        <v>1303</v>
      </c>
      <c r="X135" s="136" t="s">
        <v>1303</v>
      </c>
      <c r="Y135" s="136" t="s">
        <v>1303</v>
      </c>
      <c r="Z135" s="136" t="s">
        <v>1324</v>
      </c>
    </row>
    <row r="136">
      <c r="A136" s="136" t="s">
        <v>604</v>
      </c>
      <c r="B136" s="316">
        <v>44540.0</v>
      </c>
      <c r="C136" s="316">
        <v>44542.0</v>
      </c>
      <c r="D136" s="299">
        <v>48.0</v>
      </c>
      <c r="E136" s="319" t="s">
        <v>1384</v>
      </c>
      <c r="F136" s="317" t="b">
        <v>0</v>
      </c>
      <c r="G136" s="317" t="b">
        <v>0</v>
      </c>
      <c r="H136" s="317" t="b">
        <v>1</v>
      </c>
      <c r="I136" s="317" t="b">
        <v>0</v>
      </c>
      <c r="J136" s="136" t="s">
        <v>603</v>
      </c>
      <c r="K136" s="136" t="s">
        <v>1298</v>
      </c>
      <c r="L136" s="299">
        <v>1.360632E7</v>
      </c>
      <c r="M136" s="317" t="b">
        <v>0</v>
      </c>
      <c r="N136" s="317" t="b">
        <v>0</v>
      </c>
      <c r="O136" s="317" t="b">
        <v>0</v>
      </c>
      <c r="P136" s="317" t="b">
        <v>0</v>
      </c>
      <c r="Q136" s="317" t="b">
        <v>0</v>
      </c>
      <c r="R136" s="317" t="b">
        <v>0</v>
      </c>
      <c r="S136" s="317" t="b">
        <v>0</v>
      </c>
      <c r="T136" s="317" t="b">
        <v>0</v>
      </c>
      <c r="U136" s="317" t="b">
        <v>0</v>
      </c>
      <c r="V136" s="136" t="s">
        <v>1324</v>
      </c>
      <c r="W136" s="136" t="s">
        <v>1303</v>
      </c>
      <c r="X136" s="136" t="s">
        <v>1303</v>
      </c>
      <c r="Y136" s="136" t="s">
        <v>1303</v>
      </c>
      <c r="Z136" s="136" t="s">
        <v>1324</v>
      </c>
    </row>
    <row r="137">
      <c r="A137" s="136" t="s">
        <v>604</v>
      </c>
      <c r="B137" s="316">
        <v>44538.0</v>
      </c>
      <c r="C137" s="316">
        <v>44538.0</v>
      </c>
      <c r="D137" s="299">
        <v>24.0</v>
      </c>
      <c r="E137" s="319" t="s">
        <v>1385</v>
      </c>
      <c r="F137" s="317" t="b">
        <v>0</v>
      </c>
      <c r="G137" s="317" t="b">
        <v>0</v>
      </c>
      <c r="H137" s="317" t="b">
        <v>1</v>
      </c>
      <c r="I137" s="317" t="b">
        <v>0</v>
      </c>
      <c r="J137" s="136" t="s">
        <v>603</v>
      </c>
      <c r="K137" s="136" t="s">
        <v>1298</v>
      </c>
      <c r="L137" s="299">
        <v>1.360632E7</v>
      </c>
      <c r="M137" s="317" t="b">
        <v>0</v>
      </c>
      <c r="N137" s="317" t="b">
        <v>0</v>
      </c>
      <c r="O137" s="317" t="b">
        <v>0</v>
      </c>
      <c r="P137" s="317" t="b">
        <v>0</v>
      </c>
      <c r="Q137" s="317" t="b">
        <v>0</v>
      </c>
      <c r="R137" s="317" t="b">
        <v>0</v>
      </c>
      <c r="S137" s="317" t="b">
        <v>0</v>
      </c>
      <c r="T137" s="317" t="b">
        <v>0</v>
      </c>
      <c r="U137" s="317" t="b">
        <v>0</v>
      </c>
      <c r="V137" s="136" t="s">
        <v>1324</v>
      </c>
      <c r="W137" s="136" t="s">
        <v>1303</v>
      </c>
      <c r="X137" s="136" t="s">
        <v>1303</v>
      </c>
      <c r="Y137" s="136" t="s">
        <v>1303</v>
      </c>
      <c r="Z137" s="136" t="s">
        <v>1324</v>
      </c>
    </row>
    <row r="138">
      <c r="A138" s="136" t="s">
        <v>604</v>
      </c>
      <c r="B138" s="316">
        <v>44538.0</v>
      </c>
      <c r="C138" s="316">
        <v>44539.0</v>
      </c>
      <c r="D138" s="299">
        <v>24.0</v>
      </c>
      <c r="E138" s="319" t="s">
        <v>1386</v>
      </c>
      <c r="F138" s="317" t="b">
        <v>0</v>
      </c>
      <c r="G138" s="317" t="b">
        <v>0</v>
      </c>
      <c r="H138" s="317" t="b">
        <v>1</v>
      </c>
      <c r="I138" s="317" t="b">
        <v>0</v>
      </c>
      <c r="J138" s="136" t="s">
        <v>603</v>
      </c>
      <c r="K138" s="136" t="s">
        <v>1298</v>
      </c>
      <c r="L138" s="299">
        <v>1.360632E7</v>
      </c>
      <c r="M138" s="317" t="b">
        <v>0</v>
      </c>
      <c r="N138" s="317" t="b">
        <v>0</v>
      </c>
      <c r="O138" s="317" t="b">
        <v>0</v>
      </c>
      <c r="P138" s="317" t="b">
        <v>0</v>
      </c>
      <c r="Q138" s="317" t="b">
        <v>0</v>
      </c>
      <c r="R138" s="317" t="b">
        <v>0</v>
      </c>
      <c r="S138" s="317" t="b">
        <v>0</v>
      </c>
      <c r="T138" s="317" t="b">
        <v>0</v>
      </c>
      <c r="U138" s="317" t="b">
        <v>0</v>
      </c>
      <c r="V138" s="136" t="s">
        <v>1324</v>
      </c>
      <c r="W138" s="136" t="s">
        <v>1303</v>
      </c>
      <c r="X138" s="136" t="s">
        <v>1303</v>
      </c>
      <c r="Y138" s="136" t="s">
        <v>1303</v>
      </c>
      <c r="Z138" s="136" t="s">
        <v>1324</v>
      </c>
    </row>
    <row r="139">
      <c r="A139" s="136" t="s">
        <v>604</v>
      </c>
      <c r="B139" s="316">
        <v>44531.0</v>
      </c>
      <c r="C139" s="316">
        <v>44532.0</v>
      </c>
      <c r="D139" s="299">
        <v>24.0</v>
      </c>
      <c r="E139" s="319" t="s">
        <v>1387</v>
      </c>
      <c r="F139" s="317" t="b">
        <v>0</v>
      </c>
      <c r="G139" s="317" t="b">
        <v>0</v>
      </c>
      <c r="H139" s="317" t="b">
        <v>1</v>
      </c>
      <c r="I139" s="317" t="b">
        <v>0</v>
      </c>
      <c r="J139" s="136" t="s">
        <v>603</v>
      </c>
      <c r="K139" s="136" t="s">
        <v>1298</v>
      </c>
      <c r="L139" s="299">
        <v>1.360632E7</v>
      </c>
      <c r="M139" s="317" t="b">
        <v>0</v>
      </c>
      <c r="N139" s="317" t="b">
        <v>0</v>
      </c>
      <c r="O139" s="317" t="b">
        <v>0</v>
      </c>
      <c r="P139" s="317" t="b">
        <v>0</v>
      </c>
      <c r="Q139" s="317" t="b">
        <v>0</v>
      </c>
      <c r="R139" s="317" t="b">
        <v>0</v>
      </c>
      <c r="S139" s="317" t="b">
        <v>0</v>
      </c>
      <c r="T139" s="317" t="b">
        <v>0</v>
      </c>
      <c r="U139" s="317" t="b">
        <v>0</v>
      </c>
      <c r="V139" s="136" t="s">
        <v>1324</v>
      </c>
      <c r="W139" s="136" t="s">
        <v>1303</v>
      </c>
      <c r="X139" s="136" t="s">
        <v>1303</v>
      </c>
      <c r="Y139" s="136" t="s">
        <v>1303</v>
      </c>
      <c r="Z139" s="136" t="s">
        <v>1324</v>
      </c>
    </row>
    <row r="140">
      <c r="A140" s="136" t="s">
        <v>604</v>
      </c>
      <c r="B140" s="316">
        <v>44531.0</v>
      </c>
      <c r="C140" s="316">
        <v>44537.0</v>
      </c>
      <c r="D140" s="299">
        <v>144.0</v>
      </c>
      <c r="E140" s="319" t="s">
        <v>1388</v>
      </c>
      <c r="F140" s="317" t="b">
        <v>0</v>
      </c>
      <c r="G140" s="317" t="b">
        <v>0</v>
      </c>
      <c r="H140" s="317" t="b">
        <v>1</v>
      </c>
      <c r="I140" s="317" t="b">
        <v>0</v>
      </c>
      <c r="J140" s="136" t="s">
        <v>603</v>
      </c>
      <c r="K140" s="136" t="s">
        <v>1298</v>
      </c>
      <c r="L140" s="299">
        <v>1.360632E7</v>
      </c>
      <c r="M140" s="317" t="b">
        <v>0</v>
      </c>
      <c r="N140" s="317" t="b">
        <v>0</v>
      </c>
      <c r="O140" s="317" t="b">
        <v>0</v>
      </c>
      <c r="P140" s="317" t="b">
        <v>0</v>
      </c>
      <c r="Q140" s="317" t="b">
        <v>0</v>
      </c>
      <c r="R140" s="317" t="b">
        <v>0</v>
      </c>
      <c r="S140" s="317" t="b">
        <v>0</v>
      </c>
      <c r="T140" s="317" t="b">
        <v>0</v>
      </c>
      <c r="U140" s="317" t="b">
        <v>0</v>
      </c>
      <c r="V140" s="136" t="s">
        <v>1324</v>
      </c>
      <c r="W140" s="136" t="s">
        <v>1303</v>
      </c>
      <c r="X140" s="136" t="s">
        <v>1303</v>
      </c>
      <c r="Y140" s="136" t="s">
        <v>1303</v>
      </c>
      <c r="Z140" s="136" t="s">
        <v>1324</v>
      </c>
    </row>
    <row r="141">
      <c r="A141" s="136" t="s">
        <v>604</v>
      </c>
      <c r="B141" s="316">
        <v>44529.0</v>
      </c>
      <c r="C141" s="316">
        <v>44530.0</v>
      </c>
      <c r="D141" s="299">
        <v>24.0</v>
      </c>
      <c r="E141" s="319" t="s">
        <v>1389</v>
      </c>
      <c r="F141" s="317" t="b">
        <v>0</v>
      </c>
      <c r="G141" s="317" t="b">
        <v>0</v>
      </c>
      <c r="H141" s="317" t="b">
        <v>1</v>
      </c>
      <c r="I141" s="317" t="b">
        <v>0</v>
      </c>
      <c r="J141" s="136" t="s">
        <v>603</v>
      </c>
      <c r="K141" s="136" t="s">
        <v>1298</v>
      </c>
      <c r="L141" s="299">
        <v>1.360632E7</v>
      </c>
      <c r="M141" s="317" t="b">
        <v>0</v>
      </c>
      <c r="N141" s="317" t="b">
        <v>0</v>
      </c>
      <c r="O141" s="317" t="b">
        <v>0</v>
      </c>
      <c r="P141" s="317" t="b">
        <v>0</v>
      </c>
      <c r="Q141" s="317" t="b">
        <v>0</v>
      </c>
      <c r="R141" s="317" t="b">
        <v>0</v>
      </c>
      <c r="S141" s="317" t="b">
        <v>0</v>
      </c>
      <c r="T141" s="317" t="b">
        <v>0</v>
      </c>
      <c r="U141" s="317" t="b">
        <v>0</v>
      </c>
      <c r="V141" s="136" t="s">
        <v>1324</v>
      </c>
      <c r="W141" s="136" t="s">
        <v>1303</v>
      </c>
      <c r="X141" s="136" t="s">
        <v>1303</v>
      </c>
      <c r="Y141" s="136" t="s">
        <v>1303</v>
      </c>
      <c r="Z141" s="136" t="s">
        <v>1324</v>
      </c>
    </row>
    <row r="142">
      <c r="A142" s="136" t="s">
        <v>604</v>
      </c>
      <c r="B142" s="316">
        <v>44527.0</v>
      </c>
      <c r="C142" s="316">
        <v>44529.0</v>
      </c>
      <c r="D142" s="299">
        <v>48.0</v>
      </c>
      <c r="E142" s="319" t="s">
        <v>1390</v>
      </c>
      <c r="F142" s="317" t="b">
        <v>0</v>
      </c>
      <c r="G142" s="317" t="b">
        <v>0</v>
      </c>
      <c r="H142" s="317" t="b">
        <v>1</v>
      </c>
      <c r="I142" s="317" t="b">
        <v>0</v>
      </c>
      <c r="J142" s="136" t="s">
        <v>603</v>
      </c>
      <c r="K142" s="136" t="s">
        <v>1298</v>
      </c>
      <c r="L142" s="299">
        <v>1.360632E7</v>
      </c>
      <c r="M142" s="317" t="b">
        <v>0</v>
      </c>
      <c r="N142" s="317" t="b">
        <v>0</v>
      </c>
      <c r="O142" s="317" t="b">
        <v>0</v>
      </c>
      <c r="P142" s="317" t="b">
        <v>0</v>
      </c>
      <c r="Q142" s="317" t="b">
        <v>0</v>
      </c>
      <c r="R142" s="317" t="b">
        <v>0</v>
      </c>
      <c r="S142" s="317" t="b">
        <v>0</v>
      </c>
      <c r="T142" s="317" t="b">
        <v>0</v>
      </c>
      <c r="U142" s="317" t="b">
        <v>0</v>
      </c>
      <c r="V142" s="136" t="s">
        <v>1324</v>
      </c>
      <c r="W142" s="136" t="s">
        <v>1303</v>
      </c>
      <c r="X142" s="136" t="s">
        <v>1303</v>
      </c>
      <c r="Y142" s="136" t="s">
        <v>1303</v>
      </c>
      <c r="Z142" s="136" t="s">
        <v>1324</v>
      </c>
    </row>
    <row r="143">
      <c r="A143" s="136" t="s">
        <v>604</v>
      </c>
      <c r="B143" s="316">
        <v>44525.0</v>
      </c>
      <c r="C143" s="316">
        <v>44527.0</v>
      </c>
      <c r="D143" s="299">
        <v>48.0</v>
      </c>
      <c r="E143" s="319" t="s">
        <v>1391</v>
      </c>
      <c r="F143" s="317" t="b">
        <v>0</v>
      </c>
      <c r="G143" s="317" t="b">
        <v>0</v>
      </c>
      <c r="H143" s="317" t="b">
        <v>1</v>
      </c>
      <c r="I143" s="317" t="b">
        <v>0</v>
      </c>
      <c r="J143" s="136" t="s">
        <v>603</v>
      </c>
      <c r="K143" s="136" t="s">
        <v>1298</v>
      </c>
      <c r="L143" s="299">
        <v>1.360632E7</v>
      </c>
      <c r="M143" s="317" t="b">
        <v>0</v>
      </c>
      <c r="N143" s="317" t="b">
        <v>0</v>
      </c>
      <c r="O143" s="317" t="b">
        <v>0</v>
      </c>
      <c r="P143" s="317" t="b">
        <v>0</v>
      </c>
      <c r="Q143" s="317" t="b">
        <v>0</v>
      </c>
      <c r="R143" s="317" t="b">
        <v>0</v>
      </c>
      <c r="S143" s="317" t="b">
        <v>0</v>
      </c>
      <c r="T143" s="317" t="b">
        <v>0</v>
      </c>
      <c r="U143" s="317" t="b">
        <v>0</v>
      </c>
      <c r="V143" s="136" t="s">
        <v>1324</v>
      </c>
      <c r="W143" s="136" t="s">
        <v>1303</v>
      </c>
      <c r="X143" s="136" t="s">
        <v>1303</v>
      </c>
      <c r="Y143" s="136" t="s">
        <v>1303</v>
      </c>
      <c r="Z143" s="136" t="s">
        <v>1324</v>
      </c>
    </row>
    <row r="144">
      <c r="A144" s="136" t="s">
        <v>604</v>
      </c>
      <c r="B144" s="316">
        <v>44524.0</v>
      </c>
      <c r="C144" s="316">
        <v>44529.0</v>
      </c>
      <c r="D144" s="299">
        <v>120.0</v>
      </c>
      <c r="E144" s="319" t="s">
        <v>1392</v>
      </c>
      <c r="F144" s="317" t="b">
        <v>0</v>
      </c>
      <c r="G144" s="317" t="b">
        <v>0</v>
      </c>
      <c r="H144" s="317" t="b">
        <v>1</v>
      </c>
      <c r="I144" s="317" t="b">
        <v>0</v>
      </c>
      <c r="J144" s="136" t="s">
        <v>603</v>
      </c>
      <c r="K144" s="136" t="s">
        <v>1298</v>
      </c>
      <c r="L144" s="299">
        <v>1.360632E7</v>
      </c>
      <c r="M144" s="317" t="b">
        <v>0</v>
      </c>
      <c r="N144" s="317" t="b">
        <v>0</v>
      </c>
      <c r="O144" s="317" t="b">
        <v>0</v>
      </c>
      <c r="P144" s="317" t="b">
        <v>0</v>
      </c>
      <c r="Q144" s="317" t="b">
        <v>0</v>
      </c>
      <c r="R144" s="317" t="b">
        <v>0</v>
      </c>
      <c r="S144" s="317" t="b">
        <v>0</v>
      </c>
      <c r="T144" s="317" t="b">
        <v>0</v>
      </c>
      <c r="U144" s="317" t="b">
        <v>0</v>
      </c>
      <c r="V144" s="136" t="s">
        <v>1324</v>
      </c>
      <c r="W144" s="136" t="s">
        <v>1303</v>
      </c>
      <c r="X144" s="136" t="s">
        <v>1303</v>
      </c>
      <c r="Y144" s="136" t="s">
        <v>1303</v>
      </c>
      <c r="Z144" s="136" t="s">
        <v>1324</v>
      </c>
    </row>
    <row r="145">
      <c r="A145" s="136" t="s">
        <v>604</v>
      </c>
      <c r="B145" s="316">
        <v>44523.0</v>
      </c>
      <c r="C145" s="316">
        <v>44525.0</v>
      </c>
      <c r="D145" s="299">
        <v>48.0</v>
      </c>
      <c r="E145" s="319" t="s">
        <v>1393</v>
      </c>
      <c r="F145" s="317" t="b">
        <v>0</v>
      </c>
      <c r="G145" s="317" t="b">
        <v>0</v>
      </c>
      <c r="H145" s="317" t="b">
        <v>1</v>
      </c>
      <c r="I145" s="317" t="b">
        <v>0</v>
      </c>
      <c r="J145" s="136" t="s">
        <v>603</v>
      </c>
      <c r="K145" s="136" t="s">
        <v>1298</v>
      </c>
      <c r="L145" s="299">
        <v>1.360632E7</v>
      </c>
      <c r="M145" s="317" t="b">
        <v>0</v>
      </c>
      <c r="N145" s="317" t="b">
        <v>0</v>
      </c>
      <c r="O145" s="317" t="b">
        <v>0</v>
      </c>
      <c r="P145" s="317" t="b">
        <v>0</v>
      </c>
      <c r="Q145" s="317" t="b">
        <v>0</v>
      </c>
      <c r="R145" s="317" t="b">
        <v>0</v>
      </c>
      <c r="S145" s="317" t="b">
        <v>0</v>
      </c>
      <c r="T145" s="317" t="b">
        <v>0</v>
      </c>
      <c r="U145" s="317" t="b">
        <v>0</v>
      </c>
      <c r="V145" s="136" t="s">
        <v>1324</v>
      </c>
      <c r="W145" s="136" t="s">
        <v>1303</v>
      </c>
      <c r="X145" s="136" t="s">
        <v>1303</v>
      </c>
      <c r="Y145" s="136" t="s">
        <v>1303</v>
      </c>
      <c r="Z145" s="136" t="s">
        <v>1324</v>
      </c>
    </row>
    <row r="146">
      <c r="A146" s="136" t="s">
        <v>604</v>
      </c>
      <c r="B146" s="316">
        <v>44521.0</v>
      </c>
      <c r="C146" s="316">
        <v>44523.0</v>
      </c>
      <c r="D146" s="299">
        <v>48.0</v>
      </c>
      <c r="E146" s="319" t="s">
        <v>1394</v>
      </c>
      <c r="F146" s="317" t="b">
        <v>0</v>
      </c>
      <c r="G146" s="317" t="b">
        <v>0</v>
      </c>
      <c r="H146" s="317" t="b">
        <v>1</v>
      </c>
      <c r="I146" s="317" t="b">
        <v>0</v>
      </c>
      <c r="J146" s="136" t="s">
        <v>603</v>
      </c>
      <c r="K146" s="136" t="s">
        <v>1298</v>
      </c>
      <c r="L146" s="299">
        <v>1.360632E7</v>
      </c>
      <c r="M146" s="317" t="b">
        <v>0</v>
      </c>
      <c r="N146" s="317" t="b">
        <v>0</v>
      </c>
      <c r="O146" s="317" t="b">
        <v>0</v>
      </c>
      <c r="P146" s="317" t="b">
        <v>0</v>
      </c>
      <c r="Q146" s="317" t="b">
        <v>0</v>
      </c>
      <c r="R146" s="317" t="b">
        <v>0</v>
      </c>
      <c r="S146" s="317" t="b">
        <v>0</v>
      </c>
      <c r="T146" s="317" t="b">
        <v>0</v>
      </c>
      <c r="U146" s="317" t="b">
        <v>0</v>
      </c>
      <c r="V146" s="136" t="s">
        <v>1324</v>
      </c>
      <c r="W146" s="136" t="s">
        <v>1303</v>
      </c>
      <c r="X146" s="136" t="s">
        <v>1303</v>
      </c>
      <c r="Y146" s="136" t="s">
        <v>1303</v>
      </c>
      <c r="Z146" s="136" t="s">
        <v>1324</v>
      </c>
    </row>
    <row r="147">
      <c r="A147" s="136" t="s">
        <v>604</v>
      </c>
      <c r="B147" s="316">
        <v>44520.0</v>
      </c>
      <c r="C147" s="316">
        <v>44521.0</v>
      </c>
      <c r="D147" s="299">
        <v>24.0</v>
      </c>
      <c r="E147" s="319" t="s">
        <v>1395</v>
      </c>
      <c r="F147" s="317" t="b">
        <v>0</v>
      </c>
      <c r="G147" s="317" t="b">
        <v>0</v>
      </c>
      <c r="H147" s="317" t="b">
        <v>1</v>
      </c>
      <c r="I147" s="317" t="b">
        <v>0</v>
      </c>
      <c r="J147" s="136" t="s">
        <v>603</v>
      </c>
      <c r="K147" s="136" t="s">
        <v>1298</v>
      </c>
      <c r="L147" s="299">
        <v>1.360632E7</v>
      </c>
      <c r="M147" s="317" t="b">
        <v>0</v>
      </c>
      <c r="N147" s="317" t="b">
        <v>0</v>
      </c>
      <c r="O147" s="317" t="b">
        <v>0</v>
      </c>
      <c r="P147" s="317" t="b">
        <v>0</v>
      </c>
      <c r="Q147" s="317" t="b">
        <v>0</v>
      </c>
      <c r="R147" s="317" t="b">
        <v>0</v>
      </c>
      <c r="S147" s="317" t="b">
        <v>0</v>
      </c>
      <c r="T147" s="317" t="b">
        <v>0</v>
      </c>
      <c r="U147" s="317" t="b">
        <v>0</v>
      </c>
      <c r="V147" s="136" t="s">
        <v>1324</v>
      </c>
      <c r="W147" s="136" t="s">
        <v>1303</v>
      </c>
      <c r="X147" s="136" t="s">
        <v>1303</v>
      </c>
      <c r="Y147" s="136" t="s">
        <v>1303</v>
      </c>
      <c r="Z147" s="136" t="s">
        <v>1324</v>
      </c>
    </row>
    <row r="148">
      <c r="A148" s="136" t="s">
        <v>604</v>
      </c>
      <c r="B148" s="316">
        <v>44519.0</v>
      </c>
      <c r="C148" s="316">
        <v>44521.0</v>
      </c>
      <c r="D148" s="299">
        <v>48.0</v>
      </c>
      <c r="E148" s="319" t="s">
        <v>1396</v>
      </c>
      <c r="F148" s="317" t="b">
        <v>0</v>
      </c>
      <c r="G148" s="317" t="b">
        <v>0</v>
      </c>
      <c r="H148" s="317" t="b">
        <v>1</v>
      </c>
      <c r="I148" s="317" t="b">
        <v>0</v>
      </c>
      <c r="J148" s="136" t="s">
        <v>603</v>
      </c>
      <c r="K148" s="136" t="s">
        <v>1298</v>
      </c>
      <c r="L148" s="299">
        <v>1.360632E7</v>
      </c>
      <c r="M148" s="317" t="b">
        <v>0</v>
      </c>
      <c r="N148" s="317" t="b">
        <v>0</v>
      </c>
      <c r="O148" s="317" t="b">
        <v>0</v>
      </c>
      <c r="P148" s="317" t="b">
        <v>0</v>
      </c>
      <c r="Q148" s="317" t="b">
        <v>0</v>
      </c>
      <c r="R148" s="317" t="b">
        <v>0</v>
      </c>
      <c r="S148" s="317" t="b">
        <v>0</v>
      </c>
      <c r="T148" s="317" t="b">
        <v>0</v>
      </c>
      <c r="U148" s="317" t="b">
        <v>0</v>
      </c>
      <c r="V148" s="136" t="s">
        <v>1324</v>
      </c>
      <c r="W148" s="136" t="s">
        <v>1303</v>
      </c>
      <c r="X148" s="136" t="s">
        <v>1303</v>
      </c>
      <c r="Y148" s="136" t="s">
        <v>1303</v>
      </c>
      <c r="Z148" s="136" t="s">
        <v>1324</v>
      </c>
    </row>
    <row r="149">
      <c r="A149" s="136" t="s">
        <v>604</v>
      </c>
      <c r="B149" s="316">
        <v>44518.0</v>
      </c>
      <c r="C149" s="316">
        <v>44520.0</v>
      </c>
      <c r="D149" s="299">
        <v>48.0</v>
      </c>
      <c r="E149" s="319" t="s">
        <v>1397</v>
      </c>
      <c r="F149" s="317" t="b">
        <v>0</v>
      </c>
      <c r="G149" s="317" t="b">
        <v>0</v>
      </c>
      <c r="H149" s="317" t="b">
        <v>1</v>
      </c>
      <c r="I149" s="317" t="b">
        <v>0</v>
      </c>
      <c r="J149" s="136" t="s">
        <v>603</v>
      </c>
      <c r="K149" s="136" t="s">
        <v>1298</v>
      </c>
      <c r="L149" s="299">
        <v>1.360632E7</v>
      </c>
      <c r="M149" s="317" t="b">
        <v>0</v>
      </c>
      <c r="N149" s="317" t="b">
        <v>0</v>
      </c>
      <c r="O149" s="317" t="b">
        <v>0</v>
      </c>
      <c r="P149" s="317" t="b">
        <v>0</v>
      </c>
      <c r="Q149" s="317" t="b">
        <v>0</v>
      </c>
      <c r="R149" s="317" t="b">
        <v>0</v>
      </c>
      <c r="S149" s="317" t="b">
        <v>0</v>
      </c>
      <c r="T149" s="317" t="b">
        <v>0</v>
      </c>
      <c r="U149" s="317" t="b">
        <v>0</v>
      </c>
      <c r="V149" s="136" t="s">
        <v>1324</v>
      </c>
      <c r="W149" s="136" t="s">
        <v>1303</v>
      </c>
      <c r="X149" s="136" t="s">
        <v>1303</v>
      </c>
      <c r="Y149" s="136" t="s">
        <v>1303</v>
      </c>
      <c r="Z149" s="136" t="s">
        <v>1324</v>
      </c>
    </row>
    <row r="150">
      <c r="A150" s="136" t="s">
        <v>604</v>
      </c>
      <c r="B150" s="316">
        <v>44517.0</v>
      </c>
      <c r="C150" s="316">
        <v>44519.0</v>
      </c>
      <c r="D150" s="299">
        <v>48.0</v>
      </c>
      <c r="E150" s="319" t="s">
        <v>1398</v>
      </c>
      <c r="F150" s="317" t="b">
        <v>0</v>
      </c>
      <c r="G150" s="317" t="b">
        <v>0</v>
      </c>
      <c r="H150" s="317" t="b">
        <v>1</v>
      </c>
      <c r="I150" s="317" t="b">
        <v>0</v>
      </c>
      <c r="J150" s="136" t="s">
        <v>603</v>
      </c>
      <c r="K150" s="136" t="s">
        <v>1298</v>
      </c>
      <c r="L150" s="299">
        <v>1.360632E7</v>
      </c>
      <c r="M150" s="317" t="b">
        <v>0</v>
      </c>
      <c r="N150" s="317" t="b">
        <v>0</v>
      </c>
      <c r="O150" s="317" t="b">
        <v>0</v>
      </c>
      <c r="P150" s="317" t="b">
        <v>0</v>
      </c>
      <c r="Q150" s="317" t="b">
        <v>0</v>
      </c>
      <c r="R150" s="317" t="b">
        <v>0</v>
      </c>
      <c r="S150" s="317" t="b">
        <v>0</v>
      </c>
      <c r="T150" s="317" t="b">
        <v>0</v>
      </c>
      <c r="U150" s="317" t="b">
        <v>0</v>
      </c>
      <c r="V150" s="136" t="s">
        <v>1324</v>
      </c>
      <c r="W150" s="136" t="s">
        <v>1303</v>
      </c>
      <c r="X150" s="136" t="s">
        <v>1303</v>
      </c>
      <c r="Y150" s="136" t="s">
        <v>1303</v>
      </c>
      <c r="Z150" s="136" t="s">
        <v>1324</v>
      </c>
    </row>
    <row r="151">
      <c r="A151" s="136" t="s">
        <v>604</v>
      </c>
      <c r="B151" s="316">
        <v>44515.0</v>
      </c>
      <c r="C151" s="316">
        <v>44517.0</v>
      </c>
      <c r="D151" s="299">
        <v>48.0</v>
      </c>
      <c r="E151" s="319" t="s">
        <v>1399</v>
      </c>
      <c r="F151" s="317" t="b">
        <v>0</v>
      </c>
      <c r="G151" s="317" t="b">
        <v>0</v>
      </c>
      <c r="H151" s="317" t="b">
        <v>1</v>
      </c>
      <c r="I151" s="317" t="b">
        <v>0</v>
      </c>
      <c r="J151" s="136" t="s">
        <v>603</v>
      </c>
      <c r="K151" s="136" t="s">
        <v>1298</v>
      </c>
      <c r="L151" s="299">
        <v>1.360632E7</v>
      </c>
      <c r="M151" s="317" t="b">
        <v>0</v>
      </c>
      <c r="N151" s="317" t="b">
        <v>0</v>
      </c>
      <c r="O151" s="317" t="b">
        <v>0</v>
      </c>
      <c r="P151" s="317" t="b">
        <v>0</v>
      </c>
      <c r="Q151" s="317" t="b">
        <v>0</v>
      </c>
      <c r="R151" s="317" t="b">
        <v>0</v>
      </c>
      <c r="S151" s="317" t="b">
        <v>0</v>
      </c>
      <c r="T151" s="317" t="b">
        <v>0</v>
      </c>
      <c r="U151" s="317" t="b">
        <v>0</v>
      </c>
      <c r="V151" s="136" t="s">
        <v>1324</v>
      </c>
      <c r="W151" s="136" t="s">
        <v>1303</v>
      </c>
      <c r="X151" s="136" t="s">
        <v>1303</v>
      </c>
      <c r="Y151" s="136" t="s">
        <v>1303</v>
      </c>
      <c r="Z151" s="136" t="s">
        <v>1324</v>
      </c>
    </row>
    <row r="152">
      <c r="A152" s="136" t="s">
        <v>604</v>
      </c>
      <c r="B152" s="316">
        <v>44513.0</v>
      </c>
      <c r="C152" s="316">
        <v>44515.0</v>
      </c>
      <c r="D152" s="299">
        <v>48.0</v>
      </c>
      <c r="E152" s="319" t="s">
        <v>1400</v>
      </c>
      <c r="F152" s="317" t="b">
        <v>0</v>
      </c>
      <c r="G152" s="317" t="b">
        <v>0</v>
      </c>
      <c r="H152" s="317" t="b">
        <v>1</v>
      </c>
      <c r="I152" s="317" t="b">
        <v>0</v>
      </c>
      <c r="J152" s="136" t="s">
        <v>603</v>
      </c>
      <c r="K152" s="136" t="s">
        <v>1298</v>
      </c>
      <c r="L152" s="299">
        <v>1.360632E7</v>
      </c>
      <c r="M152" s="317" t="b">
        <v>0</v>
      </c>
      <c r="N152" s="317" t="b">
        <v>0</v>
      </c>
      <c r="O152" s="317" t="b">
        <v>0</v>
      </c>
      <c r="P152" s="317" t="b">
        <v>0</v>
      </c>
      <c r="Q152" s="317" t="b">
        <v>0</v>
      </c>
      <c r="R152" s="317" t="b">
        <v>0</v>
      </c>
      <c r="S152" s="317" t="b">
        <v>0</v>
      </c>
      <c r="T152" s="317" t="b">
        <v>0</v>
      </c>
      <c r="U152" s="317" t="b">
        <v>0</v>
      </c>
      <c r="V152" s="136" t="s">
        <v>1324</v>
      </c>
      <c r="W152" s="136" t="s">
        <v>1303</v>
      </c>
      <c r="X152" s="136" t="s">
        <v>1303</v>
      </c>
      <c r="Y152" s="136" t="s">
        <v>1303</v>
      </c>
      <c r="Z152" s="136" t="s">
        <v>1324</v>
      </c>
    </row>
    <row r="153">
      <c r="A153" s="136" t="s">
        <v>604</v>
      </c>
      <c r="B153" s="316">
        <v>44513.0</v>
      </c>
      <c r="C153" s="316">
        <v>44516.0</v>
      </c>
      <c r="D153" s="299">
        <v>72.0</v>
      </c>
      <c r="E153" s="319" t="s">
        <v>1401</v>
      </c>
      <c r="F153" s="317" t="b">
        <v>1</v>
      </c>
      <c r="G153" s="317" t="b">
        <v>0</v>
      </c>
      <c r="H153" s="317" t="b">
        <v>0</v>
      </c>
      <c r="I153" s="317" t="b">
        <v>0</v>
      </c>
      <c r="J153" s="136" t="s">
        <v>603</v>
      </c>
      <c r="K153" s="136" t="s">
        <v>1298</v>
      </c>
      <c r="L153" s="299">
        <v>1.360632E7</v>
      </c>
      <c r="M153" s="317" t="b">
        <v>0</v>
      </c>
      <c r="N153" s="317" t="b">
        <v>0</v>
      </c>
      <c r="O153" s="317" t="b">
        <v>0</v>
      </c>
      <c r="P153" s="317" t="b">
        <v>0</v>
      </c>
      <c r="Q153" s="317" t="b">
        <v>0</v>
      </c>
      <c r="R153" s="317" t="b">
        <v>0</v>
      </c>
      <c r="S153" s="317" t="b">
        <v>0</v>
      </c>
      <c r="T153" s="317" t="b">
        <v>0</v>
      </c>
      <c r="U153" s="317" t="b">
        <v>0</v>
      </c>
      <c r="V153" s="136" t="s">
        <v>1324</v>
      </c>
      <c r="W153" s="136" t="s">
        <v>1303</v>
      </c>
      <c r="X153" s="136" t="s">
        <v>1303</v>
      </c>
      <c r="Y153" s="136" t="s">
        <v>1303</v>
      </c>
      <c r="Z153" s="136" t="s">
        <v>1324</v>
      </c>
    </row>
    <row r="154">
      <c r="A154" s="136" t="s">
        <v>604</v>
      </c>
      <c r="B154" s="316">
        <v>44511.0</v>
      </c>
      <c r="C154" s="316">
        <v>44512.0</v>
      </c>
      <c r="D154" s="299">
        <v>24.0</v>
      </c>
      <c r="E154" s="319" t="s">
        <v>1402</v>
      </c>
      <c r="F154" s="317" t="b">
        <v>0</v>
      </c>
      <c r="G154" s="317" t="b">
        <v>0</v>
      </c>
      <c r="H154" s="317" t="b">
        <v>1</v>
      </c>
      <c r="I154" s="317" t="b">
        <v>0</v>
      </c>
      <c r="J154" s="136" t="s">
        <v>603</v>
      </c>
      <c r="K154" s="136" t="s">
        <v>1298</v>
      </c>
      <c r="L154" s="299">
        <v>1.360632E7</v>
      </c>
      <c r="M154" s="317" t="b">
        <v>0</v>
      </c>
      <c r="N154" s="317" t="b">
        <v>0</v>
      </c>
      <c r="O154" s="317" t="b">
        <v>0</v>
      </c>
      <c r="P154" s="317" t="b">
        <v>0</v>
      </c>
      <c r="Q154" s="317" t="b">
        <v>0</v>
      </c>
      <c r="R154" s="317" t="b">
        <v>0</v>
      </c>
      <c r="S154" s="317" t="b">
        <v>0</v>
      </c>
      <c r="T154" s="317" t="b">
        <v>0</v>
      </c>
      <c r="U154" s="317" t="b">
        <v>0</v>
      </c>
      <c r="V154" s="136" t="s">
        <v>1324</v>
      </c>
      <c r="W154" s="136" t="s">
        <v>1303</v>
      </c>
      <c r="X154" s="136" t="s">
        <v>1303</v>
      </c>
      <c r="Y154" s="136" t="s">
        <v>1303</v>
      </c>
      <c r="Z154" s="136" t="s">
        <v>1324</v>
      </c>
    </row>
    <row r="155">
      <c r="A155" s="136" t="s">
        <v>604</v>
      </c>
      <c r="B155" s="316">
        <v>44511.0</v>
      </c>
      <c r="C155" s="316">
        <v>44513.0</v>
      </c>
      <c r="D155" s="299">
        <v>48.0</v>
      </c>
      <c r="E155" s="319" t="s">
        <v>1403</v>
      </c>
      <c r="F155" s="317" t="b">
        <v>0</v>
      </c>
      <c r="G155" s="317" t="b">
        <v>0</v>
      </c>
      <c r="H155" s="317" t="b">
        <v>1</v>
      </c>
      <c r="I155" s="317" t="b">
        <v>0</v>
      </c>
      <c r="J155" s="136" t="s">
        <v>603</v>
      </c>
      <c r="K155" s="136" t="s">
        <v>1298</v>
      </c>
      <c r="L155" s="299">
        <v>1.360632E7</v>
      </c>
      <c r="M155" s="317" t="b">
        <v>0</v>
      </c>
      <c r="N155" s="317" t="b">
        <v>0</v>
      </c>
      <c r="O155" s="317" t="b">
        <v>0</v>
      </c>
      <c r="P155" s="317" t="b">
        <v>0</v>
      </c>
      <c r="Q155" s="317" t="b">
        <v>0</v>
      </c>
      <c r="R155" s="317" t="b">
        <v>0</v>
      </c>
      <c r="S155" s="317" t="b">
        <v>0</v>
      </c>
      <c r="T155" s="317" t="b">
        <v>0</v>
      </c>
      <c r="U155" s="317" t="b">
        <v>0</v>
      </c>
      <c r="V155" s="136" t="s">
        <v>1324</v>
      </c>
      <c r="W155" s="136" t="s">
        <v>1303</v>
      </c>
      <c r="X155" s="136" t="s">
        <v>1303</v>
      </c>
      <c r="Y155" s="136" t="s">
        <v>1303</v>
      </c>
      <c r="Z155" s="136" t="s">
        <v>1324</v>
      </c>
    </row>
    <row r="156">
      <c r="A156" s="136" t="s">
        <v>604</v>
      </c>
      <c r="B156" s="316">
        <v>44509.0</v>
      </c>
      <c r="C156" s="316">
        <v>44511.0</v>
      </c>
      <c r="D156" s="299">
        <v>48.0</v>
      </c>
      <c r="E156" s="319" t="s">
        <v>1404</v>
      </c>
      <c r="F156" s="317" t="b">
        <v>0</v>
      </c>
      <c r="G156" s="317" t="b">
        <v>0</v>
      </c>
      <c r="H156" s="317" t="b">
        <v>1</v>
      </c>
      <c r="I156" s="317" t="b">
        <v>0</v>
      </c>
      <c r="J156" s="136" t="s">
        <v>603</v>
      </c>
      <c r="K156" s="136" t="s">
        <v>1298</v>
      </c>
      <c r="L156" s="299">
        <v>1.360632E7</v>
      </c>
      <c r="M156" s="317" t="b">
        <v>0</v>
      </c>
      <c r="N156" s="317" t="b">
        <v>0</v>
      </c>
      <c r="O156" s="317" t="b">
        <v>0</v>
      </c>
      <c r="P156" s="317" t="b">
        <v>0</v>
      </c>
      <c r="Q156" s="317" t="b">
        <v>0</v>
      </c>
      <c r="R156" s="317" t="b">
        <v>0</v>
      </c>
      <c r="S156" s="317" t="b">
        <v>0</v>
      </c>
      <c r="T156" s="317" t="b">
        <v>0</v>
      </c>
      <c r="U156" s="317" t="b">
        <v>0</v>
      </c>
      <c r="V156" s="136" t="s">
        <v>1324</v>
      </c>
      <c r="W156" s="136" t="s">
        <v>1303</v>
      </c>
      <c r="X156" s="136" t="s">
        <v>1303</v>
      </c>
      <c r="Y156" s="136" t="s">
        <v>1303</v>
      </c>
      <c r="Z156" s="136" t="s">
        <v>1324</v>
      </c>
    </row>
    <row r="157">
      <c r="A157" s="136" t="s">
        <v>604</v>
      </c>
      <c r="B157" s="316">
        <v>44507.0</v>
      </c>
      <c r="C157" s="316">
        <v>44509.0</v>
      </c>
      <c r="D157" s="299">
        <v>48.0</v>
      </c>
      <c r="E157" s="319" t="s">
        <v>1405</v>
      </c>
      <c r="F157" s="317" t="b">
        <v>0</v>
      </c>
      <c r="G157" s="317" t="b">
        <v>0</v>
      </c>
      <c r="H157" s="317" t="b">
        <v>1</v>
      </c>
      <c r="I157" s="317" t="b">
        <v>0</v>
      </c>
      <c r="J157" s="136" t="s">
        <v>603</v>
      </c>
      <c r="K157" s="136" t="s">
        <v>1298</v>
      </c>
      <c r="L157" s="299">
        <v>1.360632E7</v>
      </c>
      <c r="M157" s="317" t="b">
        <v>0</v>
      </c>
      <c r="N157" s="317" t="b">
        <v>0</v>
      </c>
      <c r="O157" s="317" t="b">
        <v>0</v>
      </c>
      <c r="P157" s="317" t="b">
        <v>0</v>
      </c>
      <c r="Q157" s="317" t="b">
        <v>0</v>
      </c>
      <c r="R157" s="317" t="b">
        <v>0</v>
      </c>
      <c r="S157" s="317" t="b">
        <v>0</v>
      </c>
      <c r="T157" s="317" t="b">
        <v>0</v>
      </c>
      <c r="U157" s="317" t="b">
        <v>0</v>
      </c>
      <c r="V157" s="136" t="s">
        <v>1324</v>
      </c>
      <c r="W157" s="136" t="s">
        <v>1303</v>
      </c>
      <c r="X157" s="136" t="s">
        <v>1303</v>
      </c>
      <c r="Y157" s="136" t="s">
        <v>1303</v>
      </c>
      <c r="Z157" s="136" t="s">
        <v>1324</v>
      </c>
    </row>
    <row r="158">
      <c r="A158" s="136" t="s">
        <v>604</v>
      </c>
      <c r="B158" s="316">
        <v>44505.0</v>
      </c>
      <c r="C158" s="316">
        <v>44507.0</v>
      </c>
      <c r="D158" s="299">
        <v>48.0</v>
      </c>
      <c r="E158" s="319" t="s">
        <v>1406</v>
      </c>
      <c r="F158" s="317" t="b">
        <v>0</v>
      </c>
      <c r="G158" s="317" t="b">
        <v>0</v>
      </c>
      <c r="H158" s="317" t="b">
        <v>1</v>
      </c>
      <c r="I158" s="317" t="b">
        <v>0</v>
      </c>
      <c r="J158" s="136" t="s">
        <v>603</v>
      </c>
      <c r="K158" s="136" t="s">
        <v>1298</v>
      </c>
      <c r="L158" s="299">
        <v>1.360632E7</v>
      </c>
      <c r="M158" s="317" t="b">
        <v>0</v>
      </c>
      <c r="N158" s="317" t="b">
        <v>0</v>
      </c>
      <c r="O158" s="317" t="b">
        <v>0</v>
      </c>
      <c r="P158" s="317" t="b">
        <v>0</v>
      </c>
      <c r="Q158" s="317" t="b">
        <v>0</v>
      </c>
      <c r="R158" s="317" t="b">
        <v>0</v>
      </c>
      <c r="S158" s="317" t="b">
        <v>0</v>
      </c>
      <c r="T158" s="317" t="b">
        <v>0</v>
      </c>
      <c r="U158" s="317" t="b">
        <v>0</v>
      </c>
      <c r="V158" s="136" t="s">
        <v>1324</v>
      </c>
      <c r="W158" s="136" t="s">
        <v>1303</v>
      </c>
      <c r="X158" s="136" t="s">
        <v>1303</v>
      </c>
      <c r="Y158" s="136" t="s">
        <v>1303</v>
      </c>
      <c r="Z158" s="136" t="s">
        <v>1324</v>
      </c>
    </row>
    <row r="159">
      <c r="A159" s="136" t="s">
        <v>604</v>
      </c>
      <c r="B159" s="316">
        <v>44503.0</v>
      </c>
      <c r="C159" s="316">
        <v>44505.0</v>
      </c>
      <c r="D159" s="299">
        <v>48.0</v>
      </c>
      <c r="E159" s="319" t="s">
        <v>1407</v>
      </c>
      <c r="F159" s="317" t="b">
        <v>0</v>
      </c>
      <c r="G159" s="317" t="b">
        <v>0</v>
      </c>
      <c r="H159" s="317" t="b">
        <v>1</v>
      </c>
      <c r="I159" s="317" t="b">
        <v>0</v>
      </c>
      <c r="J159" s="136" t="s">
        <v>603</v>
      </c>
      <c r="K159" s="136" t="s">
        <v>1298</v>
      </c>
      <c r="L159" s="299">
        <v>1.360632E7</v>
      </c>
      <c r="M159" s="317" t="b">
        <v>0</v>
      </c>
      <c r="N159" s="317" t="b">
        <v>0</v>
      </c>
      <c r="O159" s="317" t="b">
        <v>0</v>
      </c>
      <c r="P159" s="317" t="b">
        <v>0</v>
      </c>
      <c r="Q159" s="317" t="b">
        <v>0</v>
      </c>
      <c r="R159" s="317" t="b">
        <v>0</v>
      </c>
      <c r="S159" s="317" t="b">
        <v>0</v>
      </c>
      <c r="T159" s="317" t="b">
        <v>0</v>
      </c>
      <c r="U159" s="317" t="b">
        <v>0</v>
      </c>
      <c r="V159" s="136" t="s">
        <v>1324</v>
      </c>
      <c r="W159" s="136" t="s">
        <v>1303</v>
      </c>
      <c r="X159" s="136" t="s">
        <v>1303</v>
      </c>
      <c r="Y159" s="136" t="s">
        <v>1303</v>
      </c>
      <c r="Z159" s="136" t="s">
        <v>1324</v>
      </c>
    </row>
    <row r="160">
      <c r="A160" s="136" t="s">
        <v>604</v>
      </c>
      <c r="B160" s="316">
        <v>44501.0</v>
      </c>
      <c r="C160" s="316">
        <v>44503.0</v>
      </c>
      <c r="D160" s="299">
        <v>48.0</v>
      </c>
      <c r="E160" s="319" t="s">
        <v>1408</v>
      </c>
      <c r="F160" s="317" t="b">
        <v>0</v>
      </c>
      <c r="G160" s="317" t="b">
        <v>0</v>
      </c>
      <c r="H160" s="317" t="b">
        <v>1</v>
      </c>
      <c r="I160" s="317" t="b">
        <v>0</v>
      </c>
      <c r="J160" s="136" t="s">
        <v>603</v>
      </c>
      <c r="K160" s="136" t="s">
        <v>1298</v>
      </c>
      <c r="L160" s="299">
        <v>1.360632E7</v>
      </c>
      <c r="M160" s="317" t="b">
        <v>0</v>
      </c>
      <c r="N160" s="317" t="b">
        <v>0</v>
      </c>
      <c r="O160" s="317" t="b">
        <v>0</v>
      </c>
      <c r="P160" s="317" t="b">
        <v>0</v>
      </c>
      <c r="Q160" s="317" t="b">
        <v>0</v>
      </c>
      <c r="R160" s="317" t="b">
        <v>0</v>
      </c>
      <c r="S160" s="317" t="b">
        <v>0</v>
      </c>
      <c r="T160" s="317" t="b">
        <v>0</v>
      </c>
      <c r="U160" s="317" t="b">
        <v>0</v>
      </c>
      <c r="V160" s="136" t="s">
        <v>1324</v>
      </c>
      <c r="W160" s="136" t="s">
        <v>1303</v>
      </c>
      <c r="X160" s="136" t="s">
        <v>1303</v>
      </c>
      <c r="Y160" s="136" t="s">
        <v>1303</v>
      </c>
      <c r="Z160" s="136" t="s">
        <v>1324</v>
      </c>
    </row>
    <row r="161">
      <c r="A161" s="136" t="s">
        <v>604</v>
      </c>
      <c r="B161" s="316">
        <v>44499.0</v>
      </c>
      <c r="C161" s="316">
        <v>44501.0</v>
      </c>
      <c r="D161" s="299">
        <v>48.0</v>
      </c>
      <c r="E161" s="319" t="s">
        <v>1409</v>
      </c>
      <c r="F161" s="317" t="b">
        <v>0</v>
      </c>
      <c r="G161" s="317" t="b">
        <v>0</v>
      </c>
      <c r="H161" s="317" t="b">
        <v>1</v>
      </c>
      <c r="I161" s="317" t="b">
        <v>0</v>
      </c>
      <c r="J161" s="136" t="s">
        <v>603</v>
      </c>
      <c r="K161" s="136" t="s">
        <v>1298</v>
      </c>
      <c r="L161" s="299">
        <v>1.360632E7</v>
      </c>
      <c r="M161" s="317" t="b">
        <v>0</v>
      </c>
      <c r="N161" s="317" t="b">
        <v>0</v>
      </c>
      <c r="O161" s="317" t="b">
        <v>0</v>
      </c>
      <c r="P161" s="317" t="b">
        <v>0</v>
      </c>
      <c r="Q161" s="317" t="b">
        <v>0</v>
      </c>
      <c r="R161" s="317" t="b">
        <v>0</v>
      </c>
      <c r="S161" s="317" t="b">
        <v>0</v>
      </c>
      <c r="T161" s="317" t="b">
        <v>0</v>
      </c>
      <c r="U161" s="317" t="b">
        <v>0</v>
      </c>
      <c r="V161" s="136" t="s">
        <v>1324</v>
      </c>
      <c r="W161" s="136" t="s">
        <v>1303</v>
      </c>
      <c r="X161" s="136" t="s">
        <v>1303</v>
      </c>
      <c r="Y161" s="136" t="s">
        <v>1303</v>
      </c>
      <c r="Z161" s="136" t="s">
        <v>1324</v>
      </c>
    </row>
    <row r="162">
      <c r="A162" s="136" t="s">
        <v>604</v>
      </c>
      <c r="B162" s="316">
        <v>44497.0</v>
      </c>
      <c r="C162" s="316">
        <v>44499.0</v>
      </c>
      <c r="D162" s="299">
        <v>48.0</v>
      </c>
      <c r="E162" s="319" t="s">
        <v>1410</v>
      </c>
      <c r="F162" s="317" t="b">
        <v>0</v>
      </c>
      <c r="G162" s="317" t="b">
        <v>0</v>
      </c>
      <c r="H162" s="317" t="b">
        <v>1</v>
      </c>
      <c r="I162" s="317" t="b">
        <v>0</v>
      </c>
      <c r="J162" s="136" t="s">
        <v>603</v>
      </c>
      <c r="K162" s="136" t="s">
        <v>1298</v>
      </c>
      <c r="L162" s="299">
        <v>1.360632E7</v>
      </c>
      <c r="M162" s="317" t="b">
        <v>0</v>
      </c>
      <c r="N162" s="317" t="b">
        <v>0</v>
      </c>
      <c r="O162" s="317" t="b">
        <v>0</v>
      </c>
      <c r="P162" s="317" t="b">
        <v>0</v>
      </c>
      <c r="Q162" s="317" t="b">
        <v>0</v>
      </c>
      <c r="R162" s="317" t="b">
        <v>0</v>
      </c>
      <c r="S162" s="317" t="b">
        <v>0</v>
      </c>
      <c r="T162" s="317" t="b">
        <v>0</v>
      </c>
      <c r="U162" s="317" t="b">
        <v>0</v>
      </c>
      <c r="V162" s="136" t="s">
        <v>1324</v>
      </c>
      <c r="W162" s="136" t="s">
        <v>1303</v>
      </c>
      <c r="X162" s="136" t="s">
        <v>1303</v>
      </c>
      <c r="Y162" s="136" t="s">
        <v>1303</v>
      </c>
      <c r="Z162" s="136" t="s">
        <v>1324</v>
      </c>
    </row>
    <row r="163">
      <c r="A163" s="136" t="s">
        <v>604</v>
      </c>
      <c r="B163" s="316">
        <v>44495.0</v>
      </c>
      <c r="C163" s="316">
        <v>44496.0</v>
      </c>
      <c r="D163" s="299">
        <v>24.0</v>
      </c>
      <c r="E163" s="319" t="s">
        <v>1411</v>
      </c>
      <c r="F163" s="317" t="b">
        <v>0</v>
      </c>
      <c r="G163" s="317" t="b">
        <v>0</v>
      </c>
      <c r="H163" s="317" t="b">
        <v>1</v>
      </c>
      <c r="I163" s="317" t="b">
        <v>0</v>
      </c>
      <c r="J163" s="136" t="s">
        <v>603</v>
      </c>
      <c r="K163" s="136" t="s">
        <v>1298</v>
      </c>
      <c r="L163" s="299">
        <v>1.360632E7</v>
      </c>
      <c r="M163" s="317" t="b">
        <v>0</v>
      </c>
      <c r="N163" s="317" t="b">
        <v>0</v>
      </c>
      <c r="O163" s="317" t="b">
        <v>0</v>
      </c>
      <c r="P163" s="317" t="b">
        <v>0</v>
      </c>
      <c r="Q163" s="317" t="b">
        <v>0</v>
      </c>
      <c r="R163" s="317" t="b">
        <v>0</v>
      </c>
      <c r="S163" s="317" t="b">
        <v>0</v>
      </c>
      <c r="T163" s="317" t="b">
        <v>0</v>
      </c>
      <c r="U163" s="317" t="b">
        <v>0</v>
      </c>
      <c r="V163" s="136" t="s">
        <v>1324</v>
      </c>
      <c r="W163" s="136" t="s">
        <v>1303</v>
      </c>
      <c r="X163" s="136" t="s">
        <v>1303</v>
      </c>
      <c r="Y163" s="136" t="s">
        <v>1303</v>
      </c>
      <c r="Z163" s="136" t="s">
        <v>1324</v>
      </c>
    </row>
    <row r="164">
      <c r="A164" s="136" t="s">
        <v>604</v>
      </c>
      <c r="B164" s="316">
        <v>44493.0</v>
      </c>
      <c r="C164" s="316">
        <v>44495.0</v>
      </c>
      <c r="D164" s="299">
        <v>48.0</v>
      </c>
      <c r="E164" s="319" t="s">
        <v>1412</v>
      </c>
      <c r="F164" s="317" t="b">
        <v>0</v>
      </c>
      <c r="G164" s="317" t="b">
        <v>0</v>
      </c>
      <c r="H164" s="317" t="b">
        <v>1</v>
      </c>
      <c r="I164" s="317" t="b">
        <v>0</v>
      </c>
      <c r="J164" s="136" t="s">
        <v>603</v>
      </c>
      <c r="K164" s="136" t="s">
        <v>1298</v>
      </c>
      <c r="L164" s="299">
        <v>1.360632E7</v>
      </c>
      <c r="M164" s="317" t="b">
        <v>0</v>
      </c>
      <c r="N164" s="317" t="b">
        <v>0</v>
      </c>
      <c r="O164" s="317" t="b">
        <v>0</v>
      </c>
      <c r="P164" s="317" t="b">
        <v>0</v>
      </c>
      <c r="Q164" s="317" t="b">
        <v>0</v>
      </c>
      <c r="R164" s="317" t="b">
        <v>0</v>
      </c>
      <c r="S164" s="317" t="b">
        <v>0</v>
      </c>
      <c r="T164" s="317" t="b">
        <v>0</v>
      </c>
      <c r="U164" s="317" t="b">
        <v>0</v>
      </c>
      <c r="V164" s="136" t="s">
        <v>1324</v>
      </c>
      <c r="W164" s="136" t="s">
        <v>1303</v>
      </c>
      <c r="X164" s="136" t="s">
        <v>1303</v>
      </c>
      <c r="Y164" s="136" t="s">
        <v>1303</v>
      </c>
      <c r="Z164" s="136" t="s">
        <v>1324</v>
      </c>
    </row>
    <row r="165">
      <c r="A165" s="136" t="s">
        <v>604</v>
      </c>
      <c r="B165" s="316">
        <v>44491.0</v>
      </c>
      <c r="C165" s="316">
        <v>44493.0</v>
      </c>
      <c r="D165" s="299">
        <v>48.0</v>
      </c>
      <c r="E165" s="319" t="s">
        <v>1413</v>
      </c>
      <c r="F165" s="317" t="b">
        <v>0</v>
      </c>
      <c r="G165" s="317" t="b">
        <v>0</v>
      </c>
      <c r="H165" s="317" t="b">
        <v>1</v>
      </c>
      <c r="I165" s="317" t="b">
        <v>0</v>
      </c>
      <c r="J165" s="136" t="s">
        <v>603</v>
      </c>
      <c r="K165" s="136" t="s">
        <v>1298</v>
      </c>
      <c r="L165" s="299">
        <v>1.360632E7</v>
      </c>
      <c r="M165" s="317" t="b">
        <v>0</v>
      </c>
      <c r="N165" s="317" t="b">
        <v>0</v>
      </c>
      <c r="O165" s="317" t="b">
        <v>0</v>
      </c>
      <c r="P165" s="317" t="b">
        <v>0</v>
      </c>
      <c r="Q165" s="317" t="b">
        <v>0</v>
      </c>
      <c r="R165" s="317" t="b">
        <v>0</v>
      </c>
      <c r="S165" s="317" t="b">
        <v>0</v>
      </c>
      <c r="T165" s="317" t="b">
        <v>0</v>
      </c>
      <c r="U165" s="317" t="b">
        <v>0</v>
      </c>
      <c r="V165" s="136" t="s">
        <v>1324</v>
      </c>
      <c r="W165" s="136" t="s">
        <v>1303</v>
      </c>
      <c r="X165" s="136" t="s">
        <v>1303</v>
      </c>
      <c r="Y165" s="136" t="s">
        <v>1303</v>
      </c>
      <c r="Z165" s="136" t="s">
        <v>1324</v>
      </c>
    </row>
    <row r="166">
      <c r="A166" s="136" t="s">
        <v>604</v>
      </c>
      <c r="B166" s="316">
        <v>44489.0</v>
      </c>
      <c r="C166" s="316">
        <v>44491.0</v>
      </c>
      <c r="D166" s="299">
        <v>48.0</v>
      </c>
      <c r="E166" s="319" t="s">
        <v>1414</v>
      </c>
      <c r="F166" s="317" t="b">
        <v>0</v>
      </c>
      <c r="G166" s="317" t="b">
        <v>0</v>
      </c>
      <c r="H166" s="317" t="b">
        <v>1</v>
      </c>
      <c r="I166" s="317" t="b">
        <v>0</v>
      </c>
      <c r="J166" s="136" t="s">
        <v>603</v>
      </c>
      <c r="K166" s="136" t="s">
        <v>1298</v>
      </c>
      <c r="L166" s="299">
        <v>1.360632E7</v>
      </c>
      <c r="M166" s="317" t="b">
        <v>0</v>
      </c>
      <c r="N166" s="317" t="b">
        <v>0</v>
      </c>
      <c r="O166" s="317" t="b">
        <v>0</v>
      </c>
      <c r="P166" s="317" t="b">
        <v>0</v>
      </c>
      <c r="Q166" s="317" t="b">
        <v>0</v>
      </c>
      <c r="R166" s="317" t="b">
        <v>0</v>
      </c>
      <c r="S166" s="317" t="b">
        <v>0</v>
      </c>
      <c r="T166" s="317" t="b">
        <v>0</v>
      </c>
      <c r="U166" s="317" t="b">
        <v>0</v>
      </c>
      <c r="V166" s="136" t="s">
        <v>1324</v>
      </c>
      <c r="W166" s="136" t="s">
        <v>1303</v>
      </c>
      <c r="X166" s="136" t="s">
        <v>1303</v>
      </c>
      <c r="Y166" s="136" t="s">
        <v>1303</v>
      </c>
      <c r="Z166" s="136" t="s">
        <v>1324</v>
      </c>
    </row>
    <row r="167">
      <c r="A167" s="136" t="s">
        <v>604</v>
      </c>
      <c r="B167" s="316">
        <v>44487.0</v>
      </c>
      <c r="C167" s="316">
        <v>44489.0</v>
      </c>
      <c r="D167" s="299">
        <v>48.0</v>
      </c>
      <c r="E167" s="319" t="s">
        <v>1415</v>
      </c>
      <c r="F167" s="317" t="b">
        <v>0</v>
      </c>
      <c r="G167" s="317" t="b">
        <v>0</v>
      </c>
      <c r="H167" s="317" t="b">
        <v>1</v>
      </c>
      <c r="I167" s="317" t="b">
        <v>0</v>
      </c>
      <c r="J167" s="136" t="s">
        <v>603</v>
      </c>
      <c r="K167" s="136" t="s">
        <v>1298</v>
      </c>
      <c r="L167" s="299">
        <v>1.360632E7</v>
      </c>
      <c r="M167" s="317" t="b">
        <v>0</v>
      </c>
      <c r="N167" s="317" t="b">
        <v>0</v>
      </c>
      <c r="O167" s="317" t="b">
        <v>0</v>
      </c>
      <c r="P167" s="317" t="b">
        <v>0</v>
      </c>
      <c r="Q167" s="317" t="b">
        <v>0</v>
      </c>
      <c r="R167" s="317" t="b">
        <v>0</v>
      </c>
      <c r="S167" s="317" t="b">
        <v>0</v>
      </c>
      <c r="T167" s="317" t="b">
        <v>0</v>
      </c>
      <c r="U167" s="317" t="b">
        <v>0</v>
      </c>
      <c r="V167" s="136" t="s">
        <v>1324</v>
      </c>
      <c r="W167" s="136" t="s">
        <v>1303</v>
      </c>
      <c r="X167" s="136" t="s">
        <v>1303</v>
      </c>
      <c r="Y167" s="136" t="s">
        <v>1303</v>
      </c>
      <c r="Z167" s="136" t="s">
        <v>1324</v>
      </c>
    </row>
    <row r="168">
      <c r="A168" s="136" t="s">
        <v>604</v>
      </c>
      <c r="B168" s="316">
        <v>44485.0</v>
      </c>
      <c r="C168" s="316">
        <v>44486.0</v>
      </c>
      <c r="D168" s="299">
        <v>24.0</v>
      </c>
      <c r="E168" s="319" t="s">
        <v>1416</v>
      </c>
      <c r="F168" s="317" t="b">
        <v>0</v>
      </c>
      <c r="G168" s="317" t="b">
        <v>0</v>
      </c>
      <c r="H168" s="317" t="b">
        <v>1</v>
      </c>
      <c r="I168" s="317" t="b">
        <v>0</v>
      </c>
      <c r="J168" s="136" t="s">
        <v>603</v>
      </c>
      <c r="K168" s="136" t="s">
        <v>1298</v>
      </c>
      <c r="L168" s="299">
        <v>1.360632E7</v>
      </c>
      <c r="M168" s="317" t="b">
        <v>0</v>
      </c>
      <c r="N168" s="317" t="b">
        <v>0</v>
      </c>
      <c r="O168" s="317" t="b">
        <v>0</v>
      </c>
      <c r="P168" s="317" t="b">
        <v>0</v>
      </c>
      <c r="Q168" s="317" t="b">
        <v>0</v>
      </c>
      <c r="R168" s="317" t="b">
        <v>0</v>
      </c>
      <c r="S168" s="317" t="b">
        <v>0</v>
      </c>
      <c r="T168" s="317" t="b">
        <v>0</v>
      </c>
      <c r="U168" s="317" t="b">
        <v>0</v>
      </c>
      <c r="V168" s="136" t="s">
        <v>1324</v>
      </c>
      <c r="W168" s="136" t="s">
        <v>1303</v>
      </c>
      <c r="X168" s="136" t="s">
        <v>1303</v>
      </c>
      <c r="Y168" s="136" t="s">
        <v>1303</v>
      </c>
      <c r="Z168" s="136" t="s">
        <v>1324</v>
      </c>
    </row>
    <row r="169">
      <c r="A169" s="136" t="s">
        <v>604</v>
      </c>
      <c r="B169" s="316">
        <v>44459.0</v>
      </c>
      <c r="C169" s="316">
        <v>44460.0</v>
      </c>
      <c r="D169" s="299">
        <v>24.0</v>
      </c>
      <c r="E169" s="319" t="s">
        <v>1417</v>
      </c>
      <c r="F169" s="317" t="b">
        <v>0</v>
      </c>
      <c r="G169" s="317" t="b">
        <v>0</v>
      </c>
      <c r="H169" s="317" t="b">
        <v>1</v>
      </c>
      <c r="I169" s="317" t="b">
        <v>0</v>
      </c>
      <c r="J169" s="136" t="s">
        <v>603</v>
      </c>
      <c r="K169" s="136" t="s">
        <v>1298</v>
      </c>
      <c r="L169" s="299">
        <v>1.360632E7</v>
      </c>
      <c r="M169" s="317" t="b">
        <v>0</v>
      </c>
      <c r="N169" s="317" t="b">
        <v>0</v>
      </c>
      <c r="O169" s="317" t="b">
        <v>0</v>
      </c>
      <c r="P169" s="317" t="b">
        <v>0</v>
      </c>
      <c r="Q169" s="317" t="b">
        <v>0</v>
      </c>
      <c r="R169" s="317" t="b">
        <v>0</v>
      </c>
      <c r="S169" s="317" t="b">
        <v>0</v>
      </c>
      <c r="T169" s="317" t="b">
        <v>0</v>
      </c>
      <c r="U169" s="317" t="b">
        <v>0</v>
      </c>
      <c r="V169" s="136" t="s">
        <v>1324</v>
      </c>
      <c r="W169" s="136" t="s">
        <v>1303</v>
      </c>
      <c r="X169" s="136" t="s">
        <v>1303</v>
      </c>
      <c r="Y169" s="136" t="s">
        <v>1303</v>
      </c>
      <c r="Z169" s="136" t="s">
        <v>1324</v>
      </c>
    </row>
    <row r="170">
      <c r="A170" s="136" t="s">
        <v>604</v>
      </c>
      <c r="B170" s="316">
        <v>44442.0</v>
      </c>
      <c r="C170" s="316">
        <v>44445.0</v>
      </c>
      <c r="D170" s="299">
        <v>72.0</v>
      </c>
      <c r="E170" s="319" t="s">
        <v>1418</v>
      </c>
      <c r="F170" s="317" t="b">
        <v>0</v>
      </c>
      <c r="G170" s="317" t="b">
        <v>0</v>
      </c>
      <c r="H170" s="317" t="b">
        <v>1</v>
      </c>
      <c r="I170" s="317" t="b">
        <v>0</v>
      </c>
      <c r="J170" s="136" t="s">
        <v>603</v>
      </c>
      <c r="K170" s="136" t="s">
        <v>1298</v>
      </c>
      <c r="L170" s="299">
        <v>1.360632E7</v>
      </c>
      <c r="M170" s="317" t="b">
        <v>0</v>
      </c>
      <c r="N170" s="317" t="b">
        <v>0</v>
      </c>
      <c r="O170" s="317" t="b">
        <v>0</v>
      </c>
      <c r="P170" s="317" t="b">
        <v>0</v>
      </c>
      <c r="Q170" s="317" t="b">
        <v>0</v>
      </c>
      <c r="R170" s="317" t="b">
        <v>0</v>
      </c>
      <c r="S170" s="317" t="b">
        <v>0</v>
      </c>
      <c r="T170" s="317" t="b">
        <v>0</v>
      </c>
      <c r="U170" s="317" t="b">
        <v>0</v>
      </c>
      <c r="V170" s="136" t="s">
        <v>1324</v>
      </c>
      <c r="W170" s="136" t="s">
        <v>1303</v>
      </c>
      <c r="X170" s="136" t="s">
        <v>1303</v>
      </c>
      <c r="Y170" s="136" t="s">
        <v>1303</v>
      </c>
      <c r="Z170" s="136" t="s">
        <v>1324</v>
      </c>
    </row>
    <row r="171">
      <c r="A171" s="136" t="s">
        <v>604</v>
      </c>
      <c r="B171" s="316">
        <v>44441.0</v>
      </c>
      <c r="C171" s="316">
        <v>44445.0</v>
      </c>
      <c r="D171" s="299">
        <v>96.0</v>
      </c>
      <c r="E171" s="319" t="s">
        <v>1419</v>
      </c>
      <c r="F171" s="317" t="b">
        <v>0</v>
      </c>
      <c r="G171" s="317" t="b">
        <v>0</v>
      </c>
      <c r="H171" s="317" t="b">
        <v>1</v>
      </c>
      <c r="I171" s="317" t="b">
        <v>0</v>
      </c>
      <c r="J171" s="136" t="s">
        <v>603</v>
      </c>
      <c r="K171" s="136" t="s">
        <v>1298</v>
      </c>
      <c r="L171" s="299">
        <v>1.360632E7</v>
      </c>
      <c r="M171" s="317" t="b">
        <v>0</v>
      </c>
      <c r="N171" s="317" t="b">
        <v>0</v>
      </c>
      <c r="O171" s="317" t="b">
        <v>0</v>
      </c>
      <c r="P171" s="317" t="b">
        <v>0</v>
      </c>
      <c r="Q171" s="317" t="b">
        <v>0</v>
      </c>
      <c r="R171" s="317" t="b">
        <v>0</v>
      </c>
      <c r="S171" s="317" t="b">
        <v>0</v>
      </c>
      <c r="T171" s="317" t="b">
        <v>0</v>
      </c>
      <c r="U171" s="317" t="b">
        <v>0</v>
      </c>
      <c r="V171" s="136" t="s">
        <v>1324</v>
      </c>
      <c r="W171" s="136" t="s">
        <v>1303</v>
      </c>
      <c r="X171" s="136" t="s">
        <v>1303</v>
      </c>
      <c r="Y171" s="136" t="s">
        <v>1303</v>
      </c>
      <c r="Z171" s="136" t="s">
        <v>1324</v>
      </c>
    </row>
    <row r="172">
      <c r="A172" s="136" t="s">
        <v>604</v>
      </c>
      <c r="B172" s="316">
        <v>44440.0</v>
      </c>
      <c r="C172" s="316">
        <v>44441.0</v>
      </c>
      <c r="D172" s="299">
        <v>24.0</v>
      </c>
      <c r="E172" s="319" t="s">
        <v>1420</v>
      </c>
      <c r="F172" s="317" t="b">
        <v>0</v>
      </c>
      <c r="G172" s="317" t="b">
        <v>0</v>
      </c>
      <c r="H172" s="317" t="b">
        <v>1</v>
      </c>
      <c r="I172" s="317" t="b">
        <v>0</v>
      </c>
      <c r="J172" s="136" t="s">
        <v>603</v>
      </c>
      <c r="K172" s="136" t="s">
        <v>1298</v>
      </c>
      <c r="L172" s="299">
        <v>1.360632E7</v>
      </c>
      <c r="M172" s="317" t="b">
        <v>0</v>
      </c>
      <c r="N172" s="317" t="b">
        <v>0</v>
      </c>
      <c r="O172" s="317" t="b">
        <v>0</v>
      </c>
      <c r="P172" s="317" t="b">
        <v>0</v>
      </c>
      <c r="Q172" s="317" t="b">
        <v>0</v>
      </c>
      <c r="R172" s="317" t="b">
        <v>0</v>
      </c>
      <c r="S172" s="317" t="b">
        <v>0</v>
      </c>
      <c r="T172" s="317" t="b">
        <v>0</v>
      </c>
      <c r="U172" s="317" t="b">
        <v>0</v>
      </c>
      <c r="V172" s="136" t="s">
        <v>1324</v>
      </c>
      <c r="W172" s="136" t="s">
        <v>1303</v>
      </c>
      <c r="X172" s="136" t="s">
        <v>1303</v>
      </c>
      <c r="Y172" s="136" t="s">
        <v>1303</v>
      </c>
      <c r="Z172" s="136" t="s">
        <v>1324</v>
      </c>
    </row>
    <row r="173">
      <c r="A173" s="136" t="s">
        <v>604</v>
      </c>
      <c r="B173" s="316">
        <v>44432.0</v>
      </c>
      <c r="C173" s="316">
        <v>44433.0</v>
      </c>
      <c r="D173" s="299">
        <v>24.0</v>
      </c>
      <c r="E173" s="319" t="s">
        <v>1421</v>
      </c>
      <c r="F173" s="317" t="b">
        <v>0</v>
      </c>
      <c r="G173" s="317" t="b">
        <v>0</v>
      </c>
      <c r="H173" s="317" t="b">
        <v>1</v>
      </c>
      <c r="I173" s="317" t="b">
        <v>0</v>
      </c>
      <c r="J173" s="136" t="s">
        <v>603</v>
      </c>
      <c r="K173" s="136" t="s">
        <v>1298</v>
      </c>
      <c r="L173" s="299">
        <v>1.360632E7</v>
      </c>
      <c r="M173" s="317" t="b">
        <v>0</v>
      </c>
      <c r="N173" s="317" t="b">
        <v>0</v>
      </c>
      <c r="O173" s="317" t="b">
        <v>0</v>
      </c>
      <c r="P173" s="317" t="b">
        <v>0</v>
      </c>
      <c r="Q173" s="317" t="b">
        <v>0</v>
      </c>
      <c r="R173" s="317" t="b">
        <v>0</v>
      </c>
      <c r="S173" s="317" t="b">
        <v>0</v>
      </c>
      <c r="T173" s="317" t="b">
        <v>0</v>
      </c>
      <c r="U173" s="317" t="b">
        <v>0</v>
      </c>
      <c r="V173" s="136" t="s">
        <v>1324</v>
      </c>
      <c r="W173" s="136" t="s">
        <v>1303</v>
      </c>
      <c r="X173" s="136" t="s">
        <v>1303</v>
      </c>
      <c r="Y173" s="136" t="s">
        <v>1303</v>
      </c>
      <c r="Z173" s="136" t="s">
        <v>1324</v>
      </c>
    </row>
    <row r="174">
      <c r="A174" s="136" t="s">
        <v>604</v>
      </c>
      <c r="B174" s="316">
        <v>44415.0</v>
      </c>
      <c r="C174" s="316">
        <v>44415.0</v>
      </c>
      <c r="D174" s="299">
        <v>24.0</v>
      </c>
      <c r="E174" s="319" t="s">
        <v>1422</v>
      </c>
      <c r="F174" s="317" t="b">
        <v>0</v>
      </c>
      <c r="G174" s="317" t="b">
        <v>0</v>
      </c>
      <c r="H174" s="317" t="b">
        <v>1</v>
      </c>
      <c r="I174" s="317" t="b">
        <v>0</v>
      </c>
      <c r="J174" s="136" t="s">
        <v>603</v>
      </c>
      <c r="K174" s="136" t="s">
        <v>1298</v>
      </c>
      <c r="L174" s="299">
        <v>1.360632E7</v>
      </c>
      <c r="M174" s="317" t="b">
        <v>0</v>
      </c>
      <c r="N174" s="317" t="b">
        <v>0</v>
      </c>
      <c r="O174" s="317" t="b">
        <v>0</v>
      </c>
      <c r="P174" s="317" t="b">
        <v>0</v>
      </c>
      <c r="Q174" s="317" t="b">
        <v>0</v>
      </c>
      <c r="R174" s="317" t="b">
        <v>0</v>
      </c>
      <c r="S174" s="317" t="b">
        <v>0</v>
      </c>
      <c r="T174" s="317" t="b">
        <v>0</v>
      </c>
      <c r="U174" s="317" t="b">
        <v>0</v>
      </c>
      <c r="V174" s="136" t="s">
        <v>1324</v>
      </c>
      <c r="W174" s="136" t="s">
        <v>1303</v>
      </c>
      <c r="X174" s="136" t="s">
        <v>1303</v>
      </c>
      <c r="Y174" s="136" t="s">
        <v>1303</v>
      </c>
      <c r="Z174" s="136" t="s">
        <v>1324</v>
      </c>
    </row>
    <row r="175">
      <c r="A175" s="136" t="s">
        <v>604</v>
      </c>
      <c r="B175" s="316">
        <v>44408.0</v>
      </c>
      <c r="C175" s="316">
        <v>44408.0</v>
      </c>
      <c r="D175" s="299">
        <v>24.0</v>
      </c>
      <c r="E175" s="319" t="s">
        <v>1423</v>
      </c>
      <c r="F175" s="317" t="b">
        <v>1</v>
      </c>
      <c r="G175" s="317" t="b">
        <v>0</v>
      </c>
      <c r="H175" s="317" t="b">
        <v>0</v>
      </c>
      <c r="I175" s="317" t="b">
        <v>0</v>
      </c>
      <c r="J175" s="136" t="s">
        <v>603</v>
      </c>
      <c r="K175" s="136" t="s">
        <v>1298</v>
      </c>
      <c r="L175" s="299">
        <v>1.360632E7</v>
      </c>
      <c r="M175" s="317" t="b">
        <v>0</v>
      </c>
      <c r="N175" s="317" t="b">
        <v>0</v>
      </c>
      <c r="O175" s="317" t="b">
        <v>0</v>
      </c>
      <c r="P175" s="317" t="b">
        <v>0</v>
      </c>
      <c r="Q175" s="317" t="b">
        <v>0</v>
      </c>
      <c r="R175" s="317" t="b">
        <v>0</v>
      </c>
      <c r="S175" s="317" t="b">
        <v>0</v>
      </c>
      <c r="T175" s="317" t="b">
        <v>0</v>
      </c>
      <c r="U175" s="317" t="b">
        <v>0</v>
      </c>
      <c r="V175" s="136" t="s">
        <v>1324</v>
      </c>
      <c r="W175" s="136" t="s">
        <v>1303</v>
      </c>
      <c r="X175" s="136" t="s">
        <v>1303</v>
      </c>
      <c r="Y175" s="136" t="s">
        <v>1303</v>
      </c>
      <c r="Z175" s="136" t="s">
        <v>1324</v>
      </c>
    </row>
    <row r="176">
      <c r="A176" s="136" t="s">
        <v>604</v>
      </c>
      <c r="B176" s="316">
        <v>44399.0</v>
      </c>
      <c r="C176" s="316">
        <v>44401.0</v>
      </c>
      <c r="D176" s="299">
        <v>48.0</v>
      </c>
      <c r="E176" s="319" t="s">
        <v>1424</v>
      </c>
      <c r="F176" s="317" t="b">
        <v>0</v>
      </c>
      <c r="G176" s="317" t="b">
        <v>0</v>
      </c>
      <c r="H176" s="317" t="b">
        <v>1</v>
      </c>
      <c r="I176" s="317" t="b">
        <v>0</v>
      </c>
      <c r="J176" s="136" t="s">
        <v>603</v>
      </c>
      <c r="K176" s="136" t="s">
        <v>1298</v>
      </c>
      <c r="L176" s="299">
        <v>1.360632E7</v>
      </c>
      <c r="M176" s="317" t="b">
        <v>0</v>
      </c>
      <c r="N176" s="317" t="b">
        <v>0</v>
      </c>
      <c r="O176" s="317" t="b">
        <v>0</v>
      </c>
      <c r="P176" s="317" t="b">
        <v>0</v>
      </c>
      <c r="Q176" s="317" t="b">
        <v>0</v>
      </c>
      <c r="R176" s="317" t="b">
        <v>0</v>
      </c>
      <c r="S176" s="317" t="b">
        <v>0</v>
      </c>
      <c r="T176" s="317" t="b">
        <v>0</v>
      </c>
      <c r="U176" s="317" t="b">
        <v>0</v>
      </c>
      <c r="V176" s="136" t="s">
        <v>1324</v>
      </c>
      <c r="W176" s="136" t="s">
        <v>1303</v>
      </c>
      <c r="X176" s="136" t="s">
        <v>1303</v>
      </c>
      <c r="Y176" s="136" t="s">
        <v>1303</v>
      </c>
      <c r="Z176" s="136" t="s">
        <v>1324</v>
      </c>
    </row>
    <row r="177">
      <c r="A177" s="136" t="s">
        <v>604</v>
      </c>
      <c r="B177" s="316">
        <v>44395.0</v>
      </c>
      <c r="C177" s="316">
        <v>44396.0</v>
      </c>
      <c r="D177" s="299">
        <v>24.0</v>
      </c>
      <c r="E177" s="319" t="s">
        <v>1425</v>
      </c>
      <c r="F177" s="317" t="b">
        <v>0</v>
      </c>
      <c r="G177" s="317" t="b">
        <v>0</v>
      </c>
      <c r="H177" s="317" t="b">
        <v>1</v>
      </c>
      <c r="I177" s="317" t="b">
        <v>0</v>
      </c>
      <c r="J177" s="136" t="s">
        <v>603</v>
      </c>
      <c r="K177" s="136" t="s">
        <v>1298</v>
      </c>
      <c r="L177" s="299">
        <v>1.360632E7</v>
      </c>
      <c r="M177" s="317" t="b">
        <v>0</v>
      </c>
      <c r="N177" s="317" t="b">
        <v>0</v>
      </c>
      <c r="O177" s="317" t="b">
        <v>0</v>
      </c>
      <c r="P177" s="317" t="b">
        <v>0</v>
      </c>
      <c r="Q177" s="317" t="b">
        <v>0</v>
      </c>
      <c r="R177" s="317" t="b">
        <v>0</v>
      </c>
      <c r="S177" s="317" t="b">
        <v>0</v>
      </c>
      <c r="T177" s="317" t="b">
        <v>0</v>
      </c>
      <c r="U177" s="317" t="b">
        <v>0</v>
      </c>
      <c r="V177" s="136" t="s">
        <v>1324</v>
      </c>
      <c r="W177" s="136" t="s">
        <v>1303</v>
      </c>
      <c r="X177" s="136" t="s">
        <v>1303</v>
      </c>
      <c r="Y177" s="136" t="s">
        <v>1303</v>
      </c>
      <c r="Z177" s="136" t="s">
        <v>1324</v>
      </c>
    </row>
    <row r="178">
      <c r="A178" s="136" t="s">
        <v>604</v>
      </c>
      <c r="B178" s="316">
        <v>44391.0</v>
      </c>
      <c r="C178" s="316">
        <v>44391.0</v>
      </c>
      <c r="D178" s="299">
        <v>24.0</v>
      </c>
      <c r="E178" s="319" t="s">
        <v>1426</v>
      </c>
      <c r="F178" s="317" t="b">
        <v>0</v>
      </c>
      <c r="G178" s="317" t="b">
        <v>0</v>
      </c>
      <c r="H178" s="317" t="b">
        <v>1</v>
      </c>
      <c r="I178" s="317" t="b">
        <v>0</v>
      </c>
      <c r="J178" s="136" t="s">
        <v>603</v>
      </c>
      <c r="K178" s="136" t="s">
        <v>1298</v>
      </c>
      <c r="L178" s="299">
        <v>1.360632E7</v>
      </c>
      <c r="M178" s="317" t="b">
        <v>0</v>
      </c>
      <c r="N178" s="317" t="b">
        <v>0</v>
      </c>
      <c r="O178" s="317" t="b">
        <v>0</v>
      </c>
      <c r="P178" s="317" t="b">
        <v>0</v>
      </c>
      <c r="Q178" s="317" t="b">
        <v>0</v>
      </c>
      <c r="R178" s="317" t="b">
        <v>0</v>
      </c>
      <c r="S178" s="317" t="b">
        <v>0</v>
      </c>
      <c r="T178" s="317" t="b">
        <v>0</v>
      </c>
      <c r="U178" s="317" t="b">
        <v>0</v>
      </c>
      <c r="V178" s="136" t="s">
        <v>1324</v>
      </c>
      <c r="W178" s="136" t="s">
        <v>1303</v>
      </c>
      <c r="X178" s="136" t="s">
        <v>1303</v>
      </c>
      <c r="Y178" s="136" t="s">
        <v>1303</v>
      </c>
      <c r="Z178" s="136" t="s">
        <v>1324</v>
      </c>
    </row>
    <row r="179">
      <c r="A179" s="136" t="s">
        <v>604</v>
      </c>
      <c r="B179" s="316">
        <v>44386.0</v>
      </c>
      <c r="C179" s="316">
        <v>44386.0</v>
      </c>
      <c r="D179" s="299">
        <v>24.0</v>
      </c>
      <c r="E179" s="319" t="s">
        <v>1427</v>
      </c>
      <c r="F179" s="317" t="b">
        <v>0</v>
      </c>
      <c r="G179" s="317" t="b">
        <v>0</v>
      </c>
      <c r="H179" s="317" t="b">
        <v>1</v>
      </c>
      <c r="I179" s="317" t="b">
        <v>0</v>
      </c>
      <c r="J179" s="136" t="s">
        <v>603</v>
      </c>
      <c r="K179" s="136" t="s">
        <v>1298</v>
      </c>
      <c r="L179" s="299">
        <v>1.360632E7</v>
      </c>
      <c r="M179" s="317" t="b">
        <v>0</v>
      </c>
      <c r="N179" s="317" t="b">
        <v>0</v>
      </c>
      <c r="O179" s="317" t="b">
        <v>0</v>
      </c>
      <c r="P179" s="317" t="b">
        <v>0</v>
      </c>
      <c r="Q179" s="317" t="b">
        <v>0</v>
      </c>
      <c r="R179" s="317" t="b">
        <v>0</v>
      </c>
      <c r="S179" s="317" t="b">
        <v>0</v>
      </c>
      <c r="T179" s="317" t="b">
        <v>0</v>
      </c>
      <c r="U179" s="317" t="b">
        <v>0</v>
      </c>
      <c r="V179" s="136" t="s">
        <v>1324</v>
      </c>
      <c r="W179" s="136" t="s">
        <v>1303</v>
      </c>
      <c r="X179" s="136" t="s">
        <v>1303</v>
      </c>
      <c r="Y179" s="136" t="s">
        <v>1303</v>
      </c>
      <c r="Z179" s="136" t="s">
        <v>1324</v>
      </c>
    </row>
    <row r="180">
      <c r="A180" s="136" t="s">
        <v>604</v>
      </c>
      <c r="B180" s="316">
        <v>44385.0</v>
      </c>
      <c r="C180" s="316">
        <v>44385.0</v>
      </c>
      <c r="D180" s="299">
        <v>24.0</v>
      </c>
      <c r="E180" s="319" t="s">
        <v>1428</v>
      </c>
      <c r="F180" s="317" t="b">
        <v>0</v>
      </c>
      <c r="G180" s="317" t="b">
        <v>0</v>
      </c>
      <c r="H180" s="317" t="b">
        <v>1</v>
      </c>
      <c r="I180" s="317" t="b">
        <v>0</v>
      </c>
      <c r="J180" s="136" t="s">
        <v>603</v>
      </c>
      <c r="K180" s="136" t="s">
        <v>1298</v>
      </c>
      <c r="L180" s="299">
        <v>1.360632E7</v>
      </c>
      <c r="M180" s="317" t="b">
        <v>0</v>
      </c>
      <c r="N180" s="317" t="b">
        <v>0</v>
      </c>
      <c r="O180" s="317" t="b">
        <v>0</v>
      </c>
      <c r="P180" s="317" t="b">
        <v>0</v>
      </c>
      <c r="Q180" s="317" t="b">
        <v>0</v>
      </c>
      <c r="R180" s="317" t="b">
        <v>0</v>
      </c>
      <c r="S180" s="317" t="b">
        <v>0</v>
      </c>
      <c r="T180" s="317" t="b">
        <v>0</v>
      </c>
      <c r="U180" s="317" t="b">
        <v>0</v>
      </c>
      <c r="V180" s="136" t="s">
        <v>1324</v>
      </c>
      <c r="W180" s="136" t="s">
        <v>1303</v>
      </c>
      <c r="X180" s="136" t="s">
        <v>1303</v>
      </c>
      <c r="Y180" s="136" t="s">
        <v>1303</v>
      </c>
      <c r="Z180" s="136" t="s">
        <v>1324</v>
      </c>
    </row>
    <row r="181">
      <c r="A181" s="136" t="s">
        <v>604</v>
      </c>
      <c r="B181" s="316">
        <v>44384.0</v>
      </c>
      <c r="C181" s="316">
        <v>44385.0</v>
      </c>
      <c r="D181" s="299">
        <v>24.0</v>
      </c>
      <c r="E181" s="319" t="s">
        <v>1429</v>
      </c>
      <c r="F181" s="317" t="b">
        <v>0</v>
      </c>
      <c r="G181" s="317" t="b">
        <v>0</v>
      </c>
      <c r="H181" s="317" t="b">
        <v>1</v>
      </c>
      <c r="I181" s="317" t="b">
        <v>0</v>
      </c>
      <c r="J181" s="136" t="s">
        <v>603</v>
      </c>
      <c r="K181" s="136" t="s">
        <v>1298</v>
      </c>
      <c r="L181" s="299">
        <v>1.360632E7</v>
      </c>
      <c r="M181" s="317" t="b">
        <v>0</v>
      </c>
      <c r="N181" s="317" t="b">
        <v>0</v>
      </c>
      <c r="O181" s="317" t="b">
        <v>0</v>
      </c>
      <c r="P181" s="317" t="b">
        <v>0</v>
      </c>
      <c r="Q181" s="317" t="b">
        <v>0</v>
      </c>
      <c r="R181" s="317" t="b">
        <v>0</v>
      </c>
      <c r="S181" s="317" t="b">
        <v>0</v>
      </c>
      <c r="T181" s="317" t="b">
        <v>0</v>
      </c>
      <c r="U181" s="317" t="b">
        <v>0</v>
      </c>
      <c r="V181" s="136" t="s">
        <v>1324</v>
      </c>
      <c r="W181" s="136" t="s">
        <v>1303</v>
      </c>
      <c r="X181" s="136" t="s">
        <v>1303</v>
      </c>
      <c r="Y181" s="136" t="s">
        <v>1303</v>
      </c>
      <c r="Z181" s="136" t="s">
        <v>1324</v>
      </c>
    </row>
    <row r="182">
      <c r="A182" s="136" t="s">
        <v>604</v>
      </c>
      <c r="B182" s="316">
        <v>44378.0</v>
      </c>
      <c r="C182" s="316">
        <v>44380.0</v>
      </c>
      <c r="D182" s="299">
        <v>48.0</v>
      </c>
      <c r="E182" s="319" t="s">
        <v>1430</v>
      </c>
      <c r="F182" s="317" t="b">
        <v>0</v>
      </c>
      <c r="G182" s="317" t="b">
        <v>0</v>
      </c>
      <c r="H182" s="317" t="b">
        <v>1</v>
      </c>
      <c r="I182" s="317" t="b">
        <v>0</v>
      </c>
      <c r="J182" s="136" t="s">
        <v>603</v>
      </c>
      <c r="K182" s="136" t="s">
        <v>1298</v>
      </c>
      <c r="L182" s="299">
        <v>1.360632E7</v>
      </c>
      <c r="M182" s="317" t="b">
        <v>0</v>
      </c>
      <c r="N182" s="317" t="b">
        <v>0</v>
      </c>
      <c r="O182" s="317" t="b">
        <v>0</v>
      </c>
      <c r="P182" s="317" t="b">
        <v>0</v>
      </c>
      <c r="Q182" s="317" t="b">
        <v>0</v>
      </c>
      <c r="R182" s="317" t="b">
        <v>0</v>
      </c>
      <c r="S182" s="317" t="b">
        <v>0</v>
      </c>
      <c r="T182" s="317" t="b">
        <v>0</v>
      </c>
      <c r="U182" s="317" t="b">
        <v>0</v>
      </c>
      <c r="V182" s="136" t="s">
        <v>1324</v>
      </c>
      <c r="W182" s="136" t="s">
        <v>1303</v>
      </c>
      <c r="X182" s="136" t="s">
        <v>1303</v>
      </c>
      <c r="Y182" s="136" t="s">
        <v>1303</v>
      </c>
      <c r="Z182" s="136" t="s">
        <v>1324</v>
      </c>
    </row>
    <row r="183">
      <c r="A183" s="136" t="s">
        <v>604</v>
      </c>
      <c r="B183" s="316">
        <v>44377.0</v>
      </c>
      <c r="C183" s="316">
        <v>44377.0</v>
      </c>
      <c r="D183" s="299">
        <v>24.0</v>
      </c>
      <c r="E183" s="319" t="s">
        <v>1431</v>
      </c>
      <c r="F183" s="317" t="b">
        <v>0</v>
      </c>
      <c r="G183" s="317" t="b">
        <v>0</v>
      </c>
      <c r="H183" s="317" t="b">
        <v>1</v>
      </c>
      <c r="I183" s="317" t="b">
        <v>0</v>
      </c>
      <c r="J183" s="136" t="s">
        <v>603</v>
      </c>
      <c r="K183" s="136" t="s">
        <v>1298</v>
      </c>
      <c r="L183" s="299">
        <v>1.360632E7</v>
      </c>
      <c r="M183" s="317" t="b">
        <v>0</v>
      </c>
      <c r="N183" s="317" t="b">
        <v>0</v>
      </c>
      <c r="O183" s="317" t="b">
        <v>0</v>
      </c>
      <c r="P183" s="317" t="b">
        <v>0</v>
      </c>
      <c r="Q183" s="317" t="b">
        <v>0</v>
      </c>
      <c r="R183" s="317" t="b">
        <v>0</v>
      </c>
      <c r="S183" s="317" t="b">
        <v>0</v>
      </c>
      <c r="T183" s="317" t="b">
        <v>0</v>
      </c>
      <c r="U183" s="317" t="b">
        <v>0</v>
      </c>
      <c r="V183" s="136" t="s">
        <v>1324</v>
      </c>
      <c r="W183" s="136" t="s">
        <v>1303</v>
      </c>
      <c r="X183" s="136" t="s">
        <v>1303</v>
      </c>
      <c r="Y183" s="136" t="s">
        <v>1303</v>
      </c>
      <c r="Z183" s="136" t="s">
        <v>1324</v>
      </c>
    </row>
    <row r="184">
      <c r="A184" s="136" t="s">
        <v>604</v>
      </c>
      <c r="B184" s="316">
        <v>44376.0</v>
      </c>
      <c r="C184" s="316">
        <v>44377.0</v>
      </c>
      <c r="D184" s="299">
        <v>24.0</v>
      </c>
      <c r="E184" s="319" t="s">
        <v>1432</v>
      </c>
      <c r="F184" s="317" t="b">
        <v>0</v>
      </c>
      <c r="G184" s="317" t="b">
        <v>0</v>
      </c>
      <c r="H184" s="317" t="b">
        <v>1</v>
      </c>
      <c r="I184" s="317" t="b">
        <v>0</v>
      </c>
      <c r="J184" s="136" t="s">
        <v>603</v>
      </c>
      <c r="K184" s="136" t="s">
        <v>1298</v>
      </c>
      <c r="L184" s="299">
        <v>1.360632E7</v>
      </c>
      <c r="M184" s="317" t="b">
        <v>0</v>
      </c>
      <c r="N184" s="317" t="b">
        <v>0</v>
      </c>
      <c r="O184" s="317" t="b">
        <v>0</v>
      </c>
      <c r="P184" s="317" t="b">
        <v>0</v>
      </c>
      <c r="Q184" s="317" t="b">
        <v>0</v>
      </c>
      <c r="R184" s="317" t="b">
        <v>0</v>
      </c>
      <c r="S184" s="317" t="b">
        <v>0</v>
      </c>
      <c r="T184" s="317" t="b">
        <v>0</v>
      </c>
      <c r="U184" s="317" t="b">
        <v>0</v>
      </c>
      <c r="V184" s="136" t="s">
        <v>1324</v>
      </c>
      <c r="W184" s="136" t="s">
        <v>1303</v>
      </c>
      <c r="X184" s="136" t="s">
        <v>1303</v>
      </c>
      <c r="Y184" s="136" t="s">
        <v>1303</v>
      </c>
      <c r="Z184" s="136" t="s">
        <v>1324</v>
      </c>
    </row>
    <row r="185">
      <c r="A185" s="136" t="s">
        <v>604</v>
      </c>
      <c r="B185" s="316">
        <v>44372.0</v>
      </c>
      <c r="C185" s="316">
        <v>44373.0</v>
      </c>
      <c r="D185" s="299">
        <v>24.0</v>
      </c>
      <c r="E185" s="319" t="s">
        <v>1433</v>
      </c>
      <c r="F185" s="317" t="b">
        <v>0</v>
      </c>
      <c r="G185" s="317" t="b">
        <v>0</v>
      </c>
      <c r="H185" s="317" t="b">
        <v>1</v>
      </c>
      <c r="I185" s="317" t="b">
        <v>0</v>
      </c>
      <c r="J185" s="136" t="s">
        <v>603</v>
      </c>
      <c r="K185" s="136" t="s">
        <v>1298</v>
      </c>
      <c r="L185" s="299">
        <v>1.360632E7</v>
      </c>
      <c r="M185" s="317" t="b">
        <v>0</v>
      </c>
      <c r="N185" s="317" t="b">
        <v>0</v>
      </c>
      <c r="O185" s="317" t="b">
        <v>0</v>
      </c>
      <c r="P185" s="317" t="b">
        <v>0</v>
      </c>
      <c r="Q185" s="317" t="b">
        <v>0</v>
      </c>
      <c r="R185" s="317" t="b">
        <v>0</v>
      </c>
      <c r="S185" s="317" t="b">
        <v>0</v>
      </c>
      <c r="T185" s="317" t="b">
        <v>0</v>
      </c>
      <c r="U185" s="317" t="b">
        <v>0</v>
      </c>
      <c r="V185" s="136" t="s">
        <v>1324</v>
      </c>
      <c r="W185" s="136" t="s">
        <v>1303</v>
      </c>
      <c r="X185" s="136" t="s">
        <v>1303</v>
      </c>
      <c r="Y185" s="136" t="s">
        <v>1303</v>
      </c>
      <c r="Z185" s="136" t="s">
        <v>1324</v>
      </c>
    </row>
    <row r="186">
      <c r="A186" s="136" t="s">
        <v>604</v>
      </c>
      <c r="B186" s="316">
        <v>44370.0</v>
      </c>
      <c r="C186" s="316">
        <v>44370.0</v>
      </c>
      <c r="D186" s="299">
        <v>24.0</v>
      </c>
      <c r="E186" s="319" t="s">
        <v>1434</v>
      </c>
      <c r="F186" s="317" t="b">
        <v>0</v>
      </c>
      <c r="G186" s="317" t="b">
        <v>0</v>
      </c>
      <c r="H186" s="317" t="b">
        <v>1</v>
      </c>
      <c r="I186" s="317" t="b">
        <v>0</v>
      </c>
      <c r="J186" s="136" t="s">
        <v>603</v>
      </c>
      <c r="K186" s="136" t="s">
        <v>1298</v>
      </c>
      <c r="L186" s="299">
        <v>1.360632E7</v>
      </c>
      <c r="M186" s="317" t="b">
        <v>0</v>
      </c>
      <c r="N186" s="317" t="b">
        <v>0</v>
      </c>
      <c r="O186" s="317" t="b">
        <v>0</v>
      </c>
      <c r="P186" s="317" t="b">
        <v>0</v>
      </c>
      <c r="Q186" s="317" t="b">
        <v>0</v>
      </c>
      <c r="R186" s="317" t="b">
        <v>0</v>
      </c>
      <c r="S186" s="317" t="b">
        <v>0</v>
      </c>
      <c r="T186" s="317" t="b">
        <v>0</v>
      </c>
      <c r="U186" s="317" t="b">
        <v>0</v>
      </c>
      <c r="V186" s="136" t="s">
        <v>1324</v>
      </c>
      <c r="W186" s="136" t="s">
        <v>1303</v>
      </c>
      <c r="X186" s="136" t="s">
        <v>1303</v>
      </c>
      <c r="Y186" s="136" t="s">
        <v>1303</v>
      </c>
      <c r="Z186" s="136" t="s">
        <v>1324</v>
      </c>
    </row>
    <row r="187">
      <c r="A187" s="136" t="s">
        <v>604</v>
      </c>
      <c r="B187" s="316">
        <v>44368.0</v>
      </c>
      <c r="C187" s="316">
        <v>44369.0</v>
      </c>
      <c r="D187" s="299">
        <v>24.0</v>
      </c>
      <c r="E187" s="319" t="s">
        <v>1435</v>
      </c>
      <c r="F187" s="317" t="b">
        <v>0</v>
      </c>
      <c r="G187" s="317" t="b">
        <v>0</v>
      </c>
      <c r="H187" s="317" t="b">
        <v>1</v>
      </c>
      <c r="I187" s="317" t="b">
        <v>0</v>
      </c>
      <c r="J187" s="136" t="s">
        <v>603</v>
      </c>
      <c r="K187" s="136" t="s">
        <v>1298</v>
      </c>
      <c r="L187" s="299">
        <v>1.360632E7</v>
      </c>
      <c r="M187" s="317" t="b">
        <v>0</v>
      </c>
      <c r="N187" s="317" t="b">
        <v>0</v>
      </c>
      <c r="O187" s="317" t="b">
        <v>0</v>
      </c>
      <c r="P187" s="317" t="b">
        <v>0</v>
      </c>
      <c r="Q187" s="317" t="b">
        <v>0</v>
      </c>
      <c r="R187" s="317" t="b">
        <v>0</v>
      </c>
      <c r="S187" s="317" t="b">
        <v>0</v>
      </c>
      <c r="T187" s="317" t="b">
        <v>0</v>
      </c>
      <c r="U187" s="317" t="b">
        <v>0</v>
      </c>
      <c r="V187" s="136" t="s">
        <v>1324</v>
      </c>
      <c r="W187" s="136" t="s">
        <v>1303</v>
      </c>
      <c r="X187" s="136" t="s">
        <v>1303</v>
      </c>
      <c r="Y187" s="136" t="s">
        <v>1303</v>
      </c>
      <c r="Z187" s="136" t="s">
        <v>1324</v>
      </c>
    </row>
    <row r="188">
      <c r="A188" s="136" t="s">
        <v>604</v>
      </c>
      <c r="B188" s="316">
        <v>44344.0</v>
      </c>
      <c r="C188" s="316">
        <v>44345.0</v>
      </c>
      <c r="D188" s="299">
        <v>24.0</v>
      </c>
      <c r="E188" s="319" t="s">
        <v>1436</v>
      </c>
      <c r="F188" s="317" t="b">
        <v>0</v>
      </c>
      <c r="G188" s="317" t="b">
        <v>0</v>
      </c>
      <c r="H188" s="317" t="b">
        <v>1</v>
      </c>
      <c r="I188" s="317" t="b">
        <v>0</v>
      </c>
      <c r="J188" s="136" t="s">
        <v>603</v>
      </c>
      <c r="K188" s="136" t="s">
        <v>1298</v>
      </c>
      <c r="L188" s="299">
        <v>1.360632E7</v>
      </c>
      <c r="M188" s="317" t="b">
        <v>0</v>
      </c>
      <c r="N188" s="317" t="b">
        <v>0</v>
      </c>
      <c r="O188" s="317" t="b">
        <v>0</v>
      </c>
      <c r="P188" s="317" t="b">
        <v>0</v>
      </c>
      <c r="Q188" s="317" t="b">
        <v>0</v>
      </c>
      <c r="R188" s="317" t="b">
        <v>0</v>
      </c>
      <c r="S188" s="317" t="b">
        <v>0</v>
      </c>
      <c r="T188" s="317" t="b">
        <v>0</v>
      </c>
      <c r="U188" s="317" t="b">
        <v>0</v>
      </c>
      <c r="V188" s="136" t="s">
        <v>1324</v>
      </c>
      <c r="W188" s="136" t="s">
        <v>1303</v>
      </c>
      <c r="X188" s="136" t="s">
        <v>1303</v>
      </c>
      <c r="Y188" s="136" t="s">
        <v>1303</v>
      </c>
      <c r="Z188" s="136" t="s">
        <v>1324</v>
      </c>
    </row>
    <row r="189">
      <c r="A189" s="136" t="s">
        <v>604</v>
      </c>
      <c r="B189" s="316">
        <v>44333.0</v>
      </c>
      <c r="C189" s="316">
        <v>44333.0</v>
      </c>
      <c r="D189" s="299">
        <v>24.0</v>
      </c>
      <c r="E189" s="319" t="s">
        <v>1437</v>
      </c>
      <c r="F189" s="317" t="b">
        <v>0</v>
      </c>
      <c r="G189" s="317" t="b">
        <v>0</v>
      </c>
      <c r="H189" s="317" t="b">
        <v>1</v>
      </c>
      <c r="I189" s="317" t="b">
        <v>0</v>
      </c>
      <c r="J189" s="136" t="s">
        <v>603</v>
      </c>
      <c r="K189" s="136" t="s">
        <v>1298</v>
      </c>
      <c r="L189" s="299">
        <v>1.360632E7</v>
      </c>
      <c r="M189" s="317" t="b">
        <v>0</v>
      </c>
      <c r="N189" s="317" t="b">
        <v>0</v>
      </c>
      <c r="O189" s="317" t="b">
        <v>0</v>
      </c>
      <c r="P189" s="317" t="b">
        <v>0</v>
      </c>
      <c r="Q189" s="317" t="b">
        <v>0</v>
      </c>
      <c r="R189" s="317" t="b">
        <v>0</v>
      </c>
      <c r="S189" s="317" t="b">
        <v>0</v>
      </c>
      <c r="T189" s="317" t="b">
        <v>0</v>
      </c>
      <c r="U189" s="317" t="b">
        <v>0</v>
      </c>
      <c r="V189" s="136" t="s">
        <v>1324</v>
      </c>
      <c r="W189" s="136" t="s">
        <v>1303</v>
      </c>
      <c r="X189" s="136" t="s">
        <v>1303</v>
      </c>
      <c r="Y189" s="136" t="s">
        <v>1303</v>
      </c>
      <c r="Z189" s="136" t="s">
        <v>1324</v>
      </c>
    </row>
    <row r="190">
      <c r="A190" s="136" t="s">
        <v>604</v>
      </c>
      <c r="B190" s="316">
        <v>44322.0</v>
      </c>
      <c r="C190" s="316">
        <v>44323.0</v>
      </c>
      <c r="D190" s="299">
        <v>24.0</v>
      </c>
      <c r="E190" s="319" t="s">
        <v>1438</v>
      </c>
      <c r="F190" s="317" t="b">
        <v>0</v>
      </c>
      <c r="G190" s="317" t="b">
        <v>0</v>
      </c>
      <c r="H190" s="317" t="b">
        <v>1</v>
      </c>
      <c r="I190" s="317" t="b">
        <v>0</v>
      </c>
      <c r="J190" s="136" t="s">
        <v>603</v>
      </c>
      <c r="K190" s="136" t="s">
        <v>1298</v>
      </c>
      <c r="L190" s="299">
        <v>1.360632E7</v>
      </c>
      <c r="M190" s="317" t="b">
        <v>0</v>
      </c>
      <c r="N190" s="317" t="b">
        <v>0</v>
      </c>
      <c r="O190" s="317" t="b">
        <v>0</v>
      </c>
      <c r="P190" s="317" t="b">
        <v>0</v>
      </c>
      <c r="Q190" s="317" t="b">
        <v>0</v>
      </c>
      <c r="R190" s="317" t="b">
        <v>0</v>
      </c>
      <c r="S190" s="317" t="b">
        <v>0</v>
      </c>
      <c r="T190" s="317" t="b">
        <v>0</v>
      </c>
      <c r="U190" s="317" t="b">
        <v>0</v>
      </c>
      <c r="V190" s="136" t="s">
        <v>1324</v>
      </c>
      <c r="W190" s="136" t="s">
        <v>1303</v>
      </c>
      <c r="X190" s="136" t="s">
        <v>1303</v>
      </c>
      <c r="Y190" s="136" t="s">
        <v>1303</v>
      </c>
      <c r="Z190" s="136" t="s">
        <v>1324</v>
      </c>
    </row>
    <row r="191">
      <c r="A191" s="136" t="s">
        <v>604</v>
      </c>
      <c r="B191" s="316">
        <v>44320.0</v>
      </c>
      <c r="C191" s="316">
        <v>44321.0</v>
      </c>
      <c r="D191" s="299">
        <v>24.0</v>
      </c>
      <c r="E191" s="319" t="s">
        <v>1439</v>
      </c>
      <c r="F191" s="317" t="b">
        <v>0</v>
      </c>
      <c r="G191" s="317" t="b">
        <v>0</v>
      </c>
      <c r="H191" s="317" t="b">
        <v>1</v>
      </c>
      <c r="I191" s="317" t="b">
        <v>0</v>
      </c>
      <c r="J191" s="136" t="s">
        <v>603</v>
      </c>
      <c r="K191" s="136" t="s">
        <v>1298</v>
      </c>
      <c r="L191" s="299">
        <v>1.360632E7</v>
      </c>
      <c r="M191" s="317" t="b">
        <v>0</v>
      </c>
      <c r="N191" s="317" t="b">
        <v>0</v>
      </c>
      <c r="O191" s="317" t="b">
        <v>0</v>
      </c>
      <c r="P191" s="317" t="b">
        <v>0</v>
      </c>
      <c r="Q191" s="317" t="b">
        <v>0</v>
      </c>
      <c r="R191" s="317" t="b">
        <v>0</v>
      </c>
      <c r="S191" s="317" t="b">
        <v>0</v>
      </c>
      <c r="T191" s="317" t="b">
        <v>0</v>
      </c>
      <c r="U191" s="317" t="b">
        <v>0</v>
      </c>
      <c r="V191" s="136" t="s">
        <v>1324</v>
      </c>
      <c r="W191" s="136" t="s">
        <v>1303</v>
      </c>
      <c r="X191" s="136" t="s">
        <v>1303</v>
      </c>
      <c r="Y191" s="136" t="s">
        <v>1303</v>
      </c>
      <c r="Z191" s="136" t="s">
        <v>1324</v>
      </c>
    </row>
    <row r="192">
      <c r="A192" s="136" t="s">
        <v>604</v>
      </c>
      <c r="B192" s="316">
        <v>44305.0</v>
      </c>
      <c r="C192" s="316">
        <v>44306.0</v>
      </c>
      <c r="D192" s="299">
        <v>24.0</v>
      </c>
      <c r="E192" s="319" t="s">
        <v>1440</v>
      </c>
      <c r="F192" s="317" t="b">
        <v>0</v>
      </c>
      <c r="G192" s="317" t="b">
        <v>0</v>
      </c>
      <c r="H192" s="317" t="b">
        <v>1</v>
      </c>
      <c r="I192" s="317" t="b">
        <v>0</v>
      </c>
      <c r="J192" s="136" t="s">
        <v>603</v>
      </c>
      <c r="K192" s="136" t="s">
        <v>1298</v>
      </c>
      <c r="L192" s="299">
        <v>1.360632E7</v>
      </c>
      <c r="M192" s="317" t="b">
        <v>0</v>
      </c>
      <c r="N192" s="317" t="b">
        <v>0</v>
      </c>
      <c r="O192" s="317" t="b">
        <v>0</v>
      </c>
      <c r="P192" s="317" t="b">
        <v>0</v>
      </c>
      <c r="Q192" s="317" t="b">
        <v>0</v>
      </c>
      <c r="R192" s="317" t="b">
        <v>0</v>
      </c>
      <c r="S192" s="317" t="b">
        <v>0</v>
      </c>
      <c r="T192" s="317" t="b">
        <v>0</v>
      </c>
      <c r="U192" s="317" t="b">
        <v>0</v>
      </c>
      <c r="V192" s="136" t="s">
        <v>1324</v>
      </c>
      <c r="W192" s="136" t="s">
        <v>1303</v>
      </c>
      <c r="X192" s="136" t="s">
        <v>1303</v>
      </c>
      <c r="Y192" s="136" t="s">
        <v>1303</v>
      </c>
      <c r="Z192" s="136" t="s">
        <v>1324</v>
      </c>
    </row>
    <row r="193">
      <c r="A193" s="136" t="s">
        <v>604</v>
      </c>
      <c r="B193" s="316">
        <v>44296.0</v>
      </c>
      <c r="C193" s="316">
        <v>44297.0</v>
      </c>
      <c r="D193" s="299">
        <v>24.0</v>
      </c>
      <c r="E193" s="319" t="s">
        <v>1441</v>
      </c>
      <c r="F193" s="317" t="b">
        <v>0</v>
      </c>
      <c r="G193" s="317" t="b">
        <v>0</v>
      </c>
      <c r="H193" s="317" t="b">
        <v>1</v>
      </c>
      <c r="I193" s="317" t="b">
        <v>0</v>
      </c>
      <c r="J193" s="136" t="s">
        <v>603</v>
      </c>
      <c r="K193" s="136" t="s">
        <v>1298</v>
      </c>
      <c r="L193" s="299">
        <v>1.360632E7</v>
      </c>
      <c r="M193" s="317" t="b">
        <v>0</v>
      </c>
      <c r="N193" s="317" t="b">
        <v>0</v>
      </c>
      <c r="O193" s="317" t="b">
        <v>0</v>
      </c>
      <c r="P193" s="317" t="b">
        <v>0</v>
      </c>
      <c r="Q193" s="317" t="b">
        <v>0</v>
      </c>
      <c r="R193" s="317" t="b">
        <v>0</v>
      </c>
      <c r="S193" s="317" t="b">
        <v>0</v>
      </c>
      <c r="T193" s="317" t="b">
        <v>0</v>
      </c>
      <c r="U193" s="317" t="b">
        <v>0</v>
      </c>
      <c r="V193" s="136" t="s">
        <v>1324</v>
      </c>
      <c r="W193" s="136" t="s">
        <v>1303</v>
      </c>
      <c r="X193" s="136" t="s">
        <v>1303</v>
      </c>
      <c r="Y193" s="136" t="s">
        <v>1303</v>
      </c>
      <c r="Z193" s="136" t="s">
        <v>1324</v>
      </c>
    </row>
    <row r="194">
      <c r="A194" s="136" t="s">
        <v>604</v>
      </c>
      <c r="B194" s="316">
        <v>44295.0</v>
      </c>
      <c r="C194" s="316">
        <v>44295.0</v>
      </c>
      <c r="D194" s="299">
        <v>24.0</v>
      </c>
      <c r="E194" s="319" t="s">
        <v>1442</v>
      </c>
      <c r="F194" s="317" t="b">
        <v>0</v>
      </c>
      <c r="G194" s="317" t="b">
        <v>0</v>
      </c>
      <c r="H194" s="317" t="b">
        <v>1</v>
      </c>
      <c r="I194" s="317" t="b">
        <v>0</v>
      </c>
      <c r="J194" s="136" t="s">
        <v>603</v>
      </c>
      <c r="K194" s="136" t="s">
        <v>1298</v>
      </c>
      <c r="L194" s="299">
        <v>1.360632E7</v>
      </c>
      <c r="M194" s="317" t="b">
        <v>0</v>
      </c>
      <c r="N194" s="317" t="b">
        <v>0</v>
      </c>
      <c r="O194" s="317" t="b">
        <v>0</v>
      </c>
      <c r="P194" s="317" t="b">
        <v>0</v>
      </c>
      <c r="Q194" s="317" t="b">
        <v>0</v>
      </c>
      <c r="R194" s="317" t="b">
        <v>0</v>
      </c>
      <c r="S194" s="317" t="b">
        <v>0</v>
      </c>
      <c r="T194" s="317" t="b">
        <v>0</v>
      </c>
      <c r="U194" s="317" t="b">
        <v>0</v>
      </c>
      <c r="V194" s="136" t="s">
        <v>1324</v>
      </c>
      <c r="W194" s="136" t="s">
        <v>1303</v>
      </c>
      <c r="X194" s="136" t="s">
        <v>1303</v>
      </c>
      <c r="Y194" s="136" t="s">
        <v>1303</v>
      </c>
      <c r="Z194" s="136" t="s">
        <v>1324</v>
      </c>
    </row>
    <row r="195">
      <c r="A195" s="136" t="s">
        <v>604</v>
      </c>
      <c r="B195" s="316">
        <v>44294.0</v>
      </c>
      <c r="C195" s="316">
        <v>44295.0</v>
      </c>
      <c r="D195" s="299">
        <v>24.0</v>
      </c>
      <c r="E195" s="319" t="s">
        <v>1443</v>
      </c>
      <c r="F195" s="317" t="b">
        <v>0</v>
      </c>
      <c r="G195" s="317" t="b">
        <v>0</v>
      </c>
      <c r="H195" s="317" t="b">
        <v>1</v>
      </c>
      <c r="I195" s="317" t="b">
        <v>0</v>
      </c>
      <c r="J195" s="136" t="s">
        <v>603</v>
      </c>
      <c r="K195" s="136" t="s">
        <v>1298</v>
      </c>
      <c r="L195" s="299">
        <v>1.360632E7</v>
      </c>
      <c r="M195" s="317" t="b">
        <v>0</v>
      </c>
      <c r="N195" s="317" t="b">
        <v>0</v>
      </c>
      <c r="O195" s="317" t="b">
        <v>0</v>
      </c>
      <c r="P195" s="317" t="b">
        <v>0</v>
      </c>
      <c r="Q195" s="317" t="b">
        <v>0</v>
      </c>
      <c r="R195" s="317" t="b">
        <v>0</v>
      </c>
      <c r="S195" s="317" t="b">
        <v>0</v>
      </c>
      <c r="T195" s="317" t="b">
        <v>0</v>
      </c>
      <c r="U195" s="317" t="b">
        <v>0</v>
      </c>
      <c r="V195" s="136" t="s">
        <v>1324</v>
      </c>
      <c r="W195" s="136" t="s">
        <v>1303</v>
      </c>
      <c r="X195" s="136" t="s">
        <v>1303</v>
      </c>
      <c r="Y195" s="136" t="s">
        <v>1303</v>
      </c>
      <c r="Z195" s="136" t="s">
        <v>1324</v>
      </c>
    </row>
    <row r="196">
      <c r="A196" s="136" t="s">
        <v>604</v>
      </c>
      <c r="B196" s="316">
        <v>44294.0</v>
      </c>
      <c r="C196" s="316">
        <v>44297.0</v>
      </c>
      <c r="D196" s="299">
        <v>72.0</v>
      </c>
      <c r="E196" s="319" t="s">
        <v>1444</v>
      </c>
      <c r="F196" s="317" t="b">
        <v>0</v>
      </c>
      <c r="G196" s="317" t="b">
        <v>0</v>
      </c>
      <c r="H196" s="317" t="b">
        <v>1</v>
      </c>
      <c r="I196" s="317" t="b">
        <v>0</v>
      </c>
      <c r="J196" s="136" t="s">
        <v>603</v>
      </c>
      <c r="K196" s="136" t="s">
        <v>1298</v>
      </c>
      <c r="L196" s="299">
        <v>1.360632E7</v>
      </c>
      <c r="M196" s="317" t="b">
        <v>0</v>
      </c>
      <c r="N196" s="317" t="b">
        <v>0</v>
      </c>
      <c r="O196" s="317" t="b">
        <v>0</v>
      </c>
      <c r="P196" s="317" t="b">
        <v>0</v>
      </c>
      <c r="Q196" s="317" t="b">
        <v>0</v>
      </c>
      <c r="R196" s="317" t="b">
        <v>0</v>
      </c>
      <c r="S196" s="317" t="b">
        <v>0</v>
      </c>
      <c r="T196" s="317" t="b">
        <v>0</v>
      </c>
      <c r="U196" s="317" t="b">
        <v>0</v>
      </c>
      <c r="V196" s="136" t="s">
        <v>1324</v>
      </c>
      <c r="W196" s="136" t="s">
        <v>1303</v>
      </c>
      <c r="X196" s="136" t="s">
        <v>1303</v>
      </c>
      <c r="Y196" s="136" t="s">
        <v>1303</v>
      </c>
      <c r="Z196" s="136" t="s">
        <v>1324</v>
      </c>
    </row>
    <row r="197">
      <c r="A197" s="136" t="s">
        <v>604</v>
      </c>
      <c r="B197" s="316">
        <v>44288.0</v>
      </c>
      <c r="C197" s="316">
        <v>44289.0</v>
      </c>
      <c r="D197" s="299">
        <v>24.0</v>
      </c>
      <c r="E197" s="319" t="s">
        <v>1445</v>
      </c>
      <c r="F197" s="317" t="b">
        <v>0</v>
      </c>
      <c r="G197" s="317" t="b">
        <v>0</v>
      </c>
      <c r="H197" s="317" t="b">
        <v>1</v>
      </c>
      <c r="I197" s="317" t="b">
        <v>0</v>
      </c>
      <c r="J197" s="136" t="s">
        <v>603</v>
      </c>
      <c r="K197" s="136" t="s">
        <v>1298</v>
      </c>
      <c r="L197" s="299">
        <v>1.360632E7</v>
      </c>
      <c r="M197" s="317" t="b">
        <v>0</v>
      </c>
      <c r="N197" s="317" t="b">
        <v>0</v>
      </c>
      <c r="O197" s="317" t="b">
        <v>0</v>
      </c>
      <c r="P197" s="317" t="b">
        <v>0</v>
      </c>
      <c r="Q197" s="317" t="b">
        <v>0</v>
      </c>
      <c r="R197" s="317" t="b">
        <v>0</v>
      </c>
      <c r="S197" s="317" t="b">
        <v>0</v>
      </c>
      <c r="T197" s="317" t="b">
        <v>0</v>
      </c>
      <c r="U197" s="317" t="b">
        <v>0</v>
      </c>
      <c r="V197" s="136" t="s">
        <v>1324</v>
      </c>
      <c r="W197" s="136" t="s">
        <v>1303</v>
      </c>
      <c r="X197" s="136" t="s">
        <v>1303</v>
      </c>
      <c r="Y197" s="136" t="s">
        <v>1303</v>
      </c>
      <c r="Z197" s="136" t="s">
        <v>1324</v>
      </c>
    </row>
    <row r="198">
      <c r="A198" s="136" t="s">
        <v>604</v>
      </c>
      <c r="B198" s="316">
        <v>44282.0</v>
      </c>
      <c r="C198" s="316">
        <v>44283.0</v>
      </c>
      <c r="D198" s="299">
        <v>24.0</v>
      </c>
      <c r="E198" s="319" t="s">
        <v>1446</v>
      </c>
      <c r="F198" s="317" t="b">
        <v>0</v>
      </c>
      <c r="G198" s="317" t="b">
        <v>0</v>
      </c>
      <c r="H198" s="317" t="b">
        <v>1</v>
      </c>
      <c r="I198" s="317" t="b">
        <v>0</v>
      </c>
      <c r="J198" s="136" t="s">
        <v>603</v>
      </c>
      <c r="K198" s="136" t="s">
        <v>1298</v>
      </c>
      <c r="L198" s="299">
        <v>1.360632E7</v>
      </c>
      <c r="M198" s="317" t="b">
        <v>0</v>
      </c>
      <c r="N198" s="317" t="b">
        <v>0</v>
      </c>
      <c r="O198" s="317" t="b">
        <v>0</v>
      </c>
      <c r="P198" s="317" t="b">
        <v>0</v>
      </c>
      <c r="Q198" s="317" t="b">
        <v>0</v>
      </c>
      <c r="R198" s="317" t="b">
        <v>0</v>
      </c>
      <c r="S198" s="317" t="b">
        <v>0</v>
      </c>
      <c r="T198" s="317" t="b">
        <v>0</v>
      </c>
      <c r="U198" s="317" t="b">
        <v>0</v>
      </c>
      <c r="V198" s="136" t="s">
        <v>1324</v>
      </c>
      <c r="W198" s="136" t="s">
        <v>1303</v>
      </c>
      <c r="X198" s="136" t="s">
        <v>1303</v>
      </c>
      <c r="Y198" s="136" t="s">
        <v>1303</v>
      </c>
      <c r="Z198" s="136" t="s">
        <v>1324</v>
      </c>
    </row>
    <row r="199">
      <c r="A199" s="136" t="s">
        <v>604</v>
      </c>
      <c r="B199" s="316">
        <v>44276.0</v>
      </c>
      <c r="C199" s="316">
        <v>44277.0</v>
      </c>
      <c r="D199" s="299">
        <v>24.0</v>
      </c>
      <c r="E199" s="319" t="s">
        <v>1447</v>
      </c>
      <c r="F199" s="317" t="b">
        <v>0</v>
      </c>
      <c r="G199" s="317" t="b">
        <v>0</v>
      </c>
      <c r="H199" s="317" t="b">
        <v>1</v>
      </c>
      <c r="I199" s="317" t="b">
        <v>0</v>
      </c>
      <c r="J199" s="136" t="s">
        <v>603</v>
      </c>
      <c r="K199" s="136" t="s">
        <v>1298</v>
      </c>
      <c r="L199" s="299">
        <v>1.360632E7</v>
      </c>
      <c r="M199" s="317" t="b">
        <v>0</v>
      </c>
      <c r="N199" s="317" t="b">
        <v>0</v>
      </c>
      <c r="O199" s="317" t="b">
        <v>0</v>
      </c>
      <c r="P199" s="317" t="b">
        <v>0</v>
      </c>
      <c r="Q199" s="317" t="b">
        <v>0</v>
      </c>
      <c r="R199" s="317" t="b">
        <v>0</v>
      </c>
      <c r="S199" s="317" t="b">
        <v>0</v>
      </c>
      <c r="T199" s="317" t="b">
        <v>0</v>
      </c>
      <c r="U199" s="317" t="b">
        <v>0</v>
      </c>
      <c r="V199" s="136" t="s">
        <v>1324</v>
      </c>
      <c r="W199" s="136" t="s">
        <v>1303</v>
      </c>
      <c r="X199" s="136" t="s">
        <v>1303</v>
      </c>
      <c r="Y199" s="136" t="s">
        <v>1303</v>
      </c>
      <c r="Z199" s="136" t="s">
        <v>1324</v>
      </c>
    </row>
    <row r="200">
      <c r="A200" s="136" t="s">
        <v>604</v>
      </c>
      <c r="B200" s="316">
        <v>44268.0</v>
      </c>
      <c r="C200" s="316">
        <v>44270.0</v>
      </c>
      <c r="D200" s="299">
        <v>48.0</v>
      </c>
      <c r="E200" s="319" t="s">
        <v>1448</v>
      </c>
      <c r="F200" s="317" t="b">
        <v>0</v>
      </c>
      <c r="G200" s="317" t="b">
        <v>0</v>
      </c>
      <c r="H200" s="317" t="b">
        <v>1</v>
      </c>
      <c r="I200" s="317" t="b">
        <v>0</v>
      </c>
      <c r="J200" s="136" t="s">
        <v>603</v>
      </c>
      <c r="K200" s="136" t="s">
        <v>1298</v>
      </c>
      <c r="L200" s="299">
        <v>1.360632E7</v>
      </c>
      <c r="M200" s="317" t="b">
        <v>0</v>
      </c>
      <c r="N200" s="317" t="b">
        <v>0</v>
      </c>
      <c r="O200" s="317" t="b">
        <v>0</v>
      </c>
      <c r="P200" s="317" t="b">
        <v>0</v>
      </c>
      <c r="Q200" s="317" t="b">
        <v>0</v>
      </c>
      <c r="R200" s="317" t="b">
        <v>0</v>
      </c>
      <c r="S200" s="317" t="b">
        <v>0</v>
      </c>
      <c r="T200" s="317" t="b">
        <v>0</v>
      </c>
      <c r="U200" s="317" t="b">
        <v>0</v>
      </c>
      <c r="V200" s="136" t="s">
        <v>1324</v>
      </c>
      <c r="W200" s="136" t="s">
        <v>1303</v>
      </c>
      <c r="X200" s="136" t="s">
        <v>1303</v>
      </c>
      <c r="Y200" s="136" t="s">
        <v>1303</v>
      </c>
      <c r="Z200" s="136" t="s">
        <v>1324</v>
      </c>
    </row>
    <row r="201">
      <c r="A201" s="136" t="s">
        <v>604</v>
      </c>
      <c r="B201" s="316">
        <v>44265.0</v>
      </c>
      <c r="C201" s="316">
        <v>44266.0</v>
      </c>
      <c r="D201" s="299">
        <v>24.0</v>
      </c>
      <c r="E201" s="319" t="s">
        <v>1449</v>
      </c>
      <c r="F201" s="317" t="b">
        <v>0</v>
      </c>
      <c r="G201" s="317" t="b">
        <v>0</v>
      </c>
      <c r="H201" s="317" t="b">
        <v>1</v>
      </c>
      <c r="I201" s="317" t="b">
        <v>0</v>
      </c>
      <c r="J201" s="136" t="s">
        <v>603</v>
      </c>
      <c r="K201" s="136" t="s">
        <v>1298</v>
      </c>
      <c r="L201" s="299">
        <v>1.360632E7</v>
      </c>
      <c r="M201" s="317" t="b">
        <v>0</v>
      </c>
      <c r="N201" s="317" t="b">
        <v>0</v>
      </c>
      <c r="O201" s="317" t="b">
        <v>0</v>
      </c>
      <c r="P201" s="317" t="b">
        <v>0</v>
      </c>
      <c r="Q201" s="317" t="b">
        <v>0</v>
      </c>
      <c r="R201" s="317" t="b">
        <v>0</v>
      </c>
      <c r="S201" s="317" t="b">
        <v>0</v>
      </c>
      <c r="T201" s="317" t="b">
        <v>0</v>
      </c>
      <c r="U201" s="317" t="b">
        <v>0</v>
      </c>
      <c r="V201" s="136" t="s">
        <v>1324</v>
      </c>
      <c r="W201" s="136" t="s">
        <v>1303</v>
      </c>
      <c r="X201" s="136" t="s">
        <v>1303</v>
      </c>
      <c r="Y201" s="136" t="s">
        <v>1303</v>
      </c>
      <c r="Z201" s="136" t="s">
        <v>1324</v>
      </c>
    </row>
    <row r="202">
      <c r="A202" s="136" t="s">
        <v>604</v>
      </c>
      <c r="B202" s="316">
        <v>44251.0</v>
      </c>
      <c r="C202" s="316">
        <v>44251.0</v>
      </c>
      <c r="D202" s="299">
        <v>24.0</v>
      </c>
      <c r="E202" s="319" t="s">
        <v>1450</v>
      </c>
      <c r="F202" s="317" t="b">
        <v>0</v>
      </c>
      <c r="G202" s="317" t="b">
        <v>0</v>
      </c>
      <c r="H202" s="317" t="b">
        <v>1</v>
      </c>
      <c r="I202" s="317" t="b">
        <v>0</v>
      </c>
      <c r="J202" s="136" t="s">
        <v>603</v>
      </c>
      <c r="K202" s="136" t="s">
        <v>1298</v>
      </c>
      <c r="L202" s="299">
        <v>1.360632E7</v>
      </c>
      <c r="M202" s="317" t="b">
        <v>0</v>
      </c>
      <c r="N202" s="317" t="b">
        <v>0</v>
      </c>
      <c r="O202" s="317" t="b">
        <v>0</v>
      </c>
      <c r="P202" s="317" t="b">
        <v>0</v>
      </c>
      <c r="Q202" s="317" t="b">
        <v>0</v>
      </c>
      <c r="R202" s="317" t="b">
        <v>0</v>
      </c>
      <c r="S202" s="317" t="b">
        <v>0</v>
      </c>
      <c r="T202" s="317" t="b">
        <v>0</v>
      </c>
      <c r="U202" s="317" t="b">
        <v>0</v>
      </c>
      <c r="V202" s="136" t="s">
        <v>1324</v>
      </c>
      <c r="W202" s="136" t="s">
        <v>1303</v>
      </c>
      <c r="X202" s="136" t="s">
        <v>1303</v>
      </c>
      <c r="Y202" s="136" t="s">
        <v>1303</v>
      </c>
      <c r="Z202" s="136" t="s">
        <v>1324</v>
      </c>
    </row>
    <row r="203">
      <c r="A203" s="136" t="s">
        <v>604</v>
      </c>
      <c r="B203" s="316">
        <v>44245.0</v>
      </c>
      <c r="C203" s="316">
        <v>44246.0</v>
      </c>
      <c r="D203" s="299">
        <v>24.0</v>
      </c>
      <c r="E203" s="319" t="s">
        <v>1451</v>
      </c>
      <c r="F203" s="317" t="b">
        <v>0</v>
      </c>
      <c r="G203" s="317" t="b">
        <v>0</v>
      </c>
      <c r="H203" s="317" t="b">
        <v>1</v>
      </c>
      <c r="I203" s="317" t="b">
        <v>0</v>
      </c>
      <c r="J203" s="136" t="s">
        <v>603</v>
      </c>
      <c r="K203" s="136" t="s">
        <v>1298</v>
      </c>
      <c r="L203" s="299">
        <v>1.360632E7</v>
      </c>
      <c r="M203" s="317" t="b">
        <v>0</v>
      </c>
      <c r="N203" s="317" t="b">
        <v>0</v>
      </c>
      <c r="O203" s="317" t="b">
        <v>0</v>
      </c>
      <c r="P203" s="317" t="b">
        <v>0</v>
      </c>
      <c r="Q203" s="317" t="b">
        <v>0</v>
      </c>
      <c r="R203" s="317" t="b">
        <v>0</v>
      </c>
      <c r="S203" s="317" t="b">
        <v>0</v>
      </c>
      <c r="T203" s="317" t="b">
        <v>0</v>
      </c>
      <c r="U203" s="317" t="b">
        <v>0</v>
      </c>
      <c r="V203" s="136" t="s">
        <v>1324</v>
      </c>
      <c r="W203" s="136" t="s">
        <v>1303</v>
      </c>
      <c r="X203" s="136" t="s">
        <v>1303</v>
      </c>
      <c r="Y203" s="136" t="s">
        <v>1303</v>
      </c>
      <c r="Z203" s="136" t="s">
        <v>1324</v>
      </c>
    </row>
    <row r="204">
      <c r="A204" s="136" t="s">
        <v>604</v>
      </c>
      <c r="B204" s="316">
        <v>44225.0</v>
      </c>
      <c r="C204" s="316">
        <v>44226.0</v>
      </c>
      <c r="D204" s="299">
        <v>24.0</v>
      </c>
      <c r="E204" s="319" t="s">
        <v>1452</v>
      </c>
      <c r="F204" s="317" t="b">
        <v>0</v>
      </c>
      <c r="G204" s="317" t="b">
        <v>0</v>
      </c>
      <c r="H204" s="317" t="b">
        <v>1</v>
      </c>
      <c r="I204" s="317" t="b">
        <v>0</v>
      </c>
      <c r="J204" s="136" t="s">
        <v>603</v>
      </c>
      <c r="K204" s="136" t="s">
        <v>1298</v>
      </c>
      <c r="L204" s="299">
        <v>1.360632E7</v>
      </c>
      <c r="M204" s="317" t="b">
        <v>0</v>
      </c>
      <c r="N204" s="317" t="b">
        <v>0</v>
      </c>
      <c r="O204" s="317" t="b">
        <v>0</v>
      </c>
      <c r="P204" s="317" t="b">
        <v>0</v>
      </c>
      <c r="Q204" s="317" t="b">
        <v>0</v>
      </c>
      <c r="R204" s="317" t="b">
        <v>0</v>
      </c>
      <c r="S204" s="317" t="b">
        <v>0</v>
      </c>
      <c r="T204" s="317" t="b">
        <v>0</v>
      </c>
      <c r="U204" s="317" t="b">
        <v>0</v>
      </c>
      <c r="V204" s="136" t="s">
        <v>1324</v>
      </c>
      <c r="W204" s="136" t="s">
        <v>1303</v>
      </c>
      <c r="X204" s="136" t="s">
        <v>1303</v>
      </c>
      <c r="Y204" s="136" t="s">
        <v>1303</v>
      </c>
      <c r="Z204" s="136" t="s">
        <v>1324</v>
      </c>
    </row>
    <row r="205">
      <c r="A205" s="136" t="s">
        <v>604</v>
      </c>
      <c r="B205" s="316">
        <v>44225.0</v>
      </c>
      <c r="C205" s="316">
        <v>44227.0</v>
      </c>
      <c r="D205" s="299">
        <v>48.0</v>
      </c>
      <c r="E205" s="319" t="s">
        <v>1453</v>
      </c>
      <c r="F205" s="317" t="b">
        <v>0</v>
      </c>
      <c r="G205" s="317" t="b">
        <v>0</v>
      </c>
      <c r="H205" s="317" t="b">
        <v>1</v>
      </c>
      <c r="I205" s="317" t="b">
        <v>0</v>
      </c>
      <c r="J205" s="136" t="s">
        <v>603</v>
      </c>
      <c r="K205" s="136" t="s">
        <v>1298</v>
      </c>
      <c r="L205" s="299">
        <v>1.360632E7</v>
      </c>
      <c r="M205" s="317" t="b">
        <v>0</v>
      </c>
      <c r="N205" s="317" t="b">
        <v>0</v>
      </c>
      <c r="O205" s="317" t="b">
        <v>0</v>
      </c>
      <c r="P205" s="317" t="b">
        <v>0</v>
      </c>
      <c r="Q205" s="317" t="b">
        <v>0</v>
      </c>
      <c r="R205" s="317" t="b">
        <v>0</v>
      </c>
      <c r="S205" s="317" t="b">
        <v>0</v>
      </c>
      <c r="T205" s="317" t="b">
        <v>0</v>
      </c>
      <c r="U205" s="317" t="b">
        <v>0</v>
      </c>
      <c r="V205" s="136" t="s">
        <v>1324</v>
      </c>
      <c r="W205" s="136" t="s">
        <v>1303</v>
      </c>
      <c r="X205" s="136" t="s">
        <v>1303</v>
      </c>
      <c r="Y205" s="136" t="s">
        <v>1303</v>
      </c>
      <c r="Z205" s="136" t="s">
        <v>1324</v>
      </c>
    </row>
    <row r="206">
      <c r="A206" s="136" t="s">
        <v>604</v>
      </c>
      <c r="B206" s="316">
        <v>44219.0</v>
      </c>
      <c r="C206" s="316">
        <v>44233.0</v>
      </c>
      <c r="D206" s="299">
        <v>336.0</v>
      </c>
      <c r="E206" s="319" t="s">
        <v>1454</v>
      </c>
      <c r="F206" s="317" t="b">
        <v>0</v>
      </c>
      <c r="G206" s="317" t="b">
        <v>0</v>
      </c>
      <c r="H206" s="317" t="b">
        <v>1</v>
      </c>
      <c r="I206" s="317" t="b">
        <v>0</v>
      </c>
      <c r="J206" s="136" t="s">
        <v>603</v>
      </c>
      <c r="K206" s="136" t="s">
        <v>1298</v>
      </c>
      <c r="L206" s="299">
        <v>1.360632E7</v>
      </c>
      <c r="M206" s="317" t="b">
        <v>0</v>
      </c>
      <c r="N206" s="317" t="b">
        <v>0</v>
      </c>
      <c r="O206" s="317" t="b">
        <v>0</v>
      </c>
      <c r="P206" s="317" t="b">
        <v>0</v>
      </c>
      <c r="Q206" s="317" t="b">
        <v>0</v>
      </c>
      <c r="R206" s="317" t="b">
        <v>0</v>
      </c>
      <c r="S206" s="317" t="b">
        <v>0</v>
      </c>
      <c r="T206" s="317" t="b">
        <v>0</v>
      </c>
      <c r="U206" s="317" t="b">
        <v>0</v>
      </c>
      <c r="V206" s="136" t="s">
        <v>1324</v>
      </c>
      <c r="W206" s="136" t="s">
        <v>1303</v>
      </c>
      <c r="X206" s="136" t="s">
        <v>1303</v>
      </c>
      <c r="Y206" s="136" t="s">
        <v>1303</v>
      </c>
      <c r="Z206" s="136" t="s">
        <v>1324</v>
      </c>
    </row>
    <row r="207">
      <c r="A207" s="136" t="s">
        <v>604</v>
      </c>
      <c r="B207" s="316">
        <v>44195.0</v>
      </c>
      <c r="C207" s="316">
        <v>44201.0</v>
      </c>
      <c r="D207" s="299">
        <v>8784.0</v>
      </c>
      <c r="E207" s="319" t="s">
        <v>1455</v>
      </c>
      <c r="F207" s="317" t="b">
        <v>0</v>
      </c>
      <c r="G207" s="317" t="b">
        <v>0</v>
      </c>
      <c r="H207" s="317" t="b">
        <v>1</v>
      </c>
      <c r="I207" s="317" t="b">
        <v>0</v>
      </c>
      <c r="J207" s="136" t="s">
        <v>603</v>
      </c>
      <c r="K207" s="136" t="s">
        <v>1298</v>
      </c>
      <c r="L207" s="299">
        <v>1.360632E7</v>
      </c>
      <c r="M207" s="317" t="b">
        <v>0</v>
      </c>
      <c r="N207" s="317" t="b">
        <v>0</v>
      </c>
      <c r="O207" s="317" t="b">
        <v>0</v>
      </c>
      <c r="P207" s="317" t="b">
        <v>0</v>
      </c>
      <c r="Q207" s="317" t="b">
        <v>0</v>
      </c>
      <c r="R207" s="317" t="b">
        <v>0</v>
      </c>
      <c r="S207" s="317" t="b">
        <v>0</v>
      </c>
      <c r="T207" s="317" t="b">
        <v>0</v>
      </c>
      <c r="U207" s="317" t="b">
        <v>0</v>
      </c>
      <c r="V207" s="136" t="s">
        <v>1303</v>
      </c>
      <c r="W207" s="136" t="s">
        <v>1303</v>
      </c>
      <c r="X207" s="136" t="s">
        <v>1324</v>
      </c>
      <c r="Y207" s="136" t="s">
        <v>1303</v>
      </c>
      <c r="Z207" s="136" t="s">
        <v>1303</v>
      </c>
    </row>
    <row r="208">
      <c r="A208" s="136" t="s">
        <v>604</v>
      </c>
      <c r="B208" s="316">
        <v>43682.0</v>
      </c>
      <c r="C208" s="316">
        <v>44232.0</v>
      </c>
      <c r="D208" s="299">
        <v>21096.0</v>
      </c>
      <c r="E208" s="319" t="s">
        <v>1456</v>
      </c>
      <c r="F208" s="317" t="b">
        <v>0</v>
      </c>
      <c r="G208" s="317" t="b">
        <v>0</v>
      </c>
      <c r="H208" s="317" t="b">
        <v>1</v>
      </c>
      <c r="I208" s="317" t="b">
        <v>0</v>
      </c>
      <c r="J208" s="136" t="s">
        <v>603</v>
      </c>
      <c r="K208" s="136" t="s">
        <v>1298</v>
      </c>
      <c r="L208" s="299">
        <v>1.360632E7</v>
      </c>
      <c r="M208" s="317" t="b">
        <v>0</v>
      </c>
      <c r="N208" s="317" t="b">
        <v>0</v>
      </c>
      <c r="O208" s="317" t="b">
        <v>0</v>
      </c>
      <c r="P208" s="317" t="b">
        <v>0</v>
      </c>
      <c r="Q208" s="317" t="b">
        <v>0</v>
      </c>
      <c r="R208" s="317" t="b">
        <v>0</v>
      </c>
      <c r="S208" s="317" t="b">
        <v>0</v>
      </c>
      <c r="T208" s="317" t="b">
        <v>0</v>
      </c>
      <c r="U208" s="317" t="b">
        <v>0</v>
      </c>
      <c r="V208" s="136" t="s">
        <v>1303</v>
      </c>
      <c r="W208" s="136" t="s">
        <v>1303</v>
      </c>
      <c r="X208" s="136" t="s">
        <v>1324</v>
      </c>
      <c r="Y208" s="136" t="s">
        <v>1303</v>
      </c>
      <c r="Z208" s="136" t="s">
        <v>1303</v>
      </c>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t="s">
        <v>1303</v>
      </c>
      <c r="W209" s="136" t="s">
        <v>1303</v>
      </c>
      <c r="X209" s="136" t="s">
        <v>1303</v>
      </c>
      <c r="Y209" s="136" t="s">
        <v>1303</v>
      </c>
      <c r="Z209" s="136" t="s">
        <v>1303</v>
      </c>
    </row>
  </sheetData>
  <mergeCells count="2">
    <mergeCell ref="A1:M1"/>
    <mergeCell ref="A45:W45"/>
  </mergeCells>
  <hyperlinks>
    <hyperlink r:id="rId1" ref="E120"/>
    <hyperlink r:id="rId2" ref="E121"/>
    <hyperlink r:id="rId3" ref="E122"/>
    <hyperlink r:id="rId4" ref="E123"/>
    <hyperlink r:id="rId5" ref="E124"/>
    <hyperlink r:id="rId6" ref="E125"/>
    <hyperlink r:id="rId7" ref="E126"/>
    <hyperlink r:id="rId8" ref="E127"/>
    <hyperlink r:id="rId9" ref="E128"/>
    <hyperlink r:id="rId10" ref="E129"/>
    <hyperlink r:id="rId11" ref="E130"/>
    <hyperlink r:id="rId12" ref="E131"/>
    <hyperlink r:id="rId13" ref="E132"/>
    <hyperlink r:id="rId14" ref="E133"/>
    <hyperlink r:id="rId15" ref="E134"/>
    <hyperlink r:id="rId16" ref="E135"/>
    <hyperlink r:id="rId17" ref="E136"/>
    <hyperlink r:id="rId18" ref="E137"/>
    <hyperlink r:id="rId19" ref="E138"/>
    <hyperlink r:id="rId20" ref="E139"/>
    <hyperlink r:id="rId21" ref="E140"/>
    <hyperlink r:id="rId22" ref="E141"/>
    <hyperlink r:id="rId23" ref="E142"/>
    <hyperlink r:id="rId24" ref="E143"/>
    <hyperlink r:id="rId25" ref="E144"/>
    <hyperlink r:id="rId26" ref="E145"/>
    <hyperlink r:id="rId27" ref="E146"/>
    <hyperlink r:id="rId28" ref="E147"/>
    <hyperlink r:id="rId29" ref="E148"/>
    <hyperlink r:id="rId30" ref="E149"/>
    <hyperlink r:id="rId31" ref="E150"/>
    <hyperlink r:id="rId32" ref="E151"/>
    <hyperlink r:id="rId33" ref="E152"/>
    <hyperlink r:id="rId34" ref="E153"/>
    <hyperlink r:id="rId35" ref="E154"/>
    <hyperlink r:id="rId36" ref="E155"/>
    <hyperlink r:id="rId37" ref="E156"/>
    <hyperlink r:id="rId38" ref="E157"/>
    <hyperlink r:id="rId39" ref="E158"/>
    <hyperlink r:id="rId40" ref="E159"/>
    <hyperlink r:id="rId41" ref="E160"/>
    <hyperlink r:id="rId42" ref="E161"/>
    <hyperlink r:id="rId43" ref="E162"/>
    <hyperlink r:id="rId44" ref="E163"/>
    <hyperlink r:id="rId45" ref="E164"/>
    <hyperlink r:id="rId46" ref="E165"/>
    <hyperlink r:id="rId47" ref="E166"/>
    <hyperlink r:id="rId48" ref="E167"/>
    <hyperlink r:id="rId49" ref="E168"/>
    <hyperlink r:id="rId50" ref="E169"/>
    <hyperlink r:id="rId51" ref="E170"/>
    <hyperlink r:id="rId52" ref="E171"/>
    <hyperlink r:id="rId53" ref="E172"/>
    <hyperlink r:id="rId54" ref="E173"/>
    <hyperlink r:id="rId55" ref="E174"/>
    <hyperlink r:id="rId56" ref="E175"/>
    <hyperlink r:id="rId57" ref="E176"/>
    <hyperlink r:id="rId58" ref="E177"/>
    <hyperlink r:id="rId59" ref="E178"/>
    <hyperlink r:id="rId60" ref="E179"/>
    <hyperlink r:id="rId61" ref="E180"/>
    <hyperlink r:id="rId62" ref="E181"/>
    <hyperlink r:id="rId63" ref="E182"/>
    <hyperlink r:id="rId64" ref="E183"/>
    <hyperlink r:id="rId65" ref="E184"/>
    <hyperlink r:id="rId66" ref="E185"/>
    <hyperlink r:id="rId67" ref="E186"/>
    <hyperlink r:id="rId68" ref="E187"/>
    <hyperlink r:id="rId69" ref="E188"/>
    <hyperlink r:id="rId70" ref="E189"/>
    <hyperlink r:id="rId71" ref="E190"/>
    <hyperlink r:id="rId72" ref="E191"/>
    <hyperlink r:id="rId73" ref="E192"/>
    <hyperlink r:id="rId74" ref="E193"/>
    <hyperlink r:id="rId75" ref="E194"/>
    <hyperlink r:id="rId76" ref="E195"/>
    <hyperlink r:id="rId77" ref="E196"/>
    <hyperlink r:id="rId78" ref="E197"/>
    <hyperlink r:id="rId79" ref="E198"/>
    <hyperlink r:id="rId80" ref="E199"/>
    <hyperlink r:id="rId81" ref="E200"/>
    <hyperlink r:id="rId82" ref="E201"/>
    <hyperlink r:id="rId83" ref="E202"/>
    <hyperlink r:id="rId84" ref="E203"/>
    <hyperlink r:id="rId85" ref="E204"/>
    <hyperlink r:id="rId86" ref="E205"/>
    <hyperlink r:id="rId87" ref="E206"/>
    <hyperlink r:id="rId88" ref="E207"/>
    <hyperlink r:id="rId89" ref="E208"/>
  </hyperlinks>
  <drawing r:id="rId9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0" t="str">
        <f>IFERROR(__xludf.DUMMYFUNCTION("IMPORTRANGE(""https://docs.google.com/spreadsheets/d/15PEd5n9dX2RsuN-qncR2k1Cl7OyMNdFOFjQgqebZao0/edit#gid=502798689"",""insightsNewsData!G7:H7"")"),"update date")</f>
        <v>update date</v>
      </c>
      <c r="B1" s="321">
        <f>IFERROR(__xludf.DUMMYFUNCTION("""COMPUTED_VALUE"""),45657.0)</f>
        <v>45657</v>
      </c>
    </row>
  </sheetData>
  <drawing r:id="rId1"/>
</worksheet>
</file>